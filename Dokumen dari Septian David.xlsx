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FILE SPJ TAHUN 2026\SPJ JUNI TAHAP 7\"/>
    </mc:Choice>
  </mc:AlternateContent>
  <xr:revisionPtr revIDLastSave="0" documentId="13_ncr:1_{B4F0EC6D-3A2F-4CB4-A883-51CCBBAA27DA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Usulan pencairan" sheetId="1" r:id="rId1"/>
    <sheet name="RAB" sheetId="11" r:id="rId2"/>
    <sheet name="BelanjaBahan" sheetId="12" r:id="rId3"/>
    <sheet name="Honor" sheetId="18" r:id="rId4"/>
    <sheet name="KegiatanKrida" sheetId="27" r:id="rId5"/>
    <sheet name="OlahMinatBakat" sheetId="17" r:id="rId6"/>
    <sheet name="Survei" sheetId="28" r:id="rId7"/>
    <sheet name="PermakananSiswa" sheetId="14" r:id="rId8"/>
    <sheet name="Obat" sheetId="26" r:id="rId9"/>
    <sheet name="TransportPendamping" sheetId="21" r:id="rId10"/>
    <sheet name="PemulanganSiswa" sheetId="29" r:id="rId11"/>
    <sheet name="EBA" sheetId="22" r:id="rId12"/>
    <sheet name="TOTAL SELURUH RAB" sheetId="25" r:id="rId13"/>
    <sheet name="catatan" sheetId="10" r:id="rId14"/>
  </sheets>
  <definedNames>
    <definedName name="a">#REF!</definedName>
    <definedName name="JR_PAGE_ANCHOR_0_1" localSheetId="1">#REF!</definedName>
    <definedName name="JR_PAGE_ANCHOR_0_1">#REF!</definedName>
    <definedName name="_xlnm.Print_Area" localSheetId="1">RAB!$A$1:$H$103</definedName>
    <definedName name="_xlnm.Print_Area" localSheetId="0">'Usulan pencairan'!$A$1:$G$98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5" l="1"/>
  <c r="F25" i="12"/>
  <c r="F18" i="12"/>
  <c r="E55" i="1" l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4" i="1"/>
  <c r="E31" i="1"/>
  <c r="E26" i="1"/>
  <c r="E23" i="1"/>
  <c r="E22" i="1"/>
  <c r="E17" i="1"/>
  <c r="E15" i="1"/>
  <c r="G18" i="29"/>
  <c r="G25" i="29"/>
  <c r="G17" i="29"/>
  <c r="G27" i="27"/>
  <c r="C9" i="25"/>
  <c r="C7" i="25"/>
  <c r="C6" i="25"/>
  <c r="C4" i="25"/>
  <c r="C5" i="25"/>
  <c r="G21" i="22"/>
  <c r="G18" i="22"/>
  <c r="G27" i="29"/>
  <c r="G26" i="29"/>
  <c r="G19" i="29"/>
  <c r="G20" i="21"/>
  <c r="G19" i="21"/>
  <c r="G18" i="21"/>
  <c r="I22" i="21" s="1"/>
  <c r="G18" i="28"/>
  <c r="G17" i="28"/>
  <c r="G16" i="28"/>
  <c r="G20" i="28" s="1"/>
  <c r="G32" i="11"/>
  <c r="F17" i="1" s="1"/>
  <c r="G19" i="17"/>
  <c r="G25" i="27"/>
  <c r="G24" i="27" s="1"/>
  <c r="G23" i="27" s="1"/>
  <c r="G18" i="27"/>
  <c r="G77" i="11"/>
  <c r="F31" i="1" s="1"/>
  <c r="G46" i="11"/>
  <c r="F23" i="1" s="1"/>
  <c r="G24" i="11"/>
  <c r="G23" i="11" s="1"/>
  <c r="F41" i="1" s="1"/>
  <c r="G60" i="11"/>
  <c r="G59" i="11" s="1"/>
  <c r="G58" i="11" s="1"/>
  <c r="G45" i="11"/>
  <c r="G44" i="11" l="1"/>
  <c r="F46" i="1" s="1"/>
  <c r="F22" i="1"/>
  <c r="F49" i="1"/>
  <c r="F26" i="1"/>
  <c r="F15" i="1"/>
  <c r="I29" i="29"/>
  <c r="G16" i="29"/>
  <c r="G24" i="29"/>
  <c r="G29" i="29" s="1"/>
  <c r="C11" i="25" s="1"/>
  <c r="G17" i="21"/>
  <c r="G30" i="11"/>
  <c r="G31" i="11"/>
  <c r="F43" i="1" s="1"/>
  <c r="G16" i="27"/>
  <c r="G17" i="27"/>
  <c r="G22" i="11"/>
  <c r="G64" i="11" l="1"/>
  <c r="G28" i="11"/>
  <c r="G26" i="17"/>
  <c r="I28" i="17" s="1"/>
  <c r="G19" i="26"/>
  <c r="G18" i="17"/>
  <c r="E30" i="1"/>
  <c r="E29" i="1"/>
  <c r="E18" i="1"/>
  <c r="G87" i="11"/>
  <c r="G72" i="11"/>
  <c r="G71" i="11" s="1"/>
  <c r="F52" i="1" s="1"/>
  <c r="F34" i="1" l="1"/>
  <c r="F55" i="1"/>
  <c r="G18" i="26"/>
  <c r="G17" i="26" s="1"/>
  <c r="G22" i="26" s="1"/>
  <c r="I22" i="26"/>
  <c r="F29" i="1"/>
  <c r="G16" i="21"/>
  <c r="G22" i="21" s="1"/>
  <c r="G70" i="11"/>
  <c r="G27" i="11"/>
  <c r="G76" i="11"/>
  <c r="E28" i="1"/>
  <c r="G26" i="14"/>
  <c r="G25" i="17"/>
  <c r="G24" i="17" s="1"/>
  <c r="G17" i="17"/>
  <c r="G68" i="11"/>
  <c r="F28" i="1" s="1"/>
  <c r="G63" i="11"/>
  <c r="E25" i="1"/>
  <c r="G25" i="18"/>
  <c r="G26" i="18"/>
  <c r="G25" i="12"/>
  <c r="G24" i="12" s="1"/>
  <c r="G23" i="12" s="1"/>
  <c r="G19" i="18"/>
  <c r="I28" i="18" s="1"/>
  <c r="G84" i="11"/>
  <c r="G83" i="11" s="1"/>
  <c r="G82" i="11" s="1"/>
  <c r="E20" i="1"/>
  <c r="E21" i="1"/>
  <c r="E32" i="1"/>
  <c r="G85" i="11"/>
  <c r="G56" i="11"/>
  <c r="G53" i="11"/>
  <c r="G52" i="11" s="1"/>
  <c r="F47" i="1" s="1"/>
  <c r="G42" i="11"/>
  <c r="F21" i="1" s="1"/>
  <c r="G41" i="11"/>
  <c r="F20" i="1" s="1"/>
  <c r="G40" i="11"/>
  <c r="G36" i="11"/>
  <c r="G20" i="11"/>
  <c r="G19" i="11" s="1"/>
  <c r="G17" i="11"/>
  <c r="G16" i="11" s="1"/>
  <c r="G18" i="12"/>
  <c r="G19" i="14"/>
  <c r="F33" i="1" l="1"/>
  <c r="F19" i="22"/>
  <c r="G19" i="22" s="1"/>
  <c r="I23" i="22" s="1"/>
  <c r="I29" i="14"/>
  <c r="F30" i="1"/>
  <c r="G75" i="11"/>
  <c r="F53" i="1" s="1"/>
  <c r="G26" i="11"/>
  <c r="F42" i="1"/>
  <c r="G62" i="11"/>
  <c r="F50" i="1"/>
  <c r="G28" i="17"/>
  <c r="G35" i="11"/>
  <c r="F44" i="1" s="1"/>
  <c r="G34" i="11"/>
  <c r="G18" i="14"/>
  <c r="G17" i="14" s="1"/>
  <c r="G29" i="14" s="1"/>
  <c r="G17" i="12"/>
  <c r="G16" i="12" s="1"/>
  <c r="G67" i="11"/>
  <c r="G18" i="18"/>
  <c r="G55" i="11"/>
  <c r="F48" i="1" s="1"/>
  <c r="G39" i="11"/>
  <c r="F45" i="1" s="1"/>
  <c r="G25" i="14"/>
  <c r="G24" i="14" s="1"/>
  <c r="F32" i="1"/>
  <c r="G15" i="11"/>
  <c r="G17" i="22" l="1"/>
  <c r="G66" i="11"/>
  <c r="F51" i="1"/>
  <c r="G27" i="12"/>
  <c r="C3" i="25" s="1"/>
  <c r="I27" i="12"/>
  <c r="G74" i="11"/>
  <c r="F39" i="1"/>
  <c r="G23" i="22" l="1"/>
  <c r="G16" i="22"/>
  <c r="F18" i="1"/>
  <c r="E19" i="1" l="1"/>
  <c r="F19" i="1"/>
  <c r="F27" i="1" l="1"/>
  <c r="E27" i="1"/>
  <c r="F16" i="1"/>
  <c r="E16" i="1"/>
  <c r="E14" i="1"/>
  <c r="E24" i="1"/>
  <c r="E40" i="1"/>
  <c r="E39" i="1"/>
  <c r="E13" i="1"/>
  <c r="F13" i="1" l="1"/>
  <c r="F40" i="1"/>
  <c r="F24" i="1"/>
  <c r="F14" i="1"/>
  <c r="E33" i="1" l="1"/>
  <c r="F25" i="1" l="1"/>
  <c r="F35" i="1" s="1"/>
  <c r="C10" i="25" l="1"/>
  <c r="G24" i="18"/>
  <c r="G17" i="18" s="1"/>
  <c r="G28" i="18" s="1"/>
  <c r="G51" i="11"/>
  <c r="C12" i="25"/>
  <c r="C14" i="25" s="1"/>
  <c r="G38" i="11" l="1"/>
  <c r="G88" i="11"/>
  <c r="F54" i="1"/>
  <c r="F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FF7D738D-B2B4-4BA3-AEC3-B7A6BB99EB7F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20A8BAD5-306B-4DF2-9400-CAF99E618A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C7690CBC-5FDC-4078-ACDB-4039B905E5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6E7E1D11-791A-430A-BAB1-AB647E1D665D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78DEB36E-F38B-40F9-BAC6-3875CE5905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0A739A25-E95B-43A6-9C68-300303C670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6AC3059A-0DEB-4432-B026-98CCCC875A1B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E76222F1-0355-4E28-84E2-606FD1CA4A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E96E5A21-B164-4820-8B40-1E1527EAED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59F66C77-60D6-4D7F-A6E3-CBAE100E3AF4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C9D29A4F-AAA5-4E04-93E0-A8FC7802A2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4D84BF40-03EA-4D45-9779-C5FA107815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66864388-3D72-4F41-8205-EE4CDE90B5FF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1BAC2855-26A1-4917-A54B-92A24930DE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F3059807-AE94-4CF5-8D66-DD238AB1A4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D6FDFCD2-7398-46F4-80A6-5E6F9594DC09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629B48CB-93F4-4642-AB1F-1588B1D47C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9E917341-4E1A-4B3B-BFC6-09DB27A743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" authorId="0" shapeId="0" xr:uid="{1370BB4C-5862-4542-8C99-EC5C98F8FA2F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7" authorId="0" shapeId="0" xr:uid="{DA8008E0-27A1-472D-9E19-3C0A22F83E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8" authorId="0" shapeId="0" xr:uid="{D7BDD1B6-8410-4754-8C44-27AFAA70CD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" authorId="0" shapeId="0" xr:uid="{57AB9C94-CF12-4E97-AF9B-C645BB4BC5A0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7" authorId="0" shapeId="0" xr:uid="{2114B5AA-269F-4F57-AE35-BF5995E911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8" authorId="0" shapeId="0" xr:uid="{D7C3B1B7-B48E-4359-B3EF-E535C4A85B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8D1C69EF-0C28-4504-B4F8-C72AFBB52621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9FDAC75A-18BE-40F0-AD68-0662891B10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352771CF-9186-492E-B5B3-08745179D8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4B22ADB8-D19F-495D-AC0C-9E41A8872A8B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9A7BC48F-3105-44A0-8C26-4EA55EBB1E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FB33BF8D-0580-4CC1-93A6-0E3CCCB3AF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00EC1DD2-C240-4E0E-955F-174E5AAA6517}">
      <text>
        <r>
          <rPr>
            <b/>
            <sz val="9"/>
            <color indexed="81"/>
            <rFont val="Tahoma"/>
            <family val="2"/>
          </rPr>
          <t>User:Tuliskan nama lengkap Sekolah Rakyat nya</t>
        </r>
      </text>
    </comment>
    <comment ref="C6" authorId="0" shapeId="0" xr:uid="{732C7E83-92E7-4876-BF74-6BAAE68C38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Tulis alamat lokasi SR 1 A</t>
        </r>
      </text>
    </comment>
    <comment ref="C7" authorId="0" shapeId="0" xr:uid="{2D1410C2-0921-4DFC-8E87-6B7C47DCAE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pilih SD/SMP/SMA, namun jika SRMA langsung pilih SMA</t>
        </r>
      </text>
    </comment>
  </commentList>
</comments>
</file>

<file path=xl/sharedStrings.xml><?xml version="1.0" encoding="utf-8"?>
<sst xmlns="http://schemas.openxmlformats.org/spreadsheetml/2006/main" count="655" uniqueCount="166">
  <si>
    <r>
      <rPr>
        <sz val="11"/>
        <rFont val="Times New Roman"/>
        <family val="1"/>
      </rPr>
      <t xml:space="preserve">Riswan                                                                      Kepala Sekolah SRMA 22 Malang
</t>
    </r>
    <r>
      <rPr>
        <sz val="11"/>
        <rFont val="Times New Roman"/>
        <family val="1"/>
      </rPr>
      <t>NIP. 197611012005021001</t>
    </r>
  </si>
  <si>
    <t xml:space="preserve">Nomor     
Lampiran :        </t>
  </si>
  <si>
    <t xml:space="preserve"> :</t>
  </si>
  <si>
    <t>Lampiran</t>
  </si>
  <si>
    <t>Hal</t>
  </si>
  <si>
    <r>
      <rPr>
        <b/>
        <sz val="11"/>
        <rFont val="Times New Roman"/>
        <family val="1"/>
      </rPr>
      <t>1.   DETAIL BAGAN AKUN (CoA) URAIAN DETAIL BELANJA</t>
    </r>
  </si>
  <si>
    <r>
      <rPr>
        <sz val="11"/>
        <rFont val="Times New Roman"/>
        <family val="1"/>
      </rPr>
      <t>Demikian untuk menjadikan periksa dan atas perhatiannya terimakasih.</t>
    </r>
  </si>
  <si>
    <r>
      <rPr>
        <sz val="11"/>
        <rFont val="Times New Roman"/>
        <family val="1"/>
      </rPr>
      <t xml:space="preserve">Jakarta, 07 Agustus 2025
</t>
    </r>
    <r>
      <rPr>
        <sz val="11"/>
        <rFont val="Times New Roman"/>
        <family val="1"/>
      </rPr>
      <t>Pejabat Pembuat Komitmen,                                                                  Yang mengajukan,</t>
    </r>
  </si>
  <si>
    <t>Yang Mengajukan,</t>
  </si>
  <si>
    <t>Riswan</t>
  </si>
  <si>
    <t>NIP. 197611012005021001</t>
  </si>
  <si>
    <t>Nama Sekolah</t>
  </si>
  <si>
    <t>Lokasi</t>
  </si>
  <si>
    <t>Jenjang</t>
  </si>
  <si>
    <t>Nama Kegiatan</t>
  </si>
  <si>
    <t>Jenis Belanja/Uraian</t>
  </si>
  <si>
    <t>Kuantitas</t>
  </si>
  <si>
    <t>Sat</t>
  </si>
  <si>
    <t>H Satuan</t>
  </si>
  <si>
    <t>Jumlah</t>
  </si>
  <si>
    <t>3.   LAMPIRAN KETERSEDIAAN ANGGARAN PADA ANGGARAN KAMI TERLAMPIR</t>
  </si>
  <si>
    <t>01</t>
  </si>
  <si>
    <t>02</t>
  </si>
  <si>
    <t>03</t>
  </si>
  <si>
    <t>04</t>
  </si>
  <si>
    <t>05</t>
  </si>
  <si>
    <t>06</t>
  </si>
  <si>
    <t>SBB</t>
  </si>
  <si>
    <t>Layanan Perkantoran</t>
  </si>
  <si>
    <t>002</t>
  </si>
  <si>
    <t>RAB (RINCIAN ANGGARAN BIAYA)</t>
  </si>
  <si>
    <t>Kode Program/Kegiatan/Komponen/Sub Komponen/Akun</t>
  </si>
  <si>
    <t>SEKOLAH RAKYAT 1 A PADA PPK 3 PUSAT PENDIDIKAN, PELATIHAN, DAN PENGEMBANGAN PROFESI</t>
  </si>
  <si>
    <t>Kepada Yth.
PPK Wilayah 3 Pusat Pendidikan Pelatihan dan Pengembangan Profesi Di Jakarta</t>
  </si>
  <si>
    <t>Pejabat Pembuat Komitmen PPK 3,</t>
  </si>
  <si>
    <t>KEBUTUHAN ADMINISTRASI</t>
  </si>
  <si>
    <t>1.Surat kepala sekolah untuk permohonan narasumber (diminta cv pegawai atau non pegawai)</t>
  </si>
  <si>
    <t>2.Setelah dapat balasan dari mereka, kepala sekolah membuat draf SK KPA Kegiatan tersebut</t>
  </si>
  <si>
    <t>4.tanda terima makan kegiatan</t>
  </si>
  <si>
    <t>5.tanda terima snack kegiatan</t>
  </si>
  <si>
    <t>6.presensi kehadiran peserta kegiatan</t>
  </si>
  <si>
    <t>7.dokumentasi kegiatan</t>
  </si>
  <si>
    <t>3.surat tugas kegiatan ; dari kapus</t>
  </si>
  <si>
    <t>orientasi dan praktikum komunitas</t>
  </si>
  <si>
    <t>No.</t>
  </si>
  <si>
    <t>Kode Detail Bagan Akun (CoA)</t>
  </si>
  <si>
    <t>Uraian Detail Belanja</t>
  </si>
  <si>
    <t>Grand Total</t>
  </si>
  <si>
    <t>2.   DETAIL BAGAN AKUN (CoA) URAIAN DETAIL AKUN</t>
  </si>
  <si>
    <t>Uraian Akun Belanja</t>
  </si>
  <si>
    <t xml:space="preserve">JUMLAH TOTAL RAB </t>
  </si>
  <si>
    <t>Yang mengajukan,</t>
  </si>
  <si>
    <t>2 berkas</t>
  </si>
  <si>
    <t>A</t>
  </si>
  <si>
    <t xml:space="preserve"> : SRT 3 Pasuruan</t>
  </si>
  <si>
    <t xml:space="preserve"> : Jl. Hayam Wuruk No.14 Kecamatan Purworejo Pasuruan</t>
  </si>
  <si>
    <t>Kepala SRT 3 Pasuruan</t>
  </si>
  <si>
    <t>Julianto, S.Pd.</t>
  </si>
  <si>
    <t>NIP. 197304282008011006</t>
  </si>
  <si>
    <t>TAHUN ANGGARAN 2026</t>
  </si>
  <si>
    <t>7937.EBA.994</t>
  </si>
  <si>
    <t>Operasional dan Pemeliharaan Perkantoran</t>
  </si>
  <si>
    <t>Operasional Perkantoran</t>
  </si>
  <si>
    <t>Belanja Keperluan Perkantoran</t>
  </si>
  <si>
    <t>SBE</t>
  </si>
  <si>
    <t>7936.101</t>
  </si>
  <si>
    <t>303</t>
  </si>
  <si>
    <t>Sekolah Rakyat Terintegrasi 3 Pasuruan</t>
  </si>
  <si>
    <t>Belanja Bahan</t>
  </si>
  <si>
    <t>Kegiatan Belajar Mengajar</t>
  </si>
  <si>
    <t xml:space="preserve"> : SMP dan SMA</t>
  </si>
  <si>
    <t>522151</t>
  </si>
  <si>
    <t>Belanja Jasa Profesi</t>
  </si>
  <si>
    <t>F</t>
  </si>
  <si>
    <t>Permakanan dan Perawatan Siswa</t>
  </si>
  <si>
    <t>M</t>
  </si>
  <si>
    <t>Belanja Perjalanan Dinas Biasa</t>
  </si>
  <si>
    <t>521211</t>
  </si>
  <si>
    <t>Belanja Pengadaan Bahan Makan</t>
  </si>
  <si>
    <t>Dukungan Penyelenggaraan Operasional Sekolah Rakyat</t>
  </si>
  <si>
    <t>OK</t>
  </si>
  <si>
    <t>BBM</t>
  </si>
  <si>
    <t>7936.SBE.101.303.A.521211</t>
  </si>
  <si>
    <t>7936.SBE.101.303.A.522151</t>
  </si>
  <si>
    <t>7936.SBE.101.303.M.524111</t>
  </si>
  <si>
    <t>7936.SBE.101.303.F.521112</t>
  </si>
  <si>
    <t>7936.SBB.101.303.A.521211</t>
  </si>
  <si>
    <t>7936.SBB.101.303.A.522151</t>
  </si>
  <si>
    <t>7936.SBB.101.303.F.521112</t>
  </si>
  <si>
    <t>PKT</t>
  </si>
  <si>
    <t>BH</t>
  </si>
  <si>
    <t>ATK Kelas</t>
  </si>
  <si>
    <t>D</t>
  </si>
  <si>
    <t>Karya Ilmiah dan Latihan Olah Bakat dan Minat</t>
  </si>
  <si>
    <t>KEG</t>
  </si>
  <si>
    <t>7936.SBB.101.303.D.522151</t>
  </si>
  <si>
    <t>7937.EBA.994.002.F.521111</t>
  </si>
  <si>
    <t>521219</t>
  </si>
  <si>
    <t>Belanja Barang Non Operasional Lainnya</t>
  </si>
  <si>
    <t>7936.SBE.101.303.D.521219</t>
  </si>
  <si>
    <t>: Usulan Dana Transportasi Pendamping Kegiatan SRT 3 Pasuruan PPK 3</t>
  </si>
  <si>
    <t xml:space="preserve"> : SMA</t>
  </si>
  <si>
    <t xml:space="preserve"> : SMP</t>
  </si>
  <si>
    <t>: Usulan Dana Operasional Perkantoran SRT 3 Pasuruan PPK 3</t>
  </si>
  <si>
    <t>BELANJA BAHAN</t>
  </si>
  <si>
    <t xml:space="preserve">HONOR </t>
  </si>
  <si>
    <t>PERMAKANAN SISWA</t>
  </si>
  <si>
    <t>TRANSPORT PENDAMPING KEGIATAN</t>
  </si>
  <si>
    <t>OPERASIONAL PERKANTORAN</t>
  </si>
  <si>
    <t>Biaya Keikutsertaan Club Futsal</t>
  </si>
  <si>
    <t>Keperluan Sehari-hari Perkantoran</t>
  </si>
  <si>
    <t>Belanja Perjalanan Dinas Dalam Kota</t>
  </si>
  <si>
    <t>G</t>
  </si>
  <si>
    <t>Perlengkapan Operasional Sekolah</t>
  </si>
  <si>
    <t>521811</t>
  </si>
  <si>
    <t>Belanja Barang Persediaan Barang Konsumsi</t>
  </si>
  <si>
    <t>Pembelian Obat Ringan</t>
  </si>
  <si>
    <t>Belanja Sewa</t>
  </si>
  <si>
    <t>/9/KU.04.01/5/2026</t>
  </si>
  <si>
    <t>7936.SBB.101.303.G.521811</t>
  </si>
  <si>
    <t>7936.SBB.101.303.M.524111</t>
  </si>
  <si>
    <t xml:space="preserve">Biaya Keikutsertaan Club Futsal </t>
  </si>
  <si>
    <t>OLAH MINAT BAKAT</t>
  </si>
  <si>
    <t>OBAT</t>
  </si>
  <si>
    <t>Bersama ini kami mengajukan Dana Kegiatan Ekstrakulikuler, Belanja Operasional Perkantoran SRT 3 Pasuruan PPK 3 Bulan Juni 2026, sesuai  POK Pusat Pendidikan Pelatihan dan Pengembangan Profesi TA 2026. Dengan detail kode Bagan Akun (CoA) sebagai berikut :</t>
  </si>
  <si>
    <t>Pembayaran Listrik</t>
  </si>
  <si>
    <t>C</t>
  </si>
  <si>
    <t>Kegiatan Krida</t>
  </si>
  <si>
    <t>Sewa Bus (2 Unit x 1KEG)</t>
  </si>
  <si>
    <t>UNIT</t>
  </si>
  <si>
    <t>Transport Petugas Pendamping Lomba Pencak silat[1 OK x  1 Lok]</t>
  </si>
  <si>
    <t>Transport Petugas Technical meeting O2SN [1 OK x 1 Lok]</t>
  </si>
  <si>
    <t>Transport Petugas Pendamping Lomba Atletik[1 OK x 1 Lok]</t>
  </si>
  <si>
    <t>Honor Instruktur Ekstrakulikuler Juni-Juli [8 OK x 1LOK]</t>
  </si>
  <si>
    <t>Uang Harian Petugas (8 OK x 1KEG]</t>
  </si>
  <si>
    <t>Transport Pemulangan Libur Jeda Semester dan Hari Besar Keagamaan [75 OK x 1KEG]</t>
  </si>
  <si>
    <t>Transport Pemulangan Libur Jeda Semester dan Hari Besar Keagamaan [73 OK x 1KEG]</t>
  </si>
  <si>
    <t>Honor Instruktur Ekstrakulikuler Juni-Juli [8 OK x 1 LOK]</t>
  </si>
  <si>
    <t>Honor Instruktur Ekstrakulikuler Juni-Juli [8 ORG x 1KEG x 1LOK]</t>
  </si>
  <si>
    <t>Honor Instruktur Ekstrakulikuler [8 ORG x 1KEG x 1LOK]</t>
  </si>
  <si>
    <t>E</t>
  </si>
  <si>
    <t>Koordinasi dan Konsultasi Sekolah Rakyat</t>
  </si>
  <si>
    <t>PEMULANGAN SISWA</t>
  </si>
  <si>
    <t>KEGIATAN KRIDA</t>
  </si>
  <si>
    <t>SURVEI</t>
  </si>
  <si>
    <t>7936.SBE.101.303.C.522141</t>
  </si>
  <si>
    <t>7936.SBE.101.303.E.524111</t>
  </si>
  <si>
    <t>7936.SBE.101.303.M.524113</t>
  </si>
  <si>
    <t>7936.SBB.101.303.C.522141</t>
  </si>
  <si>
    <t>7937.EBA.994.002.F.522111</t>
  </si>
  <si>
    <t>Belanja Air Minum [410 BH x 1 PKT x 1 LOK]</t>
  </si>
  <si>
    <t>Belanja Air Minum [750 BH x 1 PKT x 1 LOK]</t>
  </si>
  <si>
    <t>: Usulan Dana Kegiatan kepulangan Siswa, Kegiatan Krida, Belanja Operasional Perkantoran SRT 3 Pasuruan PPK 3</t>
  </si>
  <si>
    <t>Uang Harian Petugas Survei</t>
  </si>
  <si>
    <t>: Usulan Dana Transport Kepulangan Siswa SRT 3 Pasuruan PPK 3</t>
  </si>
  <si>
    <t>Pasuruan, 26 Mei  2026</t>
  </si>
  <si>
    <t>: Usulan Dana Kegiatan Belanja ATK Kelas SRT 3 Pasuruan PPK 3</t>
  </si>
  <si>
    <t>Pasuruan, 26 Mei 2026</t>
  </si>
  <si>
    <t>: Usulan Dana Kegiatan Krida Sewa Bus SRT 3 Pasuruan PPK 3</t>
  </si>
  <si>
    <t>: Usulan Dana Kegiatan keikutsertaan club SRT 3 Pasuruan PPK 3</t>
  </si>
  <si>
    <t>: Usulan Dana Kegiatan Belanja Permakanan (Belanja Air Minum) SRT 3 Pasuruan PPK 3</t>
  </si>
  <si>
    <t>: Usulan Dana Kegiatan Belanja Persediaan (Pembelian Obat) SRT 3 Pasuruan PPK 3</t>
  </si>
  <si>
    <t>Transport Pemulangan Libur Jeda Semester  [75 OK x 1KEG]</t>
  </si>
  <si>
    <t>: Usulan Dana untuk Honor Kegiatan Ekstrakulikuler SRT 3 Pasuruan PPK 3</t>
  </si>
  <si>
    <t>Uang Harian Petugas Survei [2 OK x 1 HR]</t>
  </si>
  <si>
    <t>Uang Harian Petugas [2 OK x 1 HR x 1 Lok]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</si>
</sst>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164" formatCode="_(* #,##0_);_(* \(#,##0\);_(* &quot;-&quot;_);_(@_)"/>
    <numFmt numFmtId="165" formatCode="_(* #,##0_);_(* \(#,##0\);_(* &quot;-&quot;??_);_(@_)"/>
    <numFmt numFmtId="166" formatCode="_-[$Rp-421]* #,##0_-;\-[$Rp-421]* #,##0_-;_-[$Rp-421]* &quot;-&quot;_-;_-@_-"/>
    <numFmt numFmtId="167" formatCode="_-[$Rp-421]* #,##0_-;\-[$Rp-421]* #,##0_-;_-[$Rp-421]* &quot;-&quot;??_-;_-@_-"/>
  </numFmts>
  <fonts count="53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]"/>
    </font>
    <font>
      <sz val="11"/>
      <color rgb="FF000000"/>
      <name val="]"/>
    </font>
    <font>
      <b/>
      <sz val="11"/>
      <name val="]"/>
    </font>
    <font>
      <b/>
      <sz val="11"/>
      <color rgb="FF000000"/>
      <name val="]"/>
    </font>
    <font>
      <b/>
      <sz val="11"/>
      <color theme="1"/>
      <name val="]"/>
    </font>
    <font>
      <sz val="8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]"/>
    </font>
    <font>
      <u/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]"/>
    </font>
    <font>
      <b/>
      <sz val="11"/>
      <color theme="1"/>
      <name val="]"/>
      <charset val="1"/>
    </font>
    <font>
      <i/>
      <sz val="12"/>
      <color rgb="FF000000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u/>
      <sz val="12"/>
      <color rgb="FF000000"/>
      <name val="Arial"/>
      <family val="2"/>
    </font>
    <font>
      <b/>
      <sz val="11"/>
      <color rgb="FF000000"/>
      <name val="]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]"/>
      <charset val="1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  <charset val="1"/>
    </font>
    <font>
      <b/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1"/>
      <color theme="1"/>
      <name val="]"/>
      <charset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u/>
      <sz val="12"/>
      <color rgb="FF000000"/>
      <name val="Arial"/>
      <family val="2"/>
      <charset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ED0000"/>
      <name val="]"/>
    </font>
    <font>
      <b/>
      <sz val="10"/>
      <color rgb="FF000000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1">
    <xf numFmtId="0" fontId="0" fillId="0" borderId="0"/>
    <xf numFmtId="0" fontId="10" fillId="0" borderId="0"/>
    <xf numFmtId="0" fontId="5" fillId="0" borderId="0"/>
    <xf numFmtId="41" fontId="5" fillId="0" borderId="0" applyFont="0" applyFill="0" applyBorder="0" applyAlignment="0" applyProtection="0"/>
    <xf numFmtId="0" fontId="9" fillId="0" borderId="0"/>
    <xf numFmtId="0" fontId="13" fillId="0" borderId="0"/>
    <xf numFmtId="41" fontId="13" fillId="0" borderId="0" applyFont="0" applyFill="0" applyBorder="0" applyAlignment="0" applyProtection="0"/>
    <xf numFmtId="0" fontId="4" fillId="0" borderId="0"/>
    <xf numFmtId="164" fontId="10" fillId="0" borderId="0" applyFont="0" applyFill="0" applyBorder="0" applyAlignment="0" applyProtection="0"/>
    <xf numFmtId="0" fontId="22" fillId="0" borderId="0"/>
    <xf numFmtId="0" fontId="3" fillId="0" borderId="0" applyBorder="0"/>
    <xf numFmtId="0" fontId="9" fillId="0" borderId="0" applyBorder="0"/>
    <xf numFmtId="41" fontId="3" fillId="0" borderId="0" applyFont="0" applyFill="0" applyBorder="0" applyAlignment="0" applyProtection="0"/>
    <xf numFmtId="0" fontId="3" fillId="0" borderId="0" applyBorder="0"/>
    <xf numFmtId="0" fontId="9" fillId="0" borderId="0" applyBorder="0"/>
    <xf numFmtId="0" fontId="5" fillId="0" borderId="0" applyBorder="0"/>
    <xf numFmtId="0" fontId="3" fillId="0" borderId="0" applyBorder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 applyBorder="0"/>
    <xf numFmtId="41" fontId="2" fillId="0" borderId="0" applyFont="0" applyFill="0" applyBorder="0" applyAlignment="0" applyProtection="0"/>
    <xf numFmtId="0" fontId="2" fillId="0" borderId="0" applyBorder="0"/>
    <xf numFmtId="0" fontId="2" fillId="0" borderId="0" applyBorder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 applyBorder="0"/>
    <xf numFmtId="41" fontId="1" fillId="0" borderId="0" applyFont="0" applyFill="0" applyBorder="0" applyAlignment="0" applyProtection="0"/>
    <xf numFmtId="0" fontId="1" fillId="0" borderId="0" applyBorder="0"/>
    <xf numFmtId="0" fontId="1" fillId="0" borderId="0" applyBorder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 applyBorder="0"/>
    <xf numFmtId="41" fontId="1" fillId="0" borderId="0" applyFont="0" applyFill="0" applyBorder="0" applyAlignment="0" applyProtection="0"/>
    <xf numFmtId="0" fontId="1" fillId="0" borderId="0" applyBorder="0"/>
    <xf numFmtId="0" fontId="1" fillId="0" borderId="0" applyBorder="0"/>
    <xf numFmtId="0" fontId="25" fillId="0" borderId="0">
      <alignment vertical="center"/>
    </xf>
    <xf numFmtId="0" fontId="26" fillId="0" borderId="0">
      <protection locked="0"/>
    </xf>
    <xf numFmtId="164" fontId="10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left" vertical="top" wrapText="1" indent="11"/>
    </xf>
    <xf numFmtId="0" fontId="0" fillId="0" borderId="0" xfId="0" applyAlignment="1">
      <alignment horizontal="left" vertical="top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4" fillId="0" borderId="0" xfId="2" applyFont="1"/>
    <xf numFmtId="41" fontId="15" fillId="0" borderId="0" xfId="3" applyFont="1" applyFill="1"/>
    <xf numFmtId="41" fontId="15" fillId="0" borderId="0" xfId="3" applyFont="1" applyFill="1" applyBorder="1"/>
    <xf numFmtId="0" fontId="14" fillId="0" borderId="4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41" fontId="15" fillId="0" borderId="4" xfId="3" applyFont="1" applyFill="1" applyBorder="1" applyAlignment="1">
      <alignment horizontal="center" vertical="center"/>
    </xf>
    <xf numFmtId="0" fontId="14" fillId="0" borderId="4" xfId="2" quotePrefix="1" applyFont="1" applyBorder="1" applyAlignment="1">
      <alignment horizontal="center" vertical="center"/>
    </xf>
    <xf numFmtId="41" fontId="15" fillId="0" borderId="4" xfId="3" quotePrefix="1" applyFont="1" applyFill="1" applyBorder="1" applyAlignment="1">
      <alignment horizontal="center" vertical="center"/>
    </xf>
    <xf numFmtId="42" fontId="14" fillId="0" borderId="0" xfId="2" applyNumberFormat="1" applyFont="1"/>
    <xf numFmtId="0" fontId="14" fillId="0" borderId="0" xfId="2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16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/>
    </xf>
    <xf numFmtId="0" fontId="9" fillId="0" borderId="0" xfId="4" applyAlignment="1">
      <alignment horizontal="left" vertical="top" wrapText="1" indent="11"/>
    </xf>
    <xf numFmtId="0" fontId="16" fillId="0" borderId="4" xfId="0" applyFont="1" applyBorder="1" applyAlignment="1">
      <alignment vertical="center"/>
    </xf>
    <xf numFmtId="0" fontId="21" fillId="0" borderId="0" xfId="4" applyFont="1" applyAlignment="1">
      <alignment horizontal="left" vertical="top"/>
    </xf>
    <xf numFmtId="0" fontId="21" fillId="0" borderId="0" xfId="4" applyFont="1"/>
    <xf numFmtId="0" fontId="24" fillId="0" borderId="0" xfId="4" applyFont="1" applyAlignment="1">
      <alignment horizontal="left" vertical="top"/>
    </xf>
    <xf numFmtId="0" fontId="23" fillId="0" borderId="0" xfId="2" applyFont="1" applyAlignment="1">
      <alignment horizontal="left"/>
    </xf>
    <xf numFmtId="0" fontId="16" fillId="0" borderId="4" xfId="0" quotePrefix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8" fillId="0" borderId="4" xfId="2" quotePrefix="1" applyFont="1" applyBorder="1" applyAlignment="1">
      <alignment horizontal="center" vertical="center"/>
    </xf>
    <xf numFmtId="3" fontId="28" fillId="0" borderId="4" xfId="2" quotePrefix="1" applyNumberFormat="1" applyFont="1" applyBorder="1" applyAlignment="1">
      <alignment horizontal="center" vertical="center"/>
    </xf>
    <xf numFmtId="0" fontId="30" fillId="3" borderId="4" xfId="0" applyFont="1" applyFill="1" applyBorder="1" applyAlignment="1">
      <alignment vertical="center" wrapText="1"/>
    </xf>
    <xf numFmtId="0" fontId="29" fillId="5" borderId="4" xfId="0" applyFont="1" applyFill="1" applyBorder="1" applyAlignment="1">
      <alignment vertical="center" wrapText="1"/>
    </xf>
    <xf numFmtId="41" fontId="15" fillId="5" borderId="4" xfId="3" quotePrefix="1" applyFont="1" applyFill="1" applyBorder="1" applyAlignment="1">
      <alignment horizontal="center" vertical="center"/>
    </xf>
    <xf numFmtId="41" fontId="15" fillId="3" borderId="4" xfId="3" quotePrefix="1" applyFont="1" applyFill="1" applyBorder="1" applyAlignment="1">
      <alignment horizontal="center" vertical="center"/>
    </xf>
    <xf numFmtId="41" fontId="15" fillId="5" borderId="4" xfId="3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28" fillId="5" borderId="4" xfId="2" quotePrefix="1" applyFont="1" applyFill="1" applyBorder="1" applyAlignment="1">
      <alignment horizontal="center" vertical="center"/>
    </xf>
    <xf numFmtId="0" fontId="28" fillId="3" borderId="4" xfId="2" quotePrefix="1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vertical="center" wrapText="1"/>
    </xf>
    <xf numFmtId="0" fontId="33" fillId="3" borderId="4" xfId="0" applyFont="1" applyFill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28" fillId="0" borderId="4" xfId="2" quotePrefix="1" applyFont="1" applyBorder="1" applyAlignment="1">
      <alignment horizontal="left" vertical="center"/>
    </xf>
    <xf numFmtId="41" fontId="34" fillId="3" borderId="4" xfId="3" quotePrefix="1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vertical="center" wrapText="1"/>
    </xf>
    <xf numFmtId="0" fontId="22" fillId="4" borderId="4" xfId="0" applyFont="1" applyFill="1" applyBorder="1" applyAlignment="1" applyProtection="1">
      <alignment wrapText="1"/>
      <protection locked="0"/>
    </xf>
    <xf numFmtId="0" fontId="37" fillId="4" borderId="4" xfId="0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vertical="center" wrapText="1"/>
    </xf>
    <xf numFmtId="0" fontId="37" fillId="3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 applyProtection="1">
      <alignment wrapText="1"/>
      <protection locked="0"/>
    </xf>
    <xf numFmtId="0" fontId="39" fillId="4" borderId="4" xfId="0" applyFont="1" applyFill="1" applyBorder="1" applyAlignment="1" applyProtection="1">
      <alignment wrapText="1"/>
      <protection locked="0"/>
    </xf>
    <xf numFmtId="0" fontId="38" fillId="4" borderId="4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41" fontId="14" fillId="0" borderId="0" xfId="2" applyNumberFormat="1" applyFont="1"/>
    <xf numFmtId="0" fontId="37" fillId="0" borderId="4" xfId="0" applyFont="1" applyBorder="1" applyAlignment="1">
      <alignment horizontal="center" vertical="center" wrapText="1"/>
    </xf>
    <xf numFmtId="41" fontId="22" fillId="0" borderId="4" xfId="0" applyNumberFormat="1" applyFont="1" applyBorder="1" applyAlignment="1" applyProtection="1">
      <alignment wrapText="1"/>
      <protection locked="0"/>
    </xf>
    <xf numFmtId="0" fontId="29" fillId="3" borderId="4" xfId="0" applyFont="1" applyFill="1" applyBorder="1" applyAlignment="1">
      <alignment vertical="center" wrapText="1"/>
    </xf>
    <xf numFmtId="0" fontId="31" fillId="0" borderId="4" xfId="0" applyFont="1" applyBorder="1" applyAlignment="1">
      <alignment horizontal="center" vertical="center" wrapText="1"/>
    </xf>
    <xf numFmtId="3" fontId="22" fillId="0" borderId="4" xfId="0" applyNumberFormat="1" applyFont="1" applyBorder="1" applyAlignment="1" applyProtection="1">
      <alignment wrapText="1"/>
      <protection locked="0"/>
    </xf>
    <xf numFmtId="41" fontId="17" fillId="5" borderId="4" xfId="3" quotePrefix="1" applyFont="1" applyFill="1" applyBorder="1" applyAlignment="1">
      <alignment horizontal="center" vertical="center"/>
    </xf>
    <xf numFmtId="41" fontId="17" fillId="3" borderId="4" xfId="3" quotePrefix="1" applyFont="1" applyFill="1" applyBorder="1" applyAlignment="1">
      <alignment horizontal="center" vertical="center"/>
    </xf>
    <xf numFmtId="41" fontId="40" fillId="4" borderId="4" xfId="0" applyNumberFormat="1" applyFont="1" applyFill="1" applyBorder="1" applyAlignment="1" applyProtection="1">
      <alignment wrapText="1"/>
      <protection locked="0"/>
    </xf>
    <xf numFmtId="41" fontId="40" fillId="3" borderId="4" xfId="0" applyNumberFormat="1" applyFont="1" applyFill="1" applyBorder="1" applyAlignment="1" applyProtection="1">
      <alignment wrapText="1"/>
      <protection locked="0"/>
    </xf>
    <xf numFmtId="3" fontId="29" fillId="2" borderId="0" xfId="0" applyNumberFormat="1" applyFont="1" applyFill="1" applyAlignment="1">
      <alignment horizontal="right" vertical="center" wrapText="1"/>
    </xf>
    <xf numFmtId="3" fontId="29" fillId="0" borderId="0" xfId="0" applyNumberFormat="1" applyFont="1" applyAlignment="1">
      <alignment horizontal="right" vertical="center" wrapText="1"/>
    </xf>
    <xf numFmtId="0" fontId="41" fillId="3" borderId="4" xfId="2" quotePrefix="1" applyFont="1" applyFill="1" applyBorder="1" applyAlignment="1">
      <alignment horizontal="center" vertical="center"/>
    </xf>
    <xf numFmtId="0" fontId="41" fillId="2" borderId="4" xfId="2" quotePrefix="1" applyFont="1" applyFill="1" applyBorder="1" applyAlignment="1">
      <alignment horizontal="center" vertical="center"/>
    </xf>
    <xf numFmtId="41" fontId="15" fillId="0" borderId="0" xfId="3" applyFont="1" applyFill="1" applyAlignment="1">
      <alignment horizontal="center"/>
    </xf>
    <xf numFmtId="41" fontId="15" fillId="0" borderId="0" xfId="3" applyFont="1" applyFill="1" applyBorder="1" applyAlignment="1">
      <alignment horizontal="center"/>
    </xf>
    <xf numFmtId="0" fontId="29" fillId="5" borderId="4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41" fontId="17" fillId="5" borderId="4" xfId="3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9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42" fontId="21" fillId="0" borderId="4" xfId="4" applyNumberFormat="1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42" fontId="21" fillId="2" borderId="4" xfId="4" applyNumberFormat="1" applyFont="1" applyFill="1" applyBorder="1" applyAlignment="1">
      <alignment horizontal="left" vertical="center"/>
    </xf>
    <xf numFmtId="167" fontId="21" fillId="0" borderId="4" xfId="0" applyNumberFormat="1" applyFont="1" applyBorder="1" applyAlignment="1">
      <alignment horizontal="left" vertical="center"/>
    </xf>
    <xf numFmtId="42" fontId="20" fillId="0" borderId="9" xfId="4" applyNumberFormat="1" applyFont="1" applyBorder="1" applyAlignment="1">
      <alignment horizontal="left" vertical="center"/>
    </xf>
    <xf numFmtId="166" fontId="21" fillId="0" borderId="4" xfId="0" applyNumberFormat="1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top" wrapText="1"/>
    </xf>
    <xf numFmtId="166" fontId="21" fillId="0" borderId="4" xfId="0" applyNumberFormat="1" applyFont="1" applyBorder="1" applyAlignment="1">
      <alignment horizontal="left" vertical="top"/>
    </xf>
    <xf numFmtId="0" fontId="38" fillId="4" borderId="4" xfId="0" applyFont="1" applyFill="1" applyBorder="1" applyAlignment="1">
      <alignment vertical="center" wrapText="1"/>
    </xf>
    <xf numFmtId="41" fontId="21" fillId="0" borderId="8" xfId="0" applyNumberFormat="1" applyFont="1" applyBorder="1" applyAlignment="1">
      <alignment horizontal="left" vertical="center" wrapText="1"/>
    </xf>
    <xf numFmtId="3" fontId="31" fillId="2" borderId="0" xfId="0" applyNumberFormat="1" applyFont="1" applyFill="1" applyAlignment="1">
      <alignment horizontal="right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vertical="center" wrapText="1"/>
    </xf>
    <xf numFmtId="0" fontId="42" fillId="0" borderId="4" xfId="0" applyFont="1" applyBorder="1" applyAlignment="1">
      <alignment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/>
    </xf>
    <xf numFmtId="41" fontId="36" fillId="0" borderId="4" xfId="3" quotePrefix="1" applyFont="1" applyFill="1" applyBorder="1" applyAlignment="1">
      <alignment horizontal="center" vertical="center"/>
    </xf>
    <xf numFmtId="41" fontId="39" fillId="4" borderId="4" xfId="0" applyNumberFormat="1" applyFont="1" applyFill="1" applyBorder="1" applyAlignment="1" applyProtection="1">
      <alignment vertical="center" wrapText="1"/>
      <protection locked="0"/>
    </xf>
    <xf numFmtId="0" fontId="37" fillId="6" borderId="4" xfId="0" applyFont="1" applyFill="1" applyBorder="1" applyAlignment="1">
      <alignment horizontal="center" vertical="center" wrapText="1"/>
    </xf>
    <xf numFmtId="0" fontId="37" fillId="6" borderId="4" xfId="0" applyFont="1" applyFill="1" applyBorder="1" applyAlignment="1">
      <alignment vertical="center" wrapText="1"/>
    </xf>
    <xf numFmtId="0" fontId="14" fillId="2" borderId="0" xfId="2" applyFont="1" applyFill="1"/>
    <xf numFmtId="0" fontId="43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center" vertical="center" wrapText="1"/>
    </xf>
    <xf numFmtId="3" fontId="37" fillId="6" borderId="4" xfId="0" applyNumberFormat="1" applyFont="1" applyFill="1" applyBorder="1" applyAlignment="1">
      <alignment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vertical="center"/>
    </xf>
    <xf numFmtId="0" fontId="45" fillId="3" borderId="4" xfId="0" quotePrefix="1" applyFont="1" applyFill="1" applyBorder="1" applyAlignment="1">
      <alignment horizontal="center" vertical="center" wrapText="1"/>
    </xf>
    <xf numFmtId="0" fontId="45" fillId="3" borderId="4" xfId="0" applyFont="1" applyFill="1" applyBorder="1" applyAlignment="1">
      <alignment vertical="center"/>
    </xf>
    <xf numFmtId="41" fontId="43" fillId="3" borderId="4" xfId="3" applyFont="1" applyFill="1" applyBorder="1" applyAlignment="1">
      <alignment horizontal="center" vertical="center"/>
    </xf>
    <xf numFmtId="0" fontId="46" fillId="3" borderId="4" xfId="2" applyFont="1" applyFill="1" applyBorder="1" applyAlignment="1">
      <alignment horizontal="center" vertical="center"/>
    </xf>
    <xf numFmtId="0" fontId="42" fillId="0" borderId="4" xfId="38" applyFont="1" applyBorder="1" applyAlignment="1">
      <alignment horizontal="center" vertical="center"/>
    </xf>
    <xf numFmtId="0" fontId="31" fillId="0" borderId="7" xfId="0" applyFont="1" applyBorder="1" applyAlignment="1">
      <alignment vertical="center" wrapText="1"/>
    </xf>
    <xf numFmtId="165" fontId="42" fillId="0" borderId="4" xfId="38" applyNumberFormat="1" applyFont="1" applyBorder="1">
      <alignment vertical="center"/>
    </xf>
    <xf numFmtId="165" fontId="42" fillId="2" borderId="4" xfId="38" applyNumberFormat="1" applyFont="1" applyFill="1" applyBorder="1">
      <alignment vertical="center"/>
    </xf>
    <xf numFmtId="0" fontId="31" fillId="0" borderId="7" xfId="0" applyFont="1" applyBorder="1" applyAlignment="1">
      <alignment vertical="center"/>
    </xf>
    <xf numFmtId="0" fontId="42" fillId="0" borderId="9" xfId="38" applyFont="1" applyBorder="1" applyAlignment="1">
      <alignment horizontal="center" vertical="center"/>
    </xf>
    <xf numFmtId="0" fontId="14" fillId="0" borderId="4" xfId="2" applyFont="1" applyBorder="1"/>
    <xf numFmtId="0" fontId="39" fillId="3" borderId="4" xfId="0" applyFont="1" applyFill="1" applyBorder="1" applyAlignment="1" applyProtection="1">
      <alignment wrapText="1"/>
      <protection locked="0"/>
    </xf>
    <xf numFmtId="0" fontId="31" fillId="0" borderId="5" xfId="0" applyFont="1" applyBorder="1" applyAlignment="1">
      <alignment vertical="center"/>
    </xf>
    <xf numFmtId="0" fontId="31" fillId="0" borderId="4" xfId="0" applyFont="1" applyBorder="1" applyAlignment="1">
      <alignment horizontal="center" vertical="center"/>
    </xf>
    <xf numFmtId="3" fontId="39" fillId="3" borderId="4" xfId="0" applyNumberFormat="1" applyFont="1" applyFill="1" applyBorder="1" applyAlignment="1" applyProtection="1">
      <alignment wrapText="1"/>
      <protection locked="0"/>
    </xf>
    <xf numFmtId="0" fontId="42" fillId="2" borderId="7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/>
    </xf>
    <xf numFmtId="3" fontId="43" fillId="3" borderId="4" xfId="0" applyNumberFormat="1" applyFont="1" applyFill="1" applyBorder="1" applyAlignment="1">
      <alignment vertical="center" wrapText="1"/>
    </xf>
    <xf numFmtId="3" fontId="22" fillId="0" borderId="4" xfId="0" applyNumberFormat="1" applyFont="1" applyBorder="1" applyAlignment="1" applyProtection="1">
      <alignment vertical="center" wrapText="1"/>
      <protection locked="0"/>
    </xf>
    <xf numFmtId="3" fontId="37" fillId="4" borderId="4" xfId="0" applyNumberFormat="1" applyFont="1" applyFill="1" applyBorder="1" applyAlignment="1">
      <alignment vertical="center" wrapText="1"/>
    </xf>
    <xf numFmtId="41" fontId="48" fillId="0" borderId="4" xfId="3" applyFont="1" applyFill="1" applyBorder="1" applyAlignment="1">
      <alignment vertical="center"/>
    </xf>
    <xf numFmtId="0" fontId="31" fillId="2" borderId="4" xfId="0" applyFont="1" applyFill="1" applyBorder="1" applyAlignment="1">
      <alignment horizontal="center" vertical="center" wrapText="1"/>
    </xf>
    <xf numFmtId="41" fontId="31" fillId="2" borderId="4" xfId="0" applyNumberFormat="1" applyFont="1" applyFill="1" applyBorder="1" applyAlignment="1">
      <alignment vertical="center" wrapText="1"/>
    </xf>
    <xf numFmtId="3" fontId="48" fillId="3" borderId="4" xfId="0" applyNumberFormat="1" applyFont="1" applyFill="1" applyBorder="1" applyAlignment="1" applyProtection="1">
      <alignment wrapText="1"/>
      <protection locked="0"/>
    </xf>
    <xf numFmtId="41" fontId="50" fillId="0" borderId="0" xfId="3" applyFont="1" applyFill="1"/>
    <xf numFmtId="41" fontId="22" fillId="0" borderId="4" xfId="0" applyNumberFormat="1" applyFont="1" applyBorder="1" applyAlignment="1" applyProtection="1">
      <alignment vertical="center" wrapText="1"/>
      <protection locked="0"/>
    </xf>
    <xf numFmtId="0" fontId="37" fillId="0" borderId="4" xfId="0" applyFont="1" applyBorder="1" applyAlignment="1">
      <alignment vertical="center" wrapText="1"/>
    </xf>
    <xf numFmtId="0" fontId="48" fillId="0" borderId="0" xfId="2" applyFont="1" applyAlignment="1">
      <alignment horizontal="center" vertical="center"/>
    </xf>
    <xf numFmtId="41" fontId="48" fillId="0" borderId="0" xfId="3" applyFont="1" applyFill="1" applyBorder="1" applyAlignment="1">
      <alignment vertical="center"/>
    </xf>
    <xf numFmtId="0" fontId="31" fillId="0" borderId="6" xfId="0" applyFont="1" applyBorder="1" applyAlignment="1">
      <alignment vertical="center" wrapText="1"/>
    </xf>
    <xf numFmtId="0" fontId="31" fillId="0" borderId="6" xfId="0" applyFont="1" applyBorder="1" applyAlignment="1">
      <alignment horizontal="center" vertical="center" wrapText="1"/>
    </xf>
    <xf numFmtId="3" fontId="22" fillId="0" borderId="7" xfId="0" applyNumberFormat="1" applyFont="1" applyBorder="1" applyAlignment="1" applyProtection="1">
      <alignment wrapText="1"/>
      <protection locked="0"/>
    </xf>
    <xf numFmtId="0" fontId="0" fillId="0" borderId="0" xfId="0" applyAlignment="1">
      <alignment vertical="center"/>
    </xf>
    <xf numFmtId="0" fontId="0" fillId="0" borderId="4" xfId="0" applyBorder="1"/>
    <xf numFmtId="0" fontId="18" fillId="0" borderId="4" xfId="2" quotePrefix="1" applyFont="1" applyBorder="1" applyAlignment="1">
      <alignment horizontal="center" vertical="center"/>
    </xf>
    <xf numFmtId="0" fontId="49" fillId="0" borderId="4" xfId="2" quotePrefix="1" applyFont="1" applyBorder="1" applyAlignment="1">
      <alignment horizontal="center" vertical="center"/>
    </xf>
    <xf numFmtId="0" fontId="32" fillId="0" borderId="4" xfId="0" applyFont="1" applyBorder="1" applyAlignment="1">
      <alignment vertical="center" wrapText="1"/>
    </xf>
    <xf numFmtId="0" fontId="39" fillId="3" borderId="4" xfId="0" applyFont="1" applyFill="1" applyBorder="1" applyAlignment="1" applyProtection="1">
      <alignment vertical="center" wrapText="1"/>
      <protection locked="0"/>
    </xf>
    <xf numFmtId="41" fontId="0" fillId="0" borderId="0" xfId="0" applyNumberFormat="1"/>
    <xf numFmtId="165" fontId="0" fillId="0" borderId="0" xfId="0" applyNumberFormat="1"/>
    <xf numFmtId="41" fontId="51" fillId="0" borderId="0" xfId="0" applyNumberFormat="1" applyFont="1"/>
    <xf numFmtId="0" fontId="7" fillId="0" borderId="0" xfId="0" applyFont="1" applyAlignment="1">
      <alignment horizontal="left" vertical="top" wrapText="1"/>
    </xf>
    <xf numFmtId="0" fontId="6" fillId="0" borderId="0" xfId="4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41" fontId="21" fillId="0" borderId="8" xfId="0" applyNumberFormat="1" applyFont="1" applyBorder="1" applyAlignment="1">
      <alignment horizontal="left" vertical="center"/>
    </xf>
    <xf numFmtId="166" fontId="21" fillId="0" borderId="8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6" fillId="0" borderId="0" xfId="4" applyFont="1" applyAlignment="1">
      <alignment horizontal="center" vertical="top" wrapText="1"/>
    </xf>
    <xf numFmtId="0" fontId="9" fillId="0" borderId="0" xfId="4" applyAlignment="1">
      <alignment horizontal="center"/>
    </xf>
    <xf numFmtId="0" fontId="21" fillId="0" borderId="0" xfId="4" applyFont="1" applyAlignment="1">
      <alignment horizontal="center"/>
    </xf>
    <xf numFmtId="0" fontId="21" fillId="0" borderId="8" xfId="0" applyFont="1" applyBorder="1" applyAlignment="1">
      <alignment horizontal="left" vertical="top"/>
    </xf>
    <xf numFmtId="0" fontId="0" fillId="0" borderId="4" xfId="0" applyBorder="1" applyAlignment="1">
      <alignment vertical="center"/>
    </xf>
    <xf numFmtId="0" fontId="37" fillId="7" borderId="4" xfId="0" applyFont="1" applyFill="1" applyBorder="1" applyAlignment="1">
      <alignment vertical="center" wrapText="1"/>
    </xf>
    <xf numFmtId="0" fontId="29" fillId="7" borderId="4" xfId="0" applyFont="1" applyFill="1" applyBorder="1" applyAlignment="1">
      <alignment horizontal="center" vertical="center" wrapText="1"/>
    </xf>
    <xf numFmtId="0" fontId="29" fillId="7" borderId="4" xfId="0" applyFont="1" applyFill="1" applyBorder="1" applyAlignment="1">
      <alignment vertical="center" wrapText="1"/>
    </xf>
    <xf numFmtId="41" fontId="15" fillId="7" borderId="4" xfId="3" quotePrefix="1" applyFont="1" applyFill="1" applyBorder="1" applyAlignment="1">
      <alignment horizontal="center" vertical="center"/>
    </xf>
    <xf numFmtId="41" fontId="17" fillId="7" borderId="4" xfId="3" quotePrefix="1" applyFont="1" applyFill="1" applyBorder="1" applyAlignment="1">
      <alignment horizontal="center" vertical="center"/>
    </xf>
    <xf numFmtId="0" fontId="49" fillId="7" borderId="4" xfId="2" quotePrefix="1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 wrapText="1"/>
    </xf>
    <xf numFmtId="3" fontId="37" fillId="7" borderId="4" xfId="0" applyNumberFormat="1" applyFont="1" applyFill="1" applyBorder="1" applyAlignment="1">
      <alignment vertical="center" wrapText="1"/>
    </xf>
    <xf numFmtId="0" fontId="22" fillId="7" borderId="4" xfId="0" applyFont="1" applyFill="1" applyBorder="1" applyAlignment="1" applyProtection="1">
      <alignment wrapText="1"/>
      <protection locked="0"/>
    </xf>
    <xf numFmtId="41" fontId="40" fillId="7" borderId="4" xfId="0" applyNumberFormat="1" applyFont="1" applyFill="1" applyBorder="1" applyAlignment="1" applyProtection="1">
      <alignment wrapText="1"/>
      <protection locked="0"/>
    </xf>
    <xf numFmtId="0" fontId="44" fillId="7" borderId="4" xfId="0" applyFont="1" applyFill="1" applyBorder="1" applyAlignment="1">
      <alignment horizontal="center" vertical="center" wrapText="1"/>
    </xf>
    <xf numFmtId="0" fontId="44" fillId="7" borderId="4" xfId="0" applyFont="1" applyFill="1" applyBorder="1" applyAlignment="1">
      <alignment vertical="center"/>
    </xf>
    <xf numFmtId="41" fontId="15" fillId="7" borderId="4" xfId="3" applyFont="1" applyFill="1" applyBorder="1" applyAlignment="1">
      <alignment horizontal="center" vertical="center"/>
    </xf>
    <xf numFmtId="0" fontId="14" fillId="7" borderId="4" xfId="2" applyFont="1" applyFill="1" applyBorder="1" applyAlignment="1">
      <alignment horizontal="center" vertical="center"/>
    </xf>
    <xf numFmtId="41" fontId="17" fillId="7" borderId="4" xfId="3" applyFont="1" applyFill="1" applyBorder="1" applyAlignment="1">
      <alignment horizontal="center" vertical="center"/>
    </xf>
    <xf numFmtId="3" fontId="22" fillId="3" borderId="4" xfId="0" applyNumberFormat="1" applyFont="1" applyFill="1" applyBorder="1" applyAlignment="1" applyProtection="1">
      <alignment wrapText="1"/>
      <protection locked="0"/>
    </xf>
    <xf numFmtId="0" fontId="22" fillId="0" borderId="4" xfId="0" applyFont="1" applyBorder="1" applyAlignment="1" applyProtection="1">
      <alignment wrapText="1"/>
      <protection locked="0"/>
    </xf>
    <xf numFmtId="3" fontId="31" fillId="0" borderId="4" xfId="0" applyNumberFormat="1" applyFont="1" applyBorder="1" applyAlignment="1">
      <alignment vertical="center" wrapText="1"/>
    </xf>
    <xf numFmtId="0" fontId="31" fillId="3" borderId="4" xfId="0" applyFont="1" applyFill="1" applyBorder="1" applyAlignment="1">
      <alignment vertical="center" wrapText="1"/>
    </xf>
    <xf numFmtId="3" fontId="22" fillId="7" borderId="4" xfId="0" applyNumberFormat="1" applyFont="1" applyFill="1" applyBorder="1" applyAlignment="1" applyProtection="1">
      <alignment wrapText="1"/>
      <protection locked="0"/>
    </xf>
    <xf numFmtId="3" fontId="40" fillId="7" borderId="4" xfId="0" applyNumberFormat="1" applyFont="1" applyFill="1" applyBorder="1" applyAlignment="1" applyProtection="1">
      <alignment wrapText="1"/>
      <protection locked="0"/>
    </xf>
    <xf numFmtId="3" fontId="40" fillId="3" borderId="4" xfId="0" applyNumberFormat="1" applyFont="1" applyFill="1" applyBorder="1" applyAlignment="1" applyProtection="1">
      <alignment wrapText="1"/>
      <protection locked="0"/>
    </xf>
    <xf numFmtId="0" fontId="46" fillId="0" borderId="4" xfId="2" quotePrefix="1" applyFont="1" applyBorder="1" applyAlignment="1">
      <alignment horizontal="center" vertical="center"/>
    </xf>
    <xf numFmtId="3" fontId="49" fillId="0" borderId="4" xfId="2" quotePrefix="1" applyNumberFormat="1" applyFont="1" applyBorder="1" applyAlignment="1">
      <alignment horizontal="center" vertical="center"/>
    </xf>
    <xf numFmtId="0" fontId="48" fillId="0" borderId="4" xfId="2" quotePrefix="1" applyFont="1" applyBorder="1" applyAlignment="1">
      <alignment horizontal="left" vertical="center"/>
    </xf>
    <xf numFmtId="0" fontId="42" fillId="0" borderId="24" xfId="38" applyFont="1" applyBorder="1" applyAlignment="1">
      <alignment horizontal="center" vertical="center"/>
    </xf>
    <xf numFmtId="0" fontId="31" fillId="0" borderId="4" xfId="0" applyFont="1" applyBorder="1" applyAlignment="1">
      <alignment vertical="center"/>
    </xf>
    <xf numFmtId="0" fontId="52" fillId="3" borderId="4" xfId="0" applyFont="1" applyFill="1" applyBorder="1" applyAlignment="1">
      <alignment horizontal="center" vertical="center"/>
    </xf>
    <xf numFmtId="165" fontId="42" fillId="3" borderId="4" xfId="38" applyNumberFormat="1" applyFont="1" applyFill="1" applyBorder="1">
      <alignment vertical="center"/>
    </xf>
    <xf numFmtId="41" fontId="15" fillId="0" borderId="4" xfId="3" applyFont="1" applyFill="1" applyBorder="1" applyAlignment="1">
      <alignment horizontal="center"/>
    </xf>
    <xf numFmtId="41" fontId="15" fillId="0" borderId="4" xfId="3" applyFont="1" applyFill="1" applyBorder="1"/>
    <xf numFmtId="0" fontId="9" fillId="2" borderId="8" xfId="0" applyFont="1" applyFill="1" applyBorder="1" applyAlignment="1">
      <alignment horizontal="left" vertical="center" wrapText="1"/>
    </xf>
    <xf numFmtId="0" fontId="14" fillId="0" borderId="6" xfId="2" quotePrefix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/>
    </xf>
    <xf numFmtId="0" fontId="49" fillId="3" borderId="4" xfId="0" applyFont="1" applyFill="1" applyBorder="1" applyAlignment="1">
      <alignment horizontal="left" vertical="center"/>
    </xf>
    <xf numFmtId="0" fontId="42" fillId="3" borderId="4" xfId="38" applyFont="1" applyFill="1" applyBorder="1" applyAlignment="1">
      <alignment horizontal="center" vertical="center"/>
    </xf>
    <xf numFmtId="165" fontId="42" fillId="3" borderId="7" xfId="38" applyNumberFormat="1" applyFont="1" applyFill="1" applyBorder="1">
      <alignment vertical="center"/>
    </xf>
    <xf numFmtId="0" fontId="49" fillId="3" borderId="4" xfId="2" quotePrefix="1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41" fillId="7" borderId="4" xfId="2" quotePrefix="1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vertical="center" wrapText="1"/>
    </xf>
    <xf numFmtId="0" fontId="46" fillId="2" borderId="4" xfId="2" quotePrefix="1" applyFont="1" applyFill="1" applyBorder="1" applyAlignment="1">
      <alignment horizontal="center" vertical="center"/>
    </xf>
    <xf numFmtId="41" fontId="42" fillId="0" borderId="4" xfId="3" quotePrefix="1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8" xfId="4" applyFont="1" applyBorder="1" applyAlignment="1">
      <alignment horizontal="center" vertical="center"/>
    </xf>
    <xf numFmtId="0" fontId="37" fillId="9" borderId="4" xfId="0" applyFont="1" applyFill="1" applyBorder="1" applyAlignment="1">
      <alignment vertical="center" wrapText="1"/>
    </xf>
    <xf numFmtId="41" fontId="0" fillId="0" borderId="4" xfId="0" applyNumberFormat="1" applyBorder="1"/>
    <xf numFmtId="1" fontId="21" fillId="0" borderId="12" xfId="0" applyNumberFormat="1" applyFont="1" applyBorder="1" applyAlignment="1">
      <alignment horizontal="center" vertical="center" shrinkToFit="1"/>
    </xf>
    <xf numFmtId="1" fontId="21" fillId="0" borderId="13" xfId="0" applyNumberFormat="1" applyFont="1" applyBorder="1" applyAlignment="1">
      <alignment horizontal="center" vertical="center" shrinkToFit="1"/>
    </xf>
    <xf numFmtId="1" fontId="21" fillId="0" borderId="4" xfId="0" applyNumberFormat="1" applyFont="1" applyBorder="1" applyAlignment="1">
      <alignment horizontal="center" vertical="center" shrinkToFi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1" fontId="21" fillId="0" borderId="14" xfId="0" applyNumberFormat="1" applyFont="1" applyBorder="1" applyAlignment="1">
      <alignment horizontal="center" vertical="center" shrinkToFit="1"/>
    </xf>
    <xf numFmtId="1" fontId="21" fillId="0" borderId="22" xfId="0" applyNumberFormat="1" applyFont="1" applyBorder="1" applyAlignment="1">
      <alignment horizontal="center" vertical="center" shrinkToFit="1"/>
    </xf>
    <xf numFmtId="1" fontId="21" fillId="0" borderId="10" xfId="0" applyNumberFormat="1" applyFont="1" applyBorder="1" applyAlignment="1">
      <alignment horizontal="center" vertical="center" shrinkToFit="1"/>
    </xf>
    <xf numFmtId="1" fontId="21" fillId="0" borderId="11" xfId="0" applyNumberFormat="1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8" xfId="4" applyFont="1" applyBorder="1" applyAlignment="1">
      <alignment horizontal="center" vertical="center"/>
    </xf>
    <xf numFmtId="0" fontId="21" fillId="0" borderId="27" xfId="4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0" xfId="4" applyFont="1" applyAlignment="1">
      <alignment horizontal="center" vertical="top"/>
    </xf>
    <xf numFmtId="0" fontId="24" fillId="0" borderId="0" xfId="4" applyFont="1" applyAlignment="1">
      <alignment horizontal="center" vertical="top"/>
    </xf>
    <xf numFmtId="1" fontId="21" fillId="0" borderId="17" xfId="0" applyNumberFormat="1" applyFont="1" applyBorder="1" applyAlignment="1">
      <alignment horizontal="center" vertical="center" shrinkToFit="1"/>
    </xf>
    <xf numFmtId="1" fontId="21" fillId="0" borderId="23" xfId="0" applyNumberFormat="1" applyFont="1" applyBorder="1" applyAlignment="1">
      <alignment horizontal="center" vertical="center" shrinkToFit="1"/>
    </xf>
    <xf numFmtId="0" fontId="21" fillId="0" borderId="4" xfId="0" applyFont="1" applyBorder="1" applyAlignment="1">
      <alignment horizontal="center" wrapText="1"/>
    </xf>
    <xf numFmtId="0" fontId="15" fillId="0" borderId="0" xfId="0" applyFont="1" applyAlignment="1">
      <alignment horizontal="center" vertical="top"/>
    </xf>
    <xf numFmtId="0" fontId="14" fillId="0" borderId="0" xfId="2" applyFont="1" applyAlignment="1">
      <alignment horizontal="left" vertical="top" wrapText="1"/>
    </xf>
    <xf numFmtId="0" fontId="2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8" fillId="0" borderId="0" xfId="2" applyFont="1" applyAlignment="1">
      <alignment horizontal="center"/>
    </xf>
    <xf numFmtId="0" fontId="48" fillId="0" borderId="5" xfId="2" applyFont="1" applyBorder="1" applyAlignment="1">
      <alignment horizontal="center" vertical="center"/>
    </xf>
    <xf numFmtId="0" fontId="48" fillId="0" borderId="6" xfId="2" applyFont="1" applyBorder="1" applyAlignment="1">
      <alignment horizontal="center" vertical="center"/>
    </xf>
    <xf numFmtId="0" fontId="48" fillId="0" borderId="7" xfId="2" applyFont="1" applyBorder="1" applyAlignment="1">
      <alignment horizontal="center" vertical="center"/>
    </xf>
    <xf numFmtId="0" fontId="27" fillId="0" borderId="0" xfId="0" applyFont="1" applyAlignment="1">
      <alignment horizontal="left" vertical="top"/>
    </xf>
    <xf numFmtId="0" fontId="47" fillId="3" borderId="4" xfId="0" applyFont="1" applyFill="1" applyBorder="1" applyAlignment="1">
      <alignment horizontal="left" vertical="center" wrapText="1"/>
    </xf>
  </cellXfs>
  <cellStyles count="41">
    <cellStyle name="Comma [0] 2" xfId="3" xr:uid="{00000000-0005-0000-0000-000000000000}"/>
    <cellStyle name="Comma [0] 2 2" xfId="40" xr:uid="{00000000-0005-0000-0000-000001000000}"/>
    <cellStyle name="Comma [0] 3" xfId="6" xr:uid="{00000000-0005-0000-0000-000002000000}"/>
    <cellStyle name="Comma [0] 3 2" xfId="12" xr:uid="{00000000-0005-0000-0000-000003000000}"/>
    <cellStyle name="Comma [0] 3 2 2" xfId="21" xr:uid="{00000000-0005-0000-0000-000004000000}"/>
    <cellStyle name="Comma [0] 3 2 2 2" xfId="35" xr:uid="{00000000-0005-0000-0000-000005000000}"/>
    <cellStyle name="Comma [0] 3 2 3" xfId="28" xr:uid="{00000000-0005-0000-0000-000006000000}"/>
    <cellStyle name="Comma [0] 3 3" xfId="18" xr:uid="{00000000-0005-0000-0000-000007000000}"/>
    <cellStyle name="Comma [0] 3 3 2" xfId="32" xr:uid="{00000000-0005-0000-0000-000008000000}"/>
    <cellStyle name="Comma [0] 3 4" xfId="25" xr:uid="{00000000-0005-0000-0000-000009000000}"/>
    <cellStyle name="Comma [0] 4" xfId="8" xr:uid="{00000000-0005-0000-0000-00000A000000}"/>
    <cellStyle name="Normal" xfId="0" builtinId="0"/>
    <cellStyle name="Normal 2" xfId="2" xr:uid="{00000000-0005-0000-0000-00000C000000}"/>
    <cellStyle name="Normal 2 2" xfId="9" xr:uid="{00000000-0005-0000-0000-00000D000000}"/>
    <cellStyle name="Normal 2 3" xfId="15" xr:uid="{00000000-0005-0000-0000-00000E000000}"/>
    <cellStyle name="Normal 3" xfId="1" xr:uid="{00000000-0005-0000-0000-00000F000000}"/>
    <cellStyle name="Normal 3 2" xfId="16" xr:uid="{00000000-0005-0000-0000-000010000000}"/>
    <cellStyle name="Normal 3 2 2" xfId="23" xr:uid="{00000000-0005-0000-0000-000011000000}"/>
    <cellStyle name="Normal 3 2 2 2" xfId="37" xr:uid="{00000000-0005-0000-0000-000012000000}"/>
    <cellStyle name="Normal 3 2 3" xfId="30" xr:uid="{00000000-0005-0000-0000-000013000000}"/>
    <cellStyle name="Normal 3 3" xfId="39" xr:uid="{00000000-0005-0000-0000-000014000000}"/>
    <cellStyle name="Normal 4" xfId="4" xr:uid="{00000000-0005-0000-0000-000015000000}"/>
    <cellStyle name="Normal 4 2" xfId="14" xr:uid="{00000000-0005-0000-0000-000016000000}"/>
    <cellStyle name="Normal 5" xfId="5" xr:uid="{00000000-0005-0000-0000-000017000000}"/>
    <cellStyle name="Normal 5 2" xfId="13" xr:uid="{00000000-0005-0000-0000-000018000000}"/>
    <cellStyle name="Normal 5 2 2" xfId="22" xr:uid="{00000000-0005-0000-0000-000019000000}"/>
    <cellStyle name="Normal 5 2 2 2" xfId="36" xr:uid="{00000000-0005-0000-0000-00001A000000}"/>
    <cellStyle name="Normal 5 2 3" xfId="29" xr:uid="{00000000-0005-0000-0000-00001B000000}"/>
    <cellStyle name="Normal 5 3" xfId="17" xr:uid="{00000000-0005-0000-0000-00001C000000}"/>
    <cellStyle name="Normal 5 3 2" xfId="31" xr:uid="{00000000-0005-0000-0000-00001D000000}"/>
    <cellStyle name="Normal 5 4" xfId="24" xr:uid="{00000000-0005-0000-0000-00001E000000}"/>
    <cellStyle name="Normal 6" xfId="7" xr:uid="{00000000-0005-0000-0000-00001F000000}"/>
    <cellStyle name="Normal 6 2" xfId="11" xr:uid="{00000000-0005-0000-0000-000020000000}"/>
    <cellStyle name="Normal 6 3" xfId="19" xr:uid="{00000000-0005-0000-0000-000021000000}"/>
    <cellStyle name="Normal 6 3 2" xfId="33" xr:uid="{00000000-0005-0000-0000-000022000000}"/>
    <cellStyle name="Normal 6 4" xfId="26" xr:uid="{00000000-0005-0000-0000-000023000000}"/>
    <cellStyle name="Normal 7" xfId="10" xr:uid="{00000000-0005-0000-0000-000024000000}"/>
    <cellStyle name="Normal 7 2" xfId="20" xr:uid="{00000000-0005-0000-0000-000025000000}"/>
    <cellStyle name="Normal 7 2 2" xfId="34" xr:uid="{00000000-0005-0000-0000-000026000000}"/>
    <cellStyle name="Normal 7 3" xfId="27" xr:uid="{00000000-0005-0000-0000-000027000000}"/>
    <cellStyle name="Normal 8" xfId="38" xr:uid="{00000000-0005-0000-0000-000028000000}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188118</xdr:colOff>
      <xdr:row>0</xdr:row>
      <xdr:rowOff>23813</xdr:rowOff>
    </xdr:from>
    <xdr:ext cx="8283529" cy="1088666"/>
    <xdr:pic>
      <xdr:nvPicPr>
        <xdr:cNvPr id="2" name="image1.jpeg">
          <a:extLst>
            <a:ext uri="{FF2B5EF4-FFF2-40B4-BE49-F238E27FC236}">
              <a16:creationId xmlns:a16="http://schemas.microsoft.com/office/drawing/2014/main" id="{2C657258-6960-4A36-A0A2-3CCC5B5C6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118" y="23813"/>
          <a:ext cx="8283529" cy="10886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1:H75"/>
  <sheetViews>
    <sheetView view="pageBreakPreview" topLeftCell="A41" zoomScale="84" zoomScaleNormal="80" zoomScaleSheetLayoutView="84" workbookViewId="0">
      <selection activeCell="E20" sqref="E20"/>
    </sheetView>
  </sheetViews>
  <sheetFormatPr defaultColWidth="9.33203125" defaultRowHeight="12.75"/>
  <cols>
    <col min="1" max="1" width="3.33203125" style="2" customWidth="1"/>
    <col min="2" max="2" width="12.6640625" style="2" customWidth="1"/>
    <col min="3" max="3" width="2.33203125" style="2" customWidth="1"/>
    <col min="4" max="4" width="35.83203125" style="154" customWidth="1"/>
    <col min="5" max="5" width="72.5" style="2" customWidth="1"/>
    <col min="6" max="6" width="24.5" style="75" customWidth="1"/>
    <col min="7" max="7" width="6.5" style="2" customWidth="1"/>
    <col min="8" max="8" width="11.5" style="2" bestFit="1" customWidth="1"/>
    <col min="9" max="9" width="21.83203125" style="2" bestFit="1" customWidth="1"/>
    <col min="10" max="10" width="35.5" style="2" customWidth="1"/>
    <col min="11" max="11" width="14" style="2" bestFit="1" customWidth="1"/>
    <col min="12" max="12" width="6" style="2" bestFit="1" customWidth="1"/>
    <col min="13" max="13" width="13.6640625" style="2" bestFit="1" customWidth="1"/>
    <col min="14" max="14" width="16" style="2" bestFit="1" customWidth="1"/>
    <col min="15" max="16384" width="9.33203125" style="2"/>
  </cols>
  <sheetData>
    <row r="1" spans="2:8" ht="95.1" customHeight="1">
      <c r="B1" s="1" t="s">
        <v>0</v>
      </c>
      <c r="C1" s="1"/>
    </row>
    <row r="2" spans="2:8" ht="12.95" customHeight="1">
      <c r="B2" s="3" t="s">
        <v>1</v>
      </c>
      <c r="C2" s="4" t="s">
        <v>2</v>
      </c>
      <c r="D2" s="155" t="s">
        <v>118</v>
      </c>
      <c r="E2" s="4"/>
      <c r="F2" s="76"/>
    </row>
    <row r="3" spans="2:8" ht="12.95" customHeight="1">
      <c r="B3" s="3" t="s">
        <v>3</v>
      </c>
      <c r="C3" s="4" t="s">
        <v>2</v>
      </c>
      <c r="D3" s="156" t="s">
        <v>52</v>
      </c>
      <c r="E3" s="4"/>
      <c r="F3" s="76"/>
    </row>
    <row r="4" spans="2:8" ht="30.6" customHeight="1">
      <c r="B4" s="3" t="s">
        <v>4</v>
      </c>
      <c r="C4" s="4" t="s">
        <v>2</v>
      </c>
      <c r="D4" s="243" t="s">
        <v>152</v>
      </c>
      <c r="E4" s="243"/>
      <c r="F4" s="243"/>
      <c r="G4" s="243"/>
      <c r="H4" s="243"/>
    </row>
    <row r="5" spans="2:8" ht="15.95" customHeight="1">
      <c r="D5" s="242"/>
      <c r="E5" s="242"/>
      <c r="F5" s="242"/>
    </row>
    <row r="6" spans="2:8" ht="30.6" customHeight="1">
      <c r="B6" s="245" t="s">
        <v>33</v>
      </c>
      <c r="C6" s="246"/>
      <c r="D6" s="246"/>
      <c r="E6" s="246"/>
      <c r="F6" s="246"/>
    </row>
    <row r="8" spans="2:8" ht="63.75" customHeight="1">
      <c r="B8" s="247" t="s">
        <v>124</v>
      </c>
      <c r="C8" s="247"/>
      <c r="D8" s="247"/>
      <c r="E8" s="247"/>
      <c r="F8" s="247"/>
    </row>
    <row r="10" spans="2:8" ht="14.25">
      <c r="B10" s="248" t="s">
        <v>5</v>
      </c>
      <c r="C10" s="248"/>
      <c r="D10" s="248"/>
      <c r="E10" s="248"/>
      <c r="F10" s="248"/>
    </row>
    <row r="12" spans="2:8" s="18" customFormat="1" ht="25.5" customHeight="1">
      <c r="B12" s="249" t="s">
        <v>44</v>
      </c>
      <c r="C12" s="250"/>
      <c r="D12" s="26" t="s">
        <v>45</v>
      </c>
      <c r="E12" s="26" t="s">
        <v>46</v>
      </c>
      <c r="F12" s="26" t="s">
        <v>19</v>
      </c>
    </row>
    <row r="13" spans="2:8" s="18" customFormat="1" ht="30.75" customHeight="1">
      <c r="B13" s="218">
        <v>1</v>
      </c>
      <c r="C13" s="219"/>
      <c r="D13" s="211" t="s">
        <v>82</v>
      </c>
      <c r="E13" s="83" t="str">
        <f>RAB!C17</f>
        <v>ATK Kelas</v>
      </c>
      <c r="F13" s="80">
        <f>RAB!G17</f>
        <v>500000</v>
      </c>
    </row>
    <row r="14" spans="2:8" s="18" customFormat="1" ht="30.75" customHeight="1">
      <c r="B14" s="228">
        <v>2</v>
      </c>
      <c r="C14" s="229"/>
      <c r="D14" s="27" t="s">
        <v>83</v>
      </c>
      <c r="E14" s="83" t="str">
        <f>RAB!C20</f>
        <v>Honor Instruktur Ekstrakulikuler Juni-Juli [8 OK x 1LOK]</v>
      </c>
      <c r="F14" s="80">
        <f>RAB!G20</f>
        <v>4000000</v>
      </c>
    </row>
    <row r="15" spans="2:8" s="18" customFormat="1" ht="30.75" customHeight="1">
      <c r="B15" s="228">
        <v>3</v>
      </c>
      <c r="C15" s="229"/>
      <c r="D15" s="27" t="s">
        <v>145</v>
      </c>
      <c r="E15" s="83" t="str">
        <f>RAB!C24</f>
        <v>Sewa Bus (2 Unit x 1KEG)</v>
      </c>
      <c r="F15" s="80">
        <f>RAB!G24</f>
        <v>6600000</v>
      </c>
    </row>
    <row r="16" spans="2:8" s="18" customFormat="1" ht="30.75" customHeight="1">
      <c r="B16" s="228">
        <v>4</v>
      </c>
      <c r="C16" s="229"/>
      <c r="D16" s="211" t="s">
        <v>99</v>
      </c>
      <c r="E16" s="83" t="str">
        <f>RAB!C28</f>
        <v>Biaya Keikutsertaan Club Futsal</v>
      </c>
      <c r="F16" s="80">
        <f>RAB!G28</f>
        <v>1000000</v>
      </c>
    </row>
    <row r="17" spans="2:6" s="18" customFormat="1" ht="30.75" customHeight="1">
      <c r="B17" s="228">
        <v>5</v>
      </c>
      <c r="C17" s="229"/>
      <c r="D17" s="211" t="s">
        <v>146</v>
      </c>
      <c r="E17" s="83" t="str">
        <f>RAB!C32</f>
        <v>Uang Harian Petugas Survei [2 OK x 1 HR]</v>
      </c>
      <c r="F17" s="80">
        <f>RAB!G32</f>
        <v>820000</v>
      </c>
    </row>
    <row r="18" spans="2:6" s="18" customFormat="1" ht="30.75" customHeight="1">
      <c r="B18" s="226">
        <v>6</v>
      </c>
      <c r="C18" s="227"/>
      <c r="D18" s="27" t="s">
        <v>85</v>
      </c>
      <c r="E18" s="74" t="str">
        <f>RAB!C36</f>
        <v>Belanja Air Minum [410 BH x 1 PKT x 1 LOK]</v>
      </c>
      <c r="F18" s="77">
        <f>RAB!G36</f>
        <v>8610000</v>
      </c>
    </row>
    <row r="19" spans="2:6" s="18" customFormat="1" ht="30.75" customHeight="1">
      <c r="B19" s="236">
        <v>7</v>
      </c>
      <c r="C19" s="236"/>
      <c r="D19" s="244" t="s">
        <v>147</v>
      </c>
      <c r="E19" s="74" t="str">
        <f>RAB!C40</f>
        <v>Transport Petugas Pendamping Lomba Atletik[1 OK x 1 Lok]</v>
      </c>
      <c r="F19" s="77">
        <f>RAB!G40</f>
        <v>150000</v>
      </c>
    </row>
    <row r="20" spans="2:6" s="18" customFormat="1" ht="30.75" customHeight="1">
      <c r="B20" s="236"/>
      <c r="C20" s="236"/>
      <c r="D20" s="244"/>
      <c r="E20" s="74" t="str">
        <f>RAB!C41</f>
        <v>Transport Petugas Pendamping Lomba Pencak silat[1 OK x  1 Lok]</v>
      </c>
      <c r="F20" s="77">
        <f>RAB!G41</f>
        <v>150000</v>
      </c>
    </row>
    <row r="21" spans="2:6" s="18" customFormat="1" ht="30.75" customHeight="1">
      <c r="B21" s="236"/>
      <c r="C21" s="236"/>
      <c r="D21" s="244"/>
      <c r="E21" s="74" t="str">
        <f>RAB!C42</f>
        <v>Transport Petugas Technical meeting O2SN [1 OK x 1 Lok]</v>
      </c>
      <c r="F21" s="77">
        <f>RAB!G42</f>
        <v>300000</v>
      </c>
    </row>
    <row r="22" spans="2:6" s="18" customFormat="1" ht="30.75" customHeight="1">
      <c r="B22" s="218">
        <v>8</v>
      </c>
      <c r="C22" s="219"/>
      <c r="D22" s="230" t="s">
        <v>84</v>
      </c>
      <c r="E22" s="74" t="str">
        <f>RAB!C45</f>
        <v>Transport Pemulangan Libur Jeda Semester  [75 OK x 1KEG]</v>
      </c>
      <c r="F22" s="77">
        <f>RAB!G45</f>
        <v>11250000</v>
      </c>
    </row>
    <row r="23" spans="2:6" s="18" customFormat="1" ht="30.75" customHeight="1">
      <c r="B23" s="232"/>
      <c r="C23" s="233"/>
      <c r="D23" s="231"/>
      <c r="E23" s="74" t="str">
        <f>RAB!C46</f>
        <v>Uang Harian Petugas (8 OK x 1KEG]</v>
      </c>
      <c r="F23" s="77">
        <f>RAB!G46</f>
        <v>3280000</v>
      </c>
    </row>
    <row r="24" spans="2:6" s="18" customFormat="1" ht="30.75" customHeight="1">
      <c r="B24" s="228">
        <v>9</v>
      </c>
      <c r="C24" s="229"/>
      <c r="D24" s="211" t="s">
        <v>86</v>
      </c>
      <c r="E24" s="74" t="str">
        <f>RAB!C53</f>
        <v>ATK Kelas</v>
      </c>
      <c r="F24" s="77">
        <f>RAB!G53</f>
        <v>500000</v>
      </c>
    </row>
    <row r="25" spans="2:6" s="18" customFormat="1" ht="30.75" customHeight="1">
      <c r="B25" s="244">
        <v>10</v>
      </c>
      <c r="C25" s="244"/>
      <c r="D25" s="27" t="s">
        <v>87</v>
      </c>
      <c r="E25" s="74" t="str">
        <f>RAB!C56</f>
        <v>Honor Instruktur Ekstrakulikuler Juni-Juli [8 OK x 1 LOK]</v>
      </c>
      <c r="F25" s="77">
        <f>RAB!G56</f>
        <v>4000000</v>
      </c>
    </row>
    <row r="26" spans="2:6" s="18" customFormat="1" ht="30.75" customHeight="1">
      <c r="B26" s="226">
        <v>11</v>
      </c>
      <c r="C26" s="227"/>
      <c r="D26" s="27" t="s">
        <v>148</v>
      </c>
      <c r="E26" s="83" t="str">
        <f>RAB!C60</f>
        <v>Sewa Bus (2 Unit x 1KEG)</v>
      </c>
      <c r="F26" s="77">
        <f>RAB!G60</f>
        <v>6600000</v>
      </c>
    </row>
    <row r="27" spans="2:6" s="18" customFormat="1" ht="30.75" customHeight="1">
      <c r="B27" s="218">
        <v>12</v>
      </c>
      <c r="C27" s="219"/>
      <c r="D27" s="211" t="s">
        <v>95</v>
      </c>
      <c r="E27" s="74" t="str">
        <f>RAB!C64</f>
        <v>Biaya Keikutsertaan Club Futsal</v>
      </c>
      <c r="F27" s="77">
        <f>RAB!G64</f>
        <v>1000000</v>
      </c>
    </row>
    <row r="28" spans="2:6" s="18" customFormat="1" ht="30.75" customHeight="1">
      <c r="B28" s="228">
        <v>13</v>
      </c>
      <c r="C28" s="229"/>
      <c r="D28" s="27" t="s">
        <v>88</v>
      </c>
      <c r="E28" s="74" t="str">
        <f>RAB!C68</f>
        <v>Belanja Air Minum [750 BH x 1 PKT x 1 LOK]</v>
      </c>
      <c r="F28" s="77">
        <f>RAB!G68</f>
        <v>15750000</v>
      </c>
    </row>
    <row r="29" spans="2:6" s="18" customFormat="1" ht="30.75" customHeight="1">
      <c r="B29" s="228">
        <v>14</v>
      </c>
      <c r="C29" s="229"/>
      <c r="D29" s="27" t="s">
        <v>119</v>
      </c>
      <c r="E29" s="196" t="str">
        <f>RAB!C72</f>
        <v>Pembelian Obat Ringan</v>
      </c>
      <c r="F29" s="77">
        <f>RAB!G72</f>
        <v>300000</v>
      </c>
    </row>
    <row r="30" spans="2:6" s="18" customFormat="1" ht="30.75" customHeight="1">
      <c r="B30" s="218">
        <v>15</v>
      </c>
      <c r="C30" s="219"/>
      <c r="D30" s="230" t="s">
        <v>120</v>
      </c>
      <c r="E30" s="196" t="str">
        <f>RAB!C76</f>
        <v>Transport Pemulangan Libur Jeda Semester dan Hari Besar Keagamaan [73 OK x 1KEG]</v>
      </c>
      <c r="F30" s="77">
        <f>RAB!G76</f>
        <v>10950000</v>
      </c>
    </row>
    <row r="31" spans="2:6" s="18" customFormat="1" ht="30.75" customHeight="1">
      <c r="B31" s="232"/>
      <c r="C31" s="233"/>
      <c r="D31" s="231"/>
      <c r="E31" s="196" t="str">
        <f>RAB!C77</f>
        <v>Uang Harian Petugas (8 OK x 1KEG]</v>
      </c>
      <c r="F31" s="77">
        <f>RAB!G77</f>
        <v>3280000</v>
      </c>
    </row>
    <row r="32" spans="2:6" s="18" customFormat="1" ht="30.75" customHeight="1">
      <c r="B32" s="218">
        <v>16</v>
      </c>
      <c r="C32" s="219"/>
      <c r="D32" s="234" t="s">
        <v>96</v>
      </c>
      <c r="E32" s="87" t="str">
        <f>RAB!C84</f>
        <v>Keperluan Sehari-hari Perkantoran</v>
      </c>
      <c r="F32" s="82">
        <f>RAB!G84</f>
        <v>1000000</v>
      </c>
    </row>
    <row r="33" spans="2:6" s="18" customFormat="1" ht="30.75" customHeight="1">
      <c r="B33" s="220"/>
      <c r="C33" s="221"/>
      <c r="D33" s="235"/>
      <c r="E33" s="150" t="str">
        <f>RAB!C85</f>
        <v>BBM</v>
      </c>
      <c r="F33" s="151">
        <f>RAB!G85</f>
        <v>1000000</v>
      </c>
    </row>
    <row r="34" spans="2:6" s="18" customFormat="1" ht="30.75" customHeight="1">
      <c r="B34" s="236">
        <v>18</v>
      </c>
      <c r="C34" s="236"/>
      <c r="D34" s="212" t="s">
        <v>149</v>
      </c>
      <c r="E34" s="150" t="str">
        <f>RAB!C87</f>
        <v>Pembayaran Listrik</v>
      </c>
      <c r="F34" s="151">
        <f>RAB!G87</f>
        <v>30000000</v>
      </c>
    </row>
    <row r="35" spans="2:6" s="18" customFormat="1" ht="16.5" customHeight="1">
      <c r="B35" s="241"/>
      <c r="C35" s="241"/>
      <c r="D35" s="152" t="s">
        <v>47</v>
      </c>
      <c r="E35" s="73"/>
      <c r="F35" s="80">
        <f>SUM(F13:F34)</f>
        <v>111040000</v>
      </c>
    </row>
    <row r="36" spans="2:6" s="18" customFormat="1" ht="16.5" customHeight="1">
      <c r="D36" s="153"/>
      <c r="E36" s="145"/>
      <c r="F36" s="145"/>
    </row>
    <row r="37" spans="2:6" s="18" customFormat="1" ht="16.5" customHeight="1">
      <c r="B37" s="145" t="s">
        <v>48</v>
      </c>
      <c r="C37" s="145"/>
      <c r="D37" s="157"/>
      <c r="F37" s="78"/>
    </row>
    <row r="38" spans="2:6" s="18" customFormat="1" ht="16.5" customHeight="1">
      <c r="B38" s="148" t="s">
        <v>44</v>
      </c>
      <c r="C38" s="149"/>
      <c r="D38" s="158" t="s">
        <v>45</v>
      </c>
      <c r="E38" s="84" t="s">
        <v>49</v>
      </c>
      <c r="F38" s="26" t="s">
        <v>19</v>
      </c>
    </row>
    <row r="39" spans="2:6" s="18" customFormat="1" ht="16.5" customHeight="1">
      <c r="B39" s="215">
        <v>1</v>
      </c>
      <c r="C39" s="216"/>
      <c r="D39" s="211" t="s">
        <v>82</v>
      </c>
      <c r="E39" s="73" t="str">
        <f>RAB!C16</f>
        <v>Belanja Bahan</v>
      </c>
      <c r="F39" s="85">
        <f>RAB!G16</f>
        <v>500000</v>
      </c>
    </row>
    <row r="40" spans="2:6" s="18" customFormat="1" ht="16.5" customHeight="1">
      <c r="B40" s="224">
        <v>2</v>
      </c>
      <c r="C40" s="225"/>
      <c r="D40" s="27" t="s">
        <v>83</v>
      </c>
      <c r="E40" s="73" t="str">
        <f>RAB!C19</f>
        <v>Belanja Jasa Profesi</v>
      </c>
      <c r="F40" s="85">
        <f>RAB!G19</f>
        <v>4000000</v>
      </c>
    </row>
    <row r="41" spans="2:6" s="18" customFormat="1" ht="16.5" customHeight="1">
      <c r="B41" s="222">
        <v>3</v>
      </c>
      <c r="C41" s="223"/>
      <c r="D41" s="27" t="s">
        <v>145</v>
      </c>
      <c r="E41" s="73" t="str">
        <f>RAB!C23</f>
        <v>Belanja Sewa</v>
      </c>
      <c r="F41" s="85">
        <f>RAB!G23</f>
        <v>6600000</v>
      </c>
    </row>
    <row r="42" spans="2:6" s="18" customFormat="1" ht="16.5" customHeight="1">
      <c r="B42" s="215">
        <v>4</v>
      </c>
      <c r="C42" s="216"/>
      <c r="D42" s="211" t="s">
        <v>99</v>
      </c>
      <c r="E42" s="73" t="str">
        <f>RAB!C27</f>
        <v>Belanja Barang Non Operasional Lainnya</v>
      </c>
      <c r="F42" s="85">
        <f>RAB!G27</f>
        <v>1000000</v>
      </c>
    </row>
    <row r="43" spans="2:6" s="18" customFormat="1" ht="16.5" customHeight="1">
      <c r="B43" s="224">
        <v>5</v>
      </c>
      <c r="C43" s="225"/>
      <c r="D43" s="211" t="s">
        <v>146</v>
      </c>
      <c r="E43" s="73" t="str">
        <f>RAB!C31</f>
        <v>Belanja Perjalanan Dinas Biasa</v>
      </c>
      <c r="F43" s="85">
        <f>RAB!G31</f>
        <v>820000</v>
      </c>
    </row>
    <row r="44" spans="2:6" s="18" customFormat="1" ht="16.5" customHeight="1">
      <c r="B44" s="222">
        <v>6</v>
      </c>
      <c r="C44" s="223"/>
      <c r="D44" s="27" t="s">
        <v>85</v>
      </c>
      <c r="E44" s="73" t="str">
        <f>RAB!C35</f>
        <v>Belanja Pengadaan Bahan Makan</v>
      </c>
      <c r="F44" s="85">
        <f>RAB!G35</f>
        <v>8610000</v>
      </c>
    </row>
    <row r="45" spans="2:6" s="18" customFormat="1" ht="16.5" customHeight="1">
      <c r="B45" s="215">
        <v>7</v>
      </c>
      <c r="C45" s="216"/>
      <c r="D45" s="27" t="s">
        <v>147</v>
      </c>
      <c r="E45" s="73" t="str">
        <f>RAB!C39</f>
        <v>Belanja Perjalanan Dinas Dalam Kota</v>
      </c>
      <c r="F45" s="85">
        <f>RAB!G39</f>
        <v>600000</v>
      </c>
    </row>
    <row r="46" spans="2:6" s="18" customFormat="1" ht="16.5" customHeight="1">
      <c r="B46" s="224">
        <v>8</v>
      </c>
      <c r="C46" s="225"/>
      <c r="D46" s="211" t="s">
        <v>84</v>
      </c>
      <c r="E46" s="73" t="str">
        <f>RAB!C44</f>
        <v>Belanja Perjalanan Dinas Biasa</v>
      </c>
      <c r="F46" s="85">
        <f>RAB!G44</f>
        <v>14530000</v>
      </c>
    </row>
    <row r="47" spans="2:6" s="18" customFormat="1" ht="16.5" customHeight="1">
      <c r="B47" s="222">
        <v>9</v>
      </c>
      <c r="C47" s="223"/>
      <c r="D47" s="211" t="s">
        <v>86</v>
      </c>
      <c r="E47" s="73" t="str">
        <f>RAB!C52</f>
        <v>Belanja Bahan</v>
      </c>
      <c r="F47" s="85">
        <f>RAB!G52</f>
        <v>500000</v>
      </c>
    </row>
    <row r="48" spans="2:6" s="18" customFormat="1" ht="16.5" customHeight="1">
      <c r="B48" s="215">
        <v>10</v>
      </c>
      <c r="C48" s="216"/>
      <c r="D48" s="27" t="s">
        <v>87</v>
      </c>
      <c r="E48" s="73" t="str">
        <f>RAB!C55</f>
        <v>Belanja Jasa Profesi</v>
      </c>
      <c r="F48" s="85">
        <f>RAB!G55</f>
        <v>4000000</v>
      </c>
    </row>
    <row r="49" spans="2:6" s="18" customFormat="1" ht="16.5" customHeight="1">
      <c r="B49" s="224">
        <v>11</v>
      </c>
      <c r="C49" s="225"/>
      <c r="D49" s="27" t="s">
        <v>148</v>
      </c>
      <c r="E49" s="73" t="str">
        <f>RAB!C59</f>
        <v>Belanja Sewa</v>
      </c>
      <c r="F49" s="85">
        <f>RAB!G59</f>
        <v>6600000</v>
      </c>
    </row>
    <row r="50" spans="2:6" s="18" customFormat="1" ht="16.5" customHeight="1">
      <c r="B50" s="222">
        <v>12</v>
      </c>
      <c r="C50" s="223"/>
      <c r="D50" s="211" t="s">
        <v>95</v>
      </c>
      <c r="E50" s="73" t="str">
        <f>RAB!C63</f>
        <v>Belanja Barang Non Operasional Lainnya</v>
      </c>
      <c r="F50" s="85">
        <f>RAB!G63</f>
        <v>1000000</v>
      </c>
    </row>
    <row r="51" spans="2:6" s="18" customFormat="1" ht="16.5" customHeight="1">
      <c r="B51" s="215">
        <v>13</v>
      </c>
      <c r="C51" s="216"/>
      <c r="D51" s="27" t="s">
        <v>88</v>
      </c>
      <c r="E51" s="163" t="str">
        <f>RAB!C67</f>
        <v>Belanja Pengadaan Bahan Makan</v>
      </c>
      <c r="F51" s="79">
        <f>RAB!G67</f>
        <v>15750000</v>
      </c>
    </row>
    <row r="52" spans="2:6" s="18" customFormat="1" ht="16.5" customHeight="1">
      <c r="B52" s="224">
        <v>14</v>
      </c>
      <c r="C52" s="225"/>
      <c r="D52" s="27" t="s">
        <v>119</v>
      </c>
      <c r="E52" s="163" t="str">
        <f>RAB!C71</f>
        <v>Belanja Barang Persediaan Barang Konsumsi</v>
      </c>
      <c r="F52" s="79">
        <f>RAB!G71</f>
        <v>300000</v>
      </c>
    </row>
    <row r="53" spans="2:6" s="18" customFormat="1" ht="16.5" customHeight="1">
      <c r="B53" s="222">
        <v>15</v>
      </c>
      <c r="C53" s="223"/>
      <c r="D53" s="211" t="s">
        <v>120</v>
      </c>
      <c r="E53" s="163" t="str">
        <f>RAB!C75</f>
        <v>Belanja Perjalanan Dinas Biasa</v>
      </c>
      <c r="F53" s="79">
        <f>RAB!G75</f>
        <v>14230000</v>
      </c>
    </row>
    <row r="54" spans="2:6" s="18" customFormat="1" ht="16.5" customHeight="1">
      <c r="B54" s="215">
        <v>16</v>
      </c>
      <c r="C54" s="216"/>
      <c r="D54" s="212" t="s">
        <v>96</v>
      </c>
      <c r="E54" s="163" t="str">
        <f>RAB!C83</f>
        <v>Belanja Keperluan Perkantoran</v>
      </c>
      <c r="F54" s="79">
        <f>RAB!G83</f>
        <v>2000000</v>
      </c>
    </row>
    <row r="55" spans="2:6" s="18" customFormat="1" ht="16.5" customHeight="1">
      <c r="B55" s="217">
        <v>17</v>
      </c>
      <c r="C55" s="217"/>
      <c r="D55" s="212" t="s">
        <v>149</v>
      </c>
      <c r="E55" s="163" t="str">
        <f>RAB!C87</f>
        <v>Pembayaran Listrik</v>
      </c>
      <c r="F55" s="79">
        <f>RAB!G87</f>
        <v>30000000</v>
      </c>
    </row>
    <row r="56" spans="2:6" s="18" customFormat="1" ht="16.5" customHeight="1">
      <c r="B56" s="239"/>
      <c r="C56" s="240"/>
      <c r="D56" s="152" t="s">
        <v>47</v>
      </c>
      <c r="E56" s="152"/>
      <c r="F56" s="81">
        <f>SUM(F39:F55)</f>
        <v>111040000</v>
      </c>
    </row>
    <row r="57" spans="2:6" s="18" customFormat="1" ht="16.5" customHeight="1">
      <c r="E57" s="2"/>
      <c r="F57" s="75"/>
    </row>
    <row r="58" spans="2:6" s="18" customFormat="1" ht="11.25" customHeight="1">
      <c r="B58" s="2"/>
      <c r="C58" s="2"/>
      <c r="D58" s="154"/>
      <c r="E58" s="147"/>
      <c r="F58" s="147"/>
    </row>
    <row r="59" spans="2:6" s="18" customFormat="1" ht="17.45" customHeight="1">
      <c r="B59" s="147" t="s">
        <v>20</v>
      </c>
      <c r="C59" s="147"/>
      <c r="D59" s="159"/>
      <c r="E59" s="2"/>
      <c r="F59" s="75"/>
    </row>
    <row r="60" spans="2:6" s="18" customFormat="1" ht="11.25" customHeight="1">
      <c r="B60" s="2"/>
      <c r="C60" s="2"/>
      <c r="D60" s="154"/>
      <c r="E60" s="2"/>
      <c r="F60" s="75"/>
    </row>
    <row r="61" spans="2:6" s="18" customFormat="1" ht="12.75" customHeight="1">
      <c r="B61" s="2"/>
      <c r="C61" s="2"/>
      <c r="D61" s="154"/>
      <c r="E61" s="2"/>
      <c r="F61" s="75"/>
    </row>
    <row r="62" spans="2:6" s="18" customFormat="1" ht="14.25" customHeight="1">
      <c r="B62" s="2"/>
      <c r="C62" s="2"/>
      <c r="D62" s="154"/>
      <c r="E62" s="146"/>
      <c r="F62" s="146"/>
    </row>
    <row r="63" spans="2:6" s="18" customFormat="1" ht="16.5" customHeight="1">
      <c r="B63" s="146" t="s">
        <v>6</v>
      </c>
      <c r="C63" s="146"/>
      <c r="D63" s="160"/>
      <c r="E63" s="2"/>
      <c r="F63" s="75"/>
    </row>
    <row r="64" spans="2:6" s="18" customFormat="1" ht="16.5" customHeight="1">
      <c r="B64" s="2"/>
      <c r="C64" s="2"/>
      <c r="D64" s="154"/>
      <c r="E64" s="237" t="s">
        <v>155</v>
      </c>
      <c r="F64" s="237"/>
    </row>
    <row r="65" spans="2:6" s="18" customFormat="1" ht="16.5" customHeight="1">
      <c r="B65" s="19" t="s">
        <v>7</v>
      </c>
      <c r="C65" s="19"/>
      <c r="D65" s="161"/>
      <c r="E65" s="237" t="s">
        <v>8</v>
      </c>
      <c r="F65" s="237"/>
    </row>
    <row r="66" spans="2:6" ht="15">
      <c r="B66" s="21" t="s">
        <v>34</v>
      </c>
      <c r="C66" s="22"/>
      <c r="D66" s="162"/>
      <c r="E66" s="18"/>
      <c r="F66" s="78"/>
    </row>
    <row r="67" spans="2:6" ht="15">
      <c r="B67" s="18"/>
      <c r="C67" s="18"/>
      <c r="D67" s="153"/>
      <c r="E67" s="18"/>
      <c r="F67" s="78"/>
    </row>
    <row r="68" spans="2:6" ht="15">
      <c r="B68" s="18"/>
      <c r="C68" s="18"/>
      <c r="D68" s="153"/>
      <c r="E68" s="237"/>
      <c r="F68" s="237"/>
    </row>
    <row r="69" spans="2:6" ht="12.75" hidden="1" customHeight="1">
      <c r="B69" s="22"/>
      <c r="C69" s="22"/>
      <c r="D69" s="162"/>
      <c r="E69" s="18"/>
      <c r="F69" s="78"/>
    </row>
    <row r="70" spans="2:6" ht="12.75" hidden="1" customHeight="1">
      <c r="B70" s="18"/>
      <c r="C70" s="18"/>
      <c r="D70" s="153"/>
      <c r="E70" s="18"/>
      <c r="F70" s="78"/>
    </row>
    <row r="71" spans="2:6" ht="12.75" customHeight="1">
      <c r="B71" s="18"/>
      <c r="C71" s="18"/>
      <c r="D71" s="153"/>
      <c r="E71" s="238"/>
      <c r="F71" s="238"/>
    </row>
    <row r="72" spans="2:6" ht="15">
      <c r="B72" s="23"/>
      <c r="C72" s="22"/>
      <c r="D72" s="162"/>
      <c r="E72" s="237"/>
      <c r="F72" s="237"/>
    </row>
    <row r="73" spans="2:6" ht="15">
      <c r="B73" s="21"/>
      <c r="C73" s="22"/>
      <c r="D73" s="162"/>
      <c r="E73" s="238" t="s">
        <v>57</v>
      </c>
      <c r="F73" s="238"/>
    </row>
    <row r="74" spans="2:6" ht="14.25" customHeight="1">
      <c r="B74" s="23" t="s">
        <v>9</v>
      </c>
      <c r="C74" s="22"/>
      <c r="D74" s="162"/>
      <c r="E74" s="237" t="s">
        <v>58</v>
      </c>
      <c r="F74" s="237"/>
    </row>
    <row r="75" spans="2:6" ht="15">
      <c r="B75" s="21" t="s">
        <v>10</v>
      </c>
      <c r="C75" s="22"/>
      <c r="D75" s="162"/>
    </row>
  </sheetData>
  <mergeCells count="53">
    <mergeCell ref="B25:C25"/>
    <mergeCell ref="B14:C14"/>
    <mergeCell ref="B6:F6"/>
    <mergeCell ref="B8:F8"/>
    <mergeCell ref="B10:F10"/>
    <mergeCell ref="B12:C12"/>
    <mergeCell ref="D19:D21"/>
    <mergeCell ref="B19:C21"/>
    <mergeCell ref="B22:C23"/>
    <mergeCell ref="D22:D23"/>
    <mergeCell ref="B24:C24"/>
    <mergeCell ref="D5:F5"/>
    <mergeCell ref="B18:C18"/>
    <mergeCell ref="B13:C13"/>
    <mergeCell ref="D4:H4"/>
    <mergeCell ref="B16:C16"/>
    <mergeCell ref="B15:C15"/>
    <mergeCell ref="B17:C17"/>
    <mergeCell ref="D32:D33"/>
    <mergeCell ref="B34:C34"/>
    <mergeCell ref="E74:F74"/>
    <mergeCell ref="E73:F73"/>
    <mergeCell ref="E72:F72"/>
    <mergeCell ref="E64:F64"/>
    <mergeCell ref="E65:F65"/>
    <mergeCell ref="E68:F68"/>
    <mergeCell ref="E71:F71"/>
    <mergeCell ref="B56:C56"/>
    <mergeCell ref="B35:C35"/>
    <mergeCell ref="B48:C48"/>
    <mergeCell ref="B45:C45"/>
    <mergeCell ref="B40:C40"/>
    <mergeCell ref="B39:C39"/>
    <mergeCell ref="B53:C53"/>
    <mergeCell ref="B26:C26"/>
    <mergeCell ref="B27:C27"/>
    <mergeCell ref="B28:C28"/>
    <mergeCell ref="B29:C29"/>
    <mergeCell ref="D30:D31"/>
    <mergeCell ref="B30:C31"/>
    <mergeCell ref="B54:C54"/>
    <mergeCell ref="B55:C55"/>
    <mergeCell ref="B32:C33"/>
    <mergeCell ref="B41:C41"/>
    <mergeCell ref="B43:C43"/>
    <mergeCell ref="B44:C44"/>
    <mergeCell ref="B47:C47"/>
    <mergeCell ref="B46:C46"/>
    <mergeCell ref="B42:C42"/>
    <mergeCell ref="B49:C49"/>
    <mergeCell ref="B50:C50"/>
    <mergeCell ref="B51:C51"/>
    <mergeCell ref="B52:C52"/>
  </mergeCells>
  <phoneticPr fontId="19" type="noConversion"/>
  <pageMargins left="0.25" right="0.25" top="0.75" bottom="0.75" header="0.3" footer="0.3"/>
  <pageSetup paperSize="9" scale="70" fitToHeight="0" orientation="portrait" r:id="rId1"/>
  <rowBreaks count="2" manualBreakCount="2">
    <brk id="35" max="6" man="1"/>
    <brk id="7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B2:L103"/>
  <sheetViews>
    <sheetView topLeftCell="A17" zoomScale="57" zoomScaleNormal="80" zoomScaleSheetLayoutView="66" workbookViewId="0">
      <selection activeCell="C33" sqref="C33"/>
    </sheetView>
  </sheetViews>
  <sheetFormatPr defaultColWidth="9.33203125" defaultRowHeight="14.25"/>
  <cols>
    <col min="1" max="1" width="4" style="5" customWidth="1"/>
    <col min="2" max="2" width="20.83203125" style="5" customWidth="1"/>
    <col min="3" max="3" width="81.83203125" style="5" customWidth="1"/>
    <col min="4" max="4" width="12.1640625" style="66" customWidth="1"/>
    <col min="5" max="5" width="10" style="5" customWidth="1"/>
    <col min="6" max="6" width="18.83203125" style="6" customWidth="1"/>
    <col min="7" max="7" width="22.1640625" style="6" customWidth="1"/>
    <col min="8" max="8" width="23.1640625" style="5" customWidth="1"/>
    <col min="9" max="9" width="21" style="5" customWidth="1"/>
    <col min="10" max="10" width="19.6640625" style="5" customWidth="1"/>
    <col min="11" max="11" width="21" style="5" customWidth="1"/>
    <col min="12" max="12" width="30.1640625" style="5" customWidth="1"/>
    <col min="13" max="13" width="12.5" style="5" customWidth="1"/>
    <col min="14" max="16384" width="9.33203125" style="5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>
      <c r="B5" s="5" t="s">
        <v>11</v>
      </c>
      <c r="C5" s="5" t="s">
        <v>54</v>
      </c>
    </row>
    <row r="6" spans="2:7">
      <c r="B6" s="5" t="s">
        <v>12</v>
      </c>
      <c r="C6" s="5" t="s">
        <v>55</v>
      </c>
    </row>
    <row r="7" spans="2:7">
      <c r="B7" s="5" t="s">
        <v>13</v>
      </c>
      <c r="C7" s="5" t="s">
        <v>70</v>
      </c>
      <c r="D7" s="67"/>
      <c r="F7" s="7"/>
      <c r="G7" s="7"/>
    </row>
    <row r="8" spans="2:7" ht="50.25" customHeight="1">
      <c r="B8" s="14" t="s">
        <v>14</v>
      </c>
      <c r="C8" s="243" t="s">
        <v>152</v>
      </c>
      <c r="D8" s="243"/>
      <c r="E8" s="243"/>
      <c r="F8" s="243"/>
      <c r="G8" s="243"/>
    </row>
    <row r="9" spans="2:7">
      <c r="D9" s="67"/>
      <c r="F9" s="7"/>
      <c r="G9" s="7"/>
    </row>
    <row r="10" spans="2:7" ht="70.5" customHeight="1">
      <c r="B10" s="8" t="s">
        <v>31</v>
      </c>
      <c r="C10" s="9" t="s">
        <v>15</v>
      </c>
      <c r="D10" s="10" t="s">
        <v>16</v>
      </c>
      <c r="E10" s="9" t="s">
        <v>17</v>
      </c>
      <c r="F10" s="10" t="s">
        <v>18</v>
      </c>
      <c r="G10" s="10" t="s">
        <v>19</v>
      </c>
    </row>
    <row r="11" spans="2:7">
      <c r="B11" s="11" t="s">
        <v>21</v>
      </c>
      <c r="C11" s="11" t="s">
        <v>22</v>
      </c>
      <c r="D11" s="12" t="s">
        <v>23</v>
      </c>
      <c r="E11" s="11" t="s">
        <v>24</v>
      </c>
      <c r="F11" s="12" t="s">
        <v>25</v>
      </c>
      <c r="G11" s="12" t="s">
        <v>26</v>
      </c>
    </row>
    <row r="12" spans="2:7" ht="15">
      <c r="B12" s="139" t="s">
        <v>64</v>
      </c>
      <c r="C12" s="11"/>
      <c r="D12" s="12"/>
      <c r="E12" s="11"/>
      <c r="F12" s="12"/>
      <c r="G12" s="12"/>
    </row>
    <row r="13" spans="2:7" ht="15">
      <c r="B13" s="188" t="s">
        <v>65</v>
      </c>
      <c r="C13" s="11"/>
      <c r="D13" s="12"/>
      <c r="E13" s="11"/>
      <c r="F13" s="12"/>
      <c r="G13" s="12"/>
    </row>
    <row r="14" spans="2:7" ht="15.75">
      <c r="B14" s="139" t="s">
        <v>66</v>
      </c>
      <c r="C14" s="189" t="s">
        <v>69</v>
      </c>
      <c r="D14" s="12"/>
      <c r="E14" s="11"/>
      <c r="F14" s="12"/>
      <c r="G14" s="12"/>
    </row>
    <row r="15" spans="2:7" ht="15.75">
      <c r="B15" s="170" t="s">
        <v>53</v>
      </c>
      <c r="C15" s="165" t="s">
        <v>67</v>
      </c>
      <c r="D15" s="166"/>
      <c r="E15" s="167"/>
      <c r="F15" s="168"/>
      <c r="G15" s="169">
        <f>SUM(G16,G19)</f>
        <v>4500000</v>
      </c>
    </row>
    <row r="16" spans="2:7" ht="15.75">
      <c r="B16" s="37" t="s">
        <v>77</v>
      </c>
      <c r="C16" s="39" t="s">
        <v>68</v>
      </c>
      <c r="D16" s="69"/>
      <c r="E16" s="30"/>
      <c r="F16" s="33"/>
      <c r="G16" s="59">
        <f>SUM(G17:G17)</f>
        <v>500000</v>
      </c>
    </row>
    <row r="17" spans="2:8" ht="17.100000000000001" customHeight="1">
      <c r="B17" s="11"/>
      <c r="C17" s="40" t="s">
        <v>91</v>
      </c>
      <c r="D17" s="56">
        <v>1</v>
      </c>
      <c r="E17" s="11" t="s">
        <v>89</v>
      </c>
      <c r="F17" s="12">
        <v>500000</v>
      </c>
      <c r="G17" s="12">
        <f>SUM(D17*F17)</f>
        <v>500000</v>
      </c>
      <c r="H17" s="52"/>
    </row>
    <row r="18" spans="2:8" ht="15.6" customHeight="1">
      <c r="B18" s="11"/>
      <c r="C18" s="40"/>
      <c r="D18" s="56"/>
      <c r="E18" s="11"/>
      <c r="F18" s="12"/>
      <c r="G18" s="12"/>
      <c r="H18" s="52"/>
    </row>
    <row r="19" spans="2:8" ht="15.6" customHeight="1">
      <c r="B19" s="37">
        <v>522151</v>
      </c>
      <c r="C19" s="39" t="s">
        <v>72</v>
      </c>
      <c r="D19" s="69"/>
      <c r="E19" s="30"/>
      <c r="F19" s="33"/>
      <c r="G19" s="59">
        <f>SUM(G20)</f>
        <v>4000000</v>
      </c>
      <c r="H19" s="52"/>
    </row>
    <row r="20" spans="2:8" ht="15">
      <c r="B20" s="28"/>
      <c r="C20" s="40" t="s">
        <v>133</v>
      </c>
      <c r="D20" s="56">
        <v>8</v>
      </c>
      <c r="E20" s="11" t="s">
        <v>80</v>
      </c>
      <c r="F20" s="12">
        <v>500000</v>
      </c>
      <c r="G20" s="12">
        <f>SUM(D20*F20)</f>
        <v>4000000</v>
      </c>
      <c r="H20" s="52"/>
    </row>
    <row r="21" spans="2:8" ht="15">
      <c r="B21" s="28"/>
      <c r="C21" s="40"/>
      <c r="D21" s="56"/>
      <c r="E21" s="11"/>
      <c r="F21" s="12"/>
      <c r="G21" s="12"/>
      <c r="H21" s="52"/>
    </row>
    <row r="22" spans="2:8" ht="15.75">
      <c r="B22" s="170" t="s">
        <v>126</v>
      </c>
      <c r="C22" s="213" t="s">
        <v>127</v>
      </c>
      <c r="D22" s="205"/>
      <c r="E22" s="206"/>
      <c r="F22" s="168"/>
      <c r="G22" s="169">
        <f>G24</f>
        <v>6600000</v>
      </c>
      <c r="H22" s="52"/>
    </row>
    <row r="23" spans="2:8" ht="15.75">
      <c r="B23" s="203">
        <v>522141</v>
      </c>
      <c r="C23" s="210" t="s">
        <v>117</v>
      </c>
      <c r="D23" s="204"/>
      <c r="E23" s="64"/>
      <c r="F23" s="33"/>
      <c r="G23" s="33">
        <f>G24</f>
        <v>6600000</v>
      </c>
      <c r="H23" s="52"/>
    </row>
    <row r="24" spans="2:8" ht="15">
      <c r="B24" s="139"/>
      <c r="C24" s="40" t="s">
        <v>128</v>
      </c>
      <c r="D24" s="56">
        <v>2</v>
      </c>
      <c r="E24" s="208" t="s">
        <v>129</v>
      </c>
      <c r="F24" s="209">
        <v>3300000</v>
      </c>
      <c r="G24" s="209">
        <f>SUM(D24*F24)</f>
        <v>6600000</v>
      </c>
      <c r="H24" s="52"/>
    </row>
    <row r="25" spans="2:8" ht="15">
      <c r="B25" s="139"/>
      <c r="C25" s="40"/>
      <c r="D25" s="56"/>
      <c r="E25" s="208"/>
      <c r="F25" s="209"/>
      <c r="G25" s="209"/>
      <c r="H25" s="52"/>
    </row>
    <row r="26" spans="2:8" ht="15.6" customHeight="1">
      <c r="B26" s="171" t="s">
        <v>92</v>
      </c>
      <c r="C26" s="165" t="s">
        <v>93</v>
      </c>
      <c r="D26" s="165"/>
      <c r="E26" s="165"/>
      <c r="F26" s="165"/>
      <c r="G26" s="172">
        <f>G27</f>
        <v>1000000</v>
      </c>
    </row>
    <row r="27" spans="2:8" ht="15.6" customHeight="1">
      <c r="B27" s="51" t="s">
        <v>97</v>
      </c>
      <c r="C27" s="257" t="s">
        <v>98</v>
      </c>
      <c r="D27" s="257"/>
      <c r="E27" s="257"/>
      <c r="F27" s="141"/>
      <c r="G27" s="121">
        <f>SUM(G28:G28)</f>
        <v>1000000</v>
      </c>
    </row>
    <row r="28" spans="2:8" ht="15.6" customHeight="1">
      <c r="B28" s="99"/>
      <c r="C28" s="116" t="s">
        <v>109</v>
      </c>
      <c r="D28" s="117">
        <v>2</v>
      </c>
      <c r="E28" s="100" t="s">
        <v>94</v>
      </c>
      <c r="F28" s="122">
        <v>500000</v>
      </c>
      <c r="G28" s="122">
        <f>SUM(D28*F28)</f>
        <v>1000000</v>
      </c>
    </row>
    <row r="29" spans="2:8" ht="15.6" customHeight="1">
      <c r="B29" s="99"/>
      <c r="C29" s="116"/>
      <c r="D29" s="117"/>
      <c r="E29" s="119"/>
      <c r="F29" s="122"/>
      <c r="G29" s="122"/>
    </row>
    <row r="30" spans="2:8" ht="15.6" customHeight="1">
      <c r="B30" s="170" t="s">
        <v>140</v>
      </c>
      <c r="C30" s="213" t="s">
        <v>141</v>
      </c>
      <c r="D30" s="205"/>
      <c r="E30" s="206"/>
      <c r="F30" s="168"/>
      <c r="G30" s="169">
        <f>G32</f>
        <v>820000</v>
      </c>
    </row>
    <row r="31" spans="2:8" ht="15.6" customHeight="1">
      <c r="B31" s="203">
        <v>524111</v>
      </c>
      <c r="C31" s="210" t="s">
        <v>76</v>
      </c>
      <c r="D31" s="204"/>
      <c r="E31" s="64"/>
      <c r="F31" s="33"/>
      <c r="G31" s="33">
        <f>G32</f>
        <v>820000</v>
      </c>
    </row>
    <row r="32" spans="2:8" ht="15.6" customHeight="1">
      <c r="B32" s="139"/>
      <c r="C32" s="40" t="s">
        <v>164</v>
      </c>
      <c r="D32" s="56">
        <v>2</v>
      </c>
      <c r="E32" s="208" t="s">
        <v>80</v>
      </c>
      <c r="F32" s="209">
        <v>410000</v>
      </c>
      <c r="G32" s="209">
        <f>SUM(D32*F32)</f>
        <v>820000</v>
      </c>
    </row>
    <row r="33" spans="2:8" ht="15.6" customHeight="1">
      <c r="B33" s="114"/>
      <c r="C33" s="116"/>
      <c r="D33" s="117"/>
      <c r="E33" s="119"/>
      <c r="F33" s="122"/>
      <c r="G33" s="57"/>
    </row>
    <row r="34" spans="2:8" ht="15.6" customHeight="1">
      <c r="B34" s="171" t="s">
        <v>73</v>
      </c>
      <c r="C34" s="165" t="s">
        <v>74</v>
      </c>
      <c r="D34" s="166"/>
      <c r="E34" s="167"/>
      <c r="F34" s="173"/>
      <c r="G34" s="174">
        <f>G36</f>
        <v>8610000</v>
      </c>
      <c r="H34" s="62"/>
    </row>
    <row r="35" spans="2:8" ht="15.6" customHeight="1">
      <c r="B35" s="47">
        <v>521112</v>
      </c>
      <c r="C35" s="30" t="s">
        <v>78</v>
      </c>
      <c r="D35" s="71"/>
      <c r="E35" s="55"/>
      <c r="F35" s="48"/>
      <c r="G35" s="61">
        <f>SUM(G36)</f>
        <v>8610000</v>
      </c>
      <c r="H35" s="88"/>
    </row>
    <row r="36" spans="2:8" ht="15.6" customHeight="1">
      <c r="B36" s="56"/>
      <c r="C36" s="40" t="s">
        <v>150</v>
      </c>
      <c r="D36" s="56">
        <v>410</v>
      </c>
      <c r="E36" s="11" t="s">
        <v>90</v>
      </c>
      <c r="F36" s="57">
        <v>21000</v>
      </c>
      <c r="G36" s="54">
        <f>D36*F36</f>
        <v>8610000</v>
      </c>
      <c r="H36" s="88"/>
    </row>
    <row r="37" spans="2:8" ht="15.6" customHeight="1">
      <c r="B37" s="56"/>
      <c r="C37" s="40"/>
      <c r="D37" s="56"/>
      <c r="E37" s="11"/>
      <c r="F37" s="57"/>
      <c r="G37" s="54"/>
      <c r="H37" s="88"/>
    </row>
    <row r="38" spans="2:8" ht="36.75" customHeight="1">
      <c r="B38" s="171" t="s">
        <v>75</v>
      </c>
      <c r="C38" s="165" t="s">
        <v>79</v>
      </c>
      <c r="D38" s="167"/>
      <c r="E38" s="167"/>
      <c r="F38" s="173"/>
      <c r="G38" s="174">
        <f>SUM(G39,G44)</f>
        <v>15130000</v>
      </c>
      <c r="H38" s="88"/>
    </row>
    <row r="39" spans="2:8" ht="17.25" customHeight="1">
      <c r="B39" s="47">
        <v>524113</v>
      </c>
      <c r="C39" s="30" t="s">
        <v>111</v>
      </c>
      <c r="D39" s="30"/>
      <c r="E39" s="30"/>
      <c r="F39" s="48"/>
      <c r="G39" s="61">
        <f>SUM(G40:G42)</f>
        <v>600000</v>
      </c>
      <c r="H39" s="88"/>
    </row>
    <row r="40" spans="2:8" s="98" customFormat="1" ht="15.75">
      <c r="B40" s="89"/>
      <c r="C40" s="91" t="s">
        <v>132</v>
      </c>
      <c r="D40" s="92">
        <v>1</v>
      </c>
      <c r="E40" s="93" t="s">
        <v>80</v>
      </c>
      <c r="F40" s="122">
        <v>150000</v>
      </c>
      <c r="G40" s="129">
        <f>SUM(D40*F40)</f>
        <v>150000</v>
      </c>
      <c r="H40" s="88"/>
    </row>
    <row r="41" spans="2:8" s="98" customFormat="1" ht="15.75">
      <c r="B41" s="89"/>
      <c r="C41" s="91" t="s">
        <v>130</v>
      </c>
      <c r="D41" s="56">
        <v>1</v>
      </c>
      <c r="E41" s="93" t="s">
        <v>80</v>
      </c>
      <c r="F41" s="122">
        <v>150000</v>
      </c>
      <c r="G41" s="129">
        <f>SUM(D41*F41)</f>
        <v>150000</v>
      </c>
      <c r="H41" s="88"/>
    </row>
    <row r="42" spans="2:8" s="98" customFormat="1" ht="15.75">
      <c r="B42" s="89"/>
      <c r="C42" s="91" t="s">
        <v>131</v>
      </c>
      <c r="D42" s="92">
        <v>2</v>
      </c>
      <c r="E42" s="93" t="s">
        <v>80</v>
      </c>
      <c r="F42" s="122">
        <v>150000</v>
      </c>
      <c r="G42" s="129">
        <f>SUM(D42*F42)</f>
        <v>300000</v>
      </c>
      <c r="H42" s="88"/>
    </row>
    <row r="43" spans="2:8" s="98" customFormat="1" ht="15.75">
      <c r="B43" s="89"/>
      <c r="C43" s="91"/>
      <c r="D43" s="92"/>
      <c r="E43" s="93"/>
      <c r="F43" s="122"/>
      <c r="G43" s="129"/>
      <c r="H43" s="88"/>
    </row>
    <row r="44" spans="2:8" s="98" customFormat="1" ht="15.75">
      <c r="B44" s="47">
        <v>524111</v>
      </c>
      <c r="C44" s="183" t="s">
        <v>76</v>
      </c>
      <c r="D44" s="30"/>
      <c r="E44" s="30"/>
      <c r="F44" s="48"/>
      <c r="G44" s="61">
        <f>SUM(G45:G46)</f>
        <v>14530000</v>
      </c>
      <c r="H44" s="88"/>
    </row>
    <row r="45" spans="2:8" s="98" customFormat="1" ht="15.75">
      <c r="B45" s="89"/>
      <c r="C45" s="40" t="s">
        <v>162</v>
      </c>
      <c r="D45" s="56">
        <v>75</v>
      </c>
      <c r="E45" s="93" t="s">
        <v>80</v>
      </c>
      <c r="F45" s="122">
        <v>150000</v>
      </c>
      <c r="G45" s="129">
        <f>SUM(D45*F45)</f>
        <v>11250000</v>
      </c>
      <c r="H45" s="88"/>
    </row>
    <row r="46" spans="2:8" s="98" customFormat="1" ht="15.75">
      <c r="B46" s="89"/>
      <c r="C46" s="40" t="s">
        <v>134</v>
      </c>
      <c r="D46" s="56">
        <v>8</v>
      </c>
      <c r="E46" s="93" t="s">
        <v>80</v>
      </c>
      <c r="F46" s="122">
        <v>410000</v>
      </c>
      <c r="G46" s="129">
        <f>SUM(D46*F46)</f>
        <v>3280000</v>
      </c>
      <c r="H46" s="88"/>
    </row>
    <row r="47" spans="2:8" s="98" customFormat="1" ht="15.75">
      <c r="B47" s="89"/>
      <c r="C47" s="40"/>
      <c r="D47" s="56"/>
      <c r="E47" s="93"/>
      <c r="F47" s="122"/>
      <c r="G47" s="129"/>
      <c r="H47" s="88"/>
    </row>
    <row r="48" spans="2:8" ht="15.6" customHeight="1">
      <c r="B48" s="139" t="s">
        <v>27</v>
      </c>
      <c r="C48" s="187"/>
      <c r="D48" s="12"/>
      <c r="E48" s="11"/>
      <c r="F48" s="12"/>
      <c r="G48" s="12"/>
    </row>
    <row r="49" spans="2:8" ht="15.6" customHeight="1">
      <c r="B49" s="188" t="s">
        <v>65</v>
      </c>
      <c r="C49" s="187"/>
      <c r="D49" s="12"/>
      <c r="E49" s="11"/>
      <c r="F49" s="12"/>
      <c r="G49" s="12"/>
    </row>
    <row r="50" spans="2:8" ht="15.6" customHeight="1">
      <c r="B50" s="139" t="s">
        <v>66</v>
      </c>
      <c r="C50" s="189" t="s">
        <v>69</v>
      </c>
      <c r="D50" s="12"/>
      <c r="E50" s="11"/>
      <c r="F50" s="12"/>
      <c r="G50" s="12"/>
    </row>
    <row r="51" spans="2:8" ht="24" customHeight="1">
      <c r="B51" s="170" t="s">
        <v>53</v>
      </c>
      <c r="C51" s="165" t="s">
        <v>67</v>
      </c>
      <c r="D51" s="166"/>
      <c r="E51" s="167"/>
      <c r="F51" s="168"/>
      <c r="G51" s="169">
        <f>SUM(G55,G52)</f>
        <v>4500000</v>
      </c>
    </row>
    <row r="52" spans="2:8" ht="21" customHeight="1">
      <c r="B52" s="37" t="s">
        <v>77</v>
      </c>
      <c r="C52" s="39" t="s">
        <v>68</v>
      </c>
      <c r="D52" s="69"/>
      <c r="E52" s="30"/>
      <c r="F52" s="33"/>
      <c r="G52" s="59">
        <f>SUM(G53:G53)</f>
        <v>500000</v>
      </c>
    </row>
    <row r="53" spans="2:8" ht="15.6" customHeight="1">
      <c r="B53" s="28"/>
      <c r="C53" s="40" t="s">
        <v>91</v>
      </c>
      <c r="D53" s="56">
        <v>1</v>
      </c>
      <c r="E53" s="56" t="s">
        <v>89</v>
      </c>
      <c r="F53" s="12">
        <v>500000</v>
      </c>
      <c r="G53" s="94">
        <f>F53</f>
        <v>500000</v>
      </c>
    </row>
    <row r="54" spans="2:8">
      <c r="B54" s="114"/>
      <c r="C54" s="114"/>
      <c r="D54" s="194"/>
      <c r="E54" s="114"/>
      <c r="F54" s="195"/>
      <c r="G54" s="195"/>
    </row>
    <row r="55" spans="2:8" ht="14.45" customHeight="1">
      <c r="B55" s="37" t="s">
        <v>71</v>
      </c>
      <c r="C55" s="43" t="s">
        <v>72</v>
      </c>
      <c r="D55" s="51"/>
      <c r="E55" s="64"/>
      <c r="F55" s="42"/>
      <c r="G55" s="42">
        <f>SUM(G56:G56)</f>
        <v>4000000</v>
      </c>
    </row>
    <row r="56" spans="2:8" ht="14.45" customHeight="1">
      <c r="B56" s="11"/>
      <c r="C56" s="40" t="s">
        <v>137</v>
      </c>
      <c r="D56" s="56">
        <v>8</v>
      </c>
      <c r="E56" s="65" t="s">
        <v>80</v>
      </c>
      <c r="F56" s="12">
        <v>500000</v>
      </c>
      <c r="G56" s="12">
        <f>D56*F56</f>
        <v>4000000</v>
      </c>
    </row>
    <row r="57" spans="2:8" ht="14.45" customHeight="1">
      <c r="B57" s="11"/>
      <c r="C57" s="40"/>
      <c r="D57" s="56"/>
      <c r="E57" s="65"/>
      <c r="F57" s="12"/>
      <c r="G57" s="12"/>
    </row>
    <row r="58" spans="2:8" ht="20.25" customHeight="1">
      <c r="B58" s="170" t="s">
        <v>126</v>
      </c>
      <c r="C58" s="207" t="s">
        <v>127</v>
      </c>
      <c r="D58" s="205"/>
      <c r="E58" s="206"/>
      <c r="F58" s="168"/>
      <c r="G58" s="169">
        <f>G59</f>
        <v>6600000</v>
      </c>
    </row>
    <row r="59" spans="2:8" ht="14.45" customHeight="1">
      <c r="B59" s="203">
        <v>522141</v>
      </c>
      <c r="C59" s="210" t="s">
        <v>117</v>
      </c>
      <c r="D59" s="204"/>
      <c r="E59" s="64"/>
      <c r="F59" s="33"/>
      <c r="G59" s="33">
        <f>G60</f>
        <v>6600000</v>
      </c>
    </row>
    <row r="60" spans="2:8" ht="14.45" customHeight="1">
      <c r="B60" s="139"/>
      <c r="C60" s="40" t="s">
        <v>128</v>
      </c>
      <c r="D60" s="56">
        <v>2</v>
      </c>
      <c r="E60" s="208" t="s">
        <v>129</v>
      </c>
      <c r="F60" s="209">
        <v>3300000</v>
      </c>
      <c r="G60" s="209">
        <f>SUM(D60*F60)</f>
        <v>6600000</v>
      </c>
    </row>
    <row r="61" spans="2:8" ht="14.45" customHeight="1">
      <c r="B61" s="114"/>
      <c r="C61" s="40"/>
      <c r="D61" s="56"/>
      <c r="E61" s="65"/>
      <c r="F61" s="12"/>
      <c r="G61" s="12"/>
    </row>
    <row r="62" spans="2:8" ht="21" customHeight="1">
      <c r="B62" s="96" t="s">
        <v>92</v>
      </c>
      <c r="C62" s="97" t="s">
        <v>93</v>
      </c>
      <c r="D62" s="97"/>
      <c r="E62" s="97"/>
      <c r="F62" s="97"/>
      <c r="G62" s="101">
        <f>SUM(G63)</f>
        <v>1000000</v>
      </c>
      <c r="H62" s="62"/>
    </row>
    <row r="63" spans="2:8" ht="14.45" customHeight="1">
      <c r="B63" s="51" t="s">
        <v>97</v>
      </c>
      <c r="C63" s="257" t="s">
        <v>98</v>
      </c>
      <c r="D63" s="257"/>
      <c r="E63" s="257"/>
      <c r="F63" s="115"/>
      <c r="G63" s="186">
        <f>SUM(G64:G64)</f>
        <v>1000000</v>
      </c>
      <c r="H63" s="63"/>
    </row>
    <row r="64" spans="2:8" ht="18.75" customHeight="1">
      <c r="B64" s="99"/>
      <c r="C64" s="116" t="s">
        <v>109</v>
      </c>
      <c r="D64" s="117">
        <v>2</v>
      </c>
      <c r="E64" s="100" t="s">
        <v>94</v>
      </c>
      <c r="F64" s="122">
        <v>500000</v>
      </c>
      <c r="G64" s="57">
        <f>SUM(D64*F64)</f>
        <v>1000000</v>
      </c>
      <c r="H64" s="63"/>
    </row>
    <row r="65" spans="2:12" ht="18.75" customHeight="1">
      <c r="B65" s="99"/>
      <c r="C65" s="116"/>
      <c r="D65" s="117"/>
      <c r="E65" s="119"/>
      <c r="F65" s="122"/>
      <c r="G65" s="57"/>
      <c r="H65" s="63"/>
    </row>
    <row r="66" spans="2:12" ht="18.75" customHeight="1">
      <c r="B66" s="171" t="s">
        <v>73</v>
      </c>
      <c r="C66" s="165" t="s">
        <v>74</v>
      </c>
      <c r="D66" s="166"/>
      <c r="E66" s="167"/>
      <c r="F66" s="173"/>
      <c r="G66" s="174">
        <f>G67</f>
        <v>15750000</v>
      </c>
      <c r="H66" s="63"/>
    </row>
    <row r="67" spans="2:12" ht="18.75" customHeight="1">
      <c r="B67" s="47">
        <v>521112</v>
      </c>
      <c r="C67" s="183" t="s">
        <v>78</v>
      </c>
      <c r="D67" s="71"/>
      <c r="E67" s="55"/>
      <c r="F67" s="48"/>
      <c r="G67" s="61">
        <f>SUM(G68)</f>
        <v>15750000</v>
      </c>
      <c r="H67" s="63"/>
    </row>
    <row r="68" spans="2:12" ht="14.45" customHeight="1">
      <c r="B68" s="56"/>
      <c r="C68" s="40" t="s">
        <v>151</v>
      </c>
      <c r="D68" s="56">
        <v>750</v>
      </c>
      <c r="E68" s="11" t="s">
        <v>90</v>
      </c>
      <c r="F68" s="57">
        <v>21000</v>
      </c>
      <c r="G68" s="54">
        <f>D68*F68</f>
        <v>15750000</v>
      </c>
      <c r="H68" s="63"/>
    </row>
    <row r="69" spans="2:12" ht="14.45" customHeight="1">
      <c r="B69" s="56"/>
      <c r="C69" s="40"/>
      <c r="D69" s="56"/>
      <c r="E69" s="11"/>
      <c r="F69" s="57"/>
      <c r="G69" s="54"/>
      <c r="H69" s="63"/>
    </row>
    <row r="70" spans="2:12" ht="22.5" customHeight="1">
      <c r="B70" s="171" t="s">
        <v>112</v>
      </c>
      <c r="C70" s="165" t="s">
        <v>113</v>
      </c>
      <c r="D70" s="165"/>
      <c r="E70" s="165"/>
      <c r="F70" s="184"/>
      <c r="G70" s="185">
        <f>G71</f>
        <v>300000</v>
      </c>
      <c r="H70" s="63"/>
    </row>
    <row r="71" spans="2:12" ht="18.75" customHeight="1">
      <c r="B71" s="47" t="s">
        <v>114</v>
      </c>
      <c r="C71" s="183" t="s">
        <v>115</v>
      </c>
      <c r="D71" s="30"/>
      <c r="E71" s="30"/>
      <c r="F71" s="180"/>
      <c r="G71" s="186">
        <f>G72</f>
        <v>300000</v>
      </c>
      <c r="H71" s="63"/>
    </row>
    <row r="72" spans="2:12" ht="14.45" customHeight="1">
      <c r="B72" s="181"/>
      <c r="C72" s="40" t="s">
        <v>116</v>
      </c>
      <c r="D72" s="56">
        <v>1</v>
      </c>
      <c r="E72" s="56" t="s">
        <v>89</v>
      </c>
      <c r="F72" s="57">
        <v>300000</v>
      </c>
      <c r="G72" s="182">
        <f>SUM(D72*F72)</f>
        <v>300000</v>
      </c>
      <c r="H72" s="63"/>
    </row>
    <row r="73" spans="2:12" ht="15.75">
      <c r="B73" s="181"/>
      <c r="C73" s="120"/>
      <c r="D73" s="120"/>
      <c r="E73" s="120"/>
      <c r="F73" s="122"/>
      <c r="G73" s="182"/>
      <c r="H73" s="63"/>
    </row>
    <row r="74" spans="2:12" ht="36" customHeight="1">
      <c r="B74" s="171" t="s">
        <v>75</v>
      </c>
      <c r="C74" s="165" t="s">
        <v>79</v>
      </c>
      <c r="D74" s="167"/>
      <c r="E74" s="167"/>
      <c r="F74" s="173"/>
      <c r="G74" s="174">
        <f>G75</f>
        <v>14230000</v>
      </c>
      <c r="H74" s="63"/>
    </row>
    <row r="75" spans="2:12" ht="20.25" customHeight="1">
      <c r="B75" s="47">
        <v>524111</v>
      </c>
      <c r="C75" s="183" t="s">
        <v>76</v>
      </c>
      <c r="D75" s="30"/>
      <c r="E75" s="30"/>
      <c r="F75" s="48"/>
      <c r="G75" s="61">
        <f>SUM(G76:G77)</f>
        <v>14230000</v>
      </c>
      <c r="H75" s="63"/>
    </row>
    <row r="76" spans="2:12" ht="30">
      <c r="B76" s="89"/>
      <c r="C76" s="40" t="s">
        <v>136</v>
      </c>
      <c r="D76" s="56">
        <v>73</v>
      </c>
      <c r="E76" s="93" t="s">
        <v>80</v>
      </c>
      <c r="F76" s="122">
        <v>150000</v>
      </c>
      <c r="G76" s="129">
        <f>SUM(D76*F76)</f>
        <v>10950000</v>
      </c>
      <c r="H76" s="63"/>
    </row>
    <row r="77" spans="2:12" ht="15.75">
      <c r="B77" s="89"/>
      <c r="C77" s="40" t="s">
        <v>134</v>
      </c>
      <c r="D77" s="56">
        <v>8</v>
      </c>
      <c r="E77" s="93" t="s">
        <v>80</v>
      </c>
      <c r="F77" s="122">
        <v>410000</v>
      </c>
      <c r="G77" s="129">
        <f>SUM(D77*F77)</f>
        <v>3280000</v>
      </c>
      <c r="H77" s="63"/>
    </row>
    <row r="78" spans="2:12" ht="15.75">
      <c r="B78" s="89"/>
      <c r="C78" s="40"/>
      <c r="D78" s="56"/>
      <c r="E78" s="93"/>
      <c r="F78" s="122"/>
      <c r="G78" s="129"/>
      <c r="H78" s="63"/>
    </row>
    <row r="79" spans="2:12" ht="14.45" customHeight="1">
      <c r="B79" s="56"/>
      <c r="C79" s="40"/>
      <c r="D79" s="56"/>
      <c r="E79" s="11"/>
      <c r="F79" s="57"/>
      <c r="G79" s="54"/>
      <c r="H79" s="63"/>
    </row>
    <row r="80" spans="2:12" ht="30" customHeight="1">
      <c r="B80" s="17" t="s">
        <v>60</v>
      </c>
      <c r="C80" s="20" t="s">
        <v>28</v>
      </c>
      <c r="D80" s="92"/>
      <c r="E80" s="93"/>
      <c r="F80" s="57"/>
      <c r="G80" s="54"/>
      <c r="I80" s="13"/>
      <c r="L80" s="13"/>
    </row>
    <row r="81" spans="2:12" ht="15">
      <c r="B81" s="25" t="s">
        <v>29</v>
      </c>
      <c r="C81" s="20" t="s">
        <v>61</v>
      </c>
      <c r="D81" s="56"/>
      <c r="E81" s="9"/>
      <c r="F81" s="10"/>
      <c r="G81" s="10"/>
      <c r="I81" s="13"/>
      <c r="L81" s="13"/>
    </row>
    <row r="82" spans="2:12" ht="19.5" customHeight="1">
      <c r="B82" s="175" t="s">
        <v>73</v>
      </c>
      <c r="C82" s="176" t="s">
        <v>62</v>
      </c>
      <c r="D82" s="177"/>
      <c r="E82" s="178"/>
      <c r="F82" s="177"/>
      <c r="G82" s="179">
        <f>SUM(G83,G87)</f>
        <v>32000000</v>
      </c>
      <c r="H82" s="24"/>
      <c r="I82" s="13"/>
    </row>
    <row r="83" spans="2:12" ht="19.5" customHeight="1">
      <c r="B83" s="104">
        <v>521111</v>
      </c>
      <c r="C83" s="105" t="s">
        <v>63</v>
      </c>
      <c r="D83" s="106"/>
      <c r="E83" s="107"/>
      <c r="F83" s="106"/>
      <c r="G83" s="106">
        <f>SUM(G84:G85)</f>
        <v>2000000</v>
      </c>
      <c r="H83" s="24"/>
      <c r="I83" s="13"/>
      <c r="K83" s="13"/>
      <c r="L83" s="13"/>
    </row>
    <row r="84" spans="2:12" ht="15">
      <c r="B84" s="108"/>
      <c r="C84" s="109" t="s">
        <v>110</v>
      </c>
      <c r="D84" s="108"/>
      <c r="E84" s="108"/>
      <c r="F84" s="110">
        <v>1000000</v>
      </c>
      <c r="G84" s="111">
        <f>F84</f>
        <v>1000000</v>
      </c>
      <c r="H84" s="24"/>
    </row>
    <row r="85" spans="2:12" ht="15">
      <c r="B85" s="108"/>
      <c r="C85" s="112" t="s">
        <v>81</v>
      </c>
      <c r="D85" s="113"/>
      <c r="E85" s="113"/>
      <c r="F85" s="110">
        <v>1000000</v>
      </c>
      <c r="G85" s="111">
        <f>F85</f>
        <v>1000000</v>
      </c>
    </row>
    <row r="86" spans="2:12" ht="17.25" customHeight="1">
      <c r="B86" s="108"/>
      <c r="C86" s="112"/>
      <c r="D86" s="113"/>
      <c r="E86" s="190"/>
      <c r="F86" s="110"/>
      <c r="G86" s="111"/>
    </row>
    <row r="87" spans="2:12" ht="15">
      <c r="B87" s="192">
        <v>522111</v>
      </c>
      <c r="C87" s="200" t="s">
        <v>125</v>
      </c>
      <c r="D87" s="199">
        <v>2</v>
      </c>
      <c r="E87" s="201" t="s">
        <v>89</v>
      </c>
      <c r="F87" s="202">
        <v>15000000</v>
      </c>
      <c r="G87" s="193">
        <f>SUM(D87*F87)</f>
        <v>30000000</v>
      </c>
    </row>
    <row r="88" spans="2:12" ht="24" customHeight="1">
      <c r="B88" s="253" t="s">
        <v>50</v>
      </c>
      <c r="C88" s="254"/>
      <c r="D88" s="254"/>
      <c r="E88" s="254"/>
      <c r="F88" s="255"/>
      <c r="G88" s="124">
        <f>SUM(G15,G22,G26,G30,G34,G38,G51,G58,G62,G66,G70,G74,G82)</f>
        <v>111040000</v>
      </c>
      <c r="H88" s="52"/>
    </row>
    <row r="89" spans="2:12">
      <c r="G89" s="128"/>
    </row>
    <row r="91" spans="2:12">
      <c r="F91" s="6" t="s">
        <v>155</v>
      </c>
    </row>
    <row r="92" spans="2:12">
      <c r="F92" s="6" t="s">
        <v>51</v>
      </c>
    </row>
    <row r="93" spans="2:12">
      <c r="F93" s="6" t="s">
        <v>56</v>
      </c>
    </row>
    <row r="94" spans="2:12">
      <c r="I94" s="6"/>
    </row>
    <row r="95" spans="2:12">
      <c r="I95" s="6"/>
    </row>
    <row r="96" spans="2:12">
      <c r="H96" s="6"/>
      <c r="I96" s="6"/>
    </row>
    <row r="97" spans="6:9">
      <c r="H97" s="6"/>
      <c r="I97" s="6"/>
    </row>
    <row r="98" spans="6:9">
      <c r="H98" s="6"/>
      <c r="I98" s="6"/>
    </row>
    <row r="99" spans="6:9">
      <c r="F99" s="256" t="s">
        <v>57</v>
      </c>
      <c r="G99" s="256"/>
      <c r="H99" s="6"/>
      <c r="I99" s="6"/>
    </row>
    <row r="100" spans="6:9">
      <c r="F100" s="251" t="s">
        <v>58</v>
      </c>
      <c r="G100" s="251"/>
      <c r="H100" s="6"/>
      <c r="I100" s="6"/>
    </row>
    <row r="101" spans="6:9">
      <c r="H101" s="6"/>
      <c r="I101" s="6"/>
    </row>
    <row r="102" spans="6:9">
      <c r="H102" s="6"/>
    </row>
    <row r="103" spans="6:9">
      <c r="H103" s="6"/>
    </row>
  </sheetData>
  <mergeCells count="9">
    <mergeCell ref="F100:G100"/>
    <mergeCell ref="B2:G2"/>
    <mergeCell ref="B3:G3"/>
    <mergeCell ref="B4:G4"/>
    <mergeCell ref="C8:G8"/>
    <mergeCell ref="B88:F88"/>
    <mergeCell ref="F99:G99"/>
    <mergeCell ref="C63:E63"/>
    <mergeCell ref="C27:E27"/>
  </mergeCells>
  <pageMargins left="0.7" right="0.7" top="0.75" bottom="0.75" header="0.3" footer="0.3"/>
  <pageSetup paperSize="9" scale="51" fitToHeight="0" orientation="portrait" r:id="rId1"/>
  <rowBreaks count="2" manualBreakCount="2">
    <brk id="100" max="7" man="1"/>
    <brk id="102" max="7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827F-DBE1-485F-89A9-2C1BF3B85A2C}">
  <sheetPr>
    <tabColor rgb="FF92D050"/>
  </sheetPr>
  <dimension ref="B2:I42"/>
  <sheetViews>
    <sheetView topLeftCell="A6" zoomScale="70" zoomScaleNormal="70" workbookViewId="0">
      <selection activeCell="F31" sqref="F31"/>
    </sheetView>
  </sheetViews>
  <sheetFormatPr defaultRowHeight="12.75"/>
  <cols>
    <col min="2" max="2" width="15.83203125" bestFit="1" customWidth="1"/>
    <col min="3" max="3" width="57.83203125" bestFit="1" customWidth="1"/>
    <col min="4" max="4" width="11.1640625" bestFit="1" customWidth="1"/>
    <col min="5" max="5" width="6.5" bestFit="1" customWidth="1"/>
    <col min="6" max="6" width="25.83203125" bestFit="1" customWidth="1"/>
    <col min="7" max="7" width="19.33203125" bestFit="1" customWidth="1"/>
    <col min="9" max="9" width="14.33203125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70</v>
      </c>
      <c r="D7" s="67"/>
      <c r="E7" s="5"/>
      <c r="F7" s="7"/>
      <c r="G7" s="7"/>
    </row>
    <row r="8" spans="2:7" ht="41.45" customHeight="1">
      <c r="B8" s="14" t="s">
        <v>14</v>
      </c>
      <c r="C8" s="243" t="s">
        <v>156</v>
      </c>
      <c r="D8" s="243"/>
      <c r="E8" s="243"/>
      <c r="F8" s="243"/>
      <c r="G8" s="243"/>
    </row>
    <row r="9" spans="2:7" ht="14.25">
      <c r="B9" s="5"/>
      <c r="C9" s="5"/>
      <c r="D9" s="67"/>
      <c r="E9" s="5"/>
      <c r="F9" s="7"/>
      <c r="G9" s="7"/>
    </row>
    <row r="10" spans="2:7" ht="85.5">
      <c r="B10" s="8" t="s">
        <v>31</v>
      </c>
      <c r="C10" s="9" t="s">
        <v>15</v>
      </c>
      <c r="D10" s="10" t="s">
        <v>16</v>
      </c>
      <c r="E10" s="9" t="s">
        <v>17</v>
      </c>
      <c r="F10" s="10" t="s">
        <v>18</v>
      </c>
      <c r="G10" s="10" t="s">
        <v>19</v>
      </c>
    </row>
    <row r="11" spans="2:7" ht="14.25">
      <c r="B11" s="11" t="s">
        <v>21</v>
      </c>
      <c r="C11" s="11" t="s">
        <v>22</v>
      </c>
      <c r="D11" s="12" t="s">
        <v>23</v>
      </c>
      <c r="E11" s="11" t="s">
        <v>24</v>
      </c>
      <c r="F11" s="12" t="s">
        <v>25</v>
      </c>
      <c r="G11" s="12" t="s">
        <v>26</v>
      </c>
    </row>
    <row r="12" spans="2:7" ht="14.25">
      <c r="B12" s="11"/>
      <c r="C12" s="11"/>
      <c r="D12" s="12"/>
      <c r="E12" s="11"/>
      <c r="F12" s="12"/>
      <c r="G12" s="12"/>
    </row>
    <row r="13" spans="2:7" ht="15">
      <c r="B13" s="28" t="s">
        <v>64</v>
      </c>
      <c r="C13" s="11"/>
      <c r="D13" s="12"/>
      <c r="E13" s="11"/>
      <c r="F13" s="12"/>
      <c r="G13" s="12"/>
    </row>
    <row r="14" spans="2:7" ht="15">
      <c r="B14" s="29" t="s">
        <v>65</v>
      </c>
      <c r="C14" s="11"/>
      <c r="D14" s="12"/>
      <c r="E14" s="11"/>
      <c r="F14" s="12"/>
      <c r="G14" s="12"/>
    </row>
    <row r="15" spans="2:7" ht="15">
      <c r="B15" s="28" t="s">
        <v>66</v>
      </c>
      <c r="C15" s="41" t="s">
        <v>69</v>
      </c>
      <c r="D15" s="12"/>
      <c r="E15" s="11"/>
      <c r="F15" s="12"/>
      <c r="G15" s="12"/>
    </row>
    <row r="16" spans="2:7" ht="15">
      <c r="B16" s="36" t="s">
        <v>53</v>
      </c>
      <c r="C16" s="38" t="s">
        <v>67</v>
      </c>
      <c r="D16" s="68"/>
      <c r="E16" s="31"/>
      <c r="F16" s="32"/>
      <c r="G16" s="58">
        <f>G17</f>
        <v>500000</v>
      </c>
    </row>
    <row r="17" spans="2:9" ht="15.75">
      <c r="B17" s="37" t="s">
        <v>77</v>
      </c>
      <c r="C17" s="39" t="s">
        <v>68</v>
      </c>
      <c r="D17" s="69"/>
      <c r="E17" s="30"/>
      <c r="F17" s="33"/>
      <c r="G17" s="59">
        <f>SUM(G18:G18)</f>
        <v>500000</v>
      </c>
    </row>
    <row r="18" spans="2:9" ht="15">
      <c r="B18" s="11"/>
      <c r="C18" s="40" t="s">
        <v>91</v>
      </c>
      <c r="D18" s="56">
        <v>1</v>
      </c>
      <c r="E18" s="11" t="s">
        <v>89</v>
      </c>
      <c r="F18" s="12">
        <f>RAB!F17</f>
        <v>500000</v>
      </c>
      <c r="G18" s="12">
        <f>SUM(D18*F18)</f>
        <v>500000</v>
      </c>
    </row>
    <row r="19" spans="2:9" ht="15">
      <c r="B19" s="11"/>
      <c r="C19" s="40"/>
      <c r="D19" s="56"/>
      <c r="E19" s="11"/>
      <c r="F19" s="12"/>
      <c r="G19" s="12"/>
    </row>
    <row r="20" spans="2:9" ht="15">
      <c r="B20" s="28" t="s">
        <v>27</v>
      </c>
      <c r="C20" s="11"/>
      <c r="D20" s="12"/>
      <c r="E20" s="11"/>
      <c r="F20" s="12"/>
      <c r="G20" s="12"/>
    </row>
    <row r="21" spans="2:9" ht="15">
      <c r="B21" s="29" t="s">
        <v>65</v>
      </c>
      <c r="C21" s="11"/>
      <c r="D21" s="12"/>
      <c r="E21" s="11"/>
      <c r="F21" s="12"/>
      <c r="G21" s="12"/>
    </row>
    <row r="22" spans="2:9" ht="15">
      <c r="B22" s="28" t="s">
        <v>66</v>
      </c>
      <c r="C22" s="41" t="s">
        <v>69</v>
      </c>
      <c r="D22" s="12"/>
      <c r="E22" s="11"/>
      <c r="F22" s="12"/>
      <c r="G22" s="12"/>
    </row>
    <row r="23" spans="2:9" ht="15">
      <c r="B23" s="36" t="s">
        <v>53</v>
      </c>
      <c r="C23" s="38" t="s">
        <v>67</v>
      </c>
      <c r="D23" s="68"/>
      <c r="E23" s="31"/>
      <c r="F23" s="32"/>
      <c r="G23" s="58">
        <f>G24</f>
        <v>500000</v>
      </c>
    </row>
    <row r="24" spans="2:9" ht="15.75">
      <c r="B24" s="37" t="s">
        <v>77</v>
      </c>
      <c r="C24" s="39" t="s">
        <v>68</v>
      </c>
      <c r="D24" s="69"/>
      <c r="E24" s="30"/>
      <c r="F24" s="33"/>
      <c r="G24" s="59">
        <f>SUM(G25:G25)</f>
        <v>500000</v>
      </c>
    </row>
    <row r="25" spans="2:9" ht="15">
      <c r="B25" s="11"/>
      <c r="C25" s="40" t="s">
        <v>91</v>
      </c>
      <c r="D25" s="56">
        <v>1</v>
      </c>
      <c r="E25" s="11" t="s">
        <v>89</v>
      </c>
      <c r="F25" s="12">
        <f>RAB!F53</f>
        <v>500000</v>
      </c>
      <c r="G25" s="12">
        <f>SUM(D25*F25)</f>
        <v>500000</v>
      </c>
    </row>
    <row r="26" spans="2:9" ht="15">
      <c r="B26" s="11"/>
      <c r="C26" s="40"/>
      <c r="D26" s="56"/>
      <c r="E26" s="11"/>
      <c r="F26" s="12"/>
      <c r="G26" s="12"/>
    </row>
    <row r="27" spans="2:9" ht="15.75">
      <c r="B27" s="253" t="s">
        <v>50</v>
      </c>
      <c r="C27" s="254"/>
      <c r="D27" s="254"/>
      <c r="E27" s="254"/>
      <c r="F27" s="255"/>
      <c r="G27" s="124">
        <f>G16+G23</f>
        <v>1000000</v>
      </c>
      <c r="I27" s="142">
        <f>G16+G23</f>
        <v>1000000</v>
      </c>
    </row>
    <row r="28" spans="2:9" ht="14.25">
      <c r="B28" s="5"/>
      <c r="C28" s="5"/>
      <c r="D28" s="66"/>
      <c r="E28" s="5"/>
      <c r="F28" s="6"/>
      <c r="G28" s="128"/>
    </row>
    <row r="29" spans="2:9" ht="14.25">
      <c r="B29" s="5"/>
      <c r="C29" s="5"/>
      <c r="D29" s="66"/>
      <c r="E29" s="5"/>
      <c r="F29" s="6"/>
      <c r="G29" s="6"/>
    </row>
    <row r="30" spans="2:9" ht="14.25">
      <c r="B30" s="5"/>
      <c r="C30" s="5"/>
      <c r="D30" s="66"/>
      <c r="E30" s="5"/>
      <c r="F30" s="6" t="s">
        <v>157</v>
      </c>
      <c r="G30" s="6"/>
    </row>
    <row r="31" spans="2:9" ht="14.25">
      <c r="B31" s="5"/>
      <c r="C31" s="5"/>
      <c r="D31" s="66"/>
      <c r="E31" s="5"/>
      <c r="F31" s="6" t="s">
        <v>51</v>
      </c>
      <c r="G31" s="6"/>
    </row>
    <row r="32" spans="2:9" ht="14.25">
      <c r="B32" s="5"/>
      <c r="C32" s="5"/>
      <c r="D32" s="66"/>
      <c r="E32" s="5"/>
      <c r="F32" s="6" t="s">
        <v>56</v>
      </c>
      <c r="G32" s="6"/>
    </row>
    <row r="33" spans="2:7" ht="14.25">
      <c r="B33" s="5"/>
      <c r="C33" s="5"/>
      <c r="D33" s="66"/>
      <c r="E33" s="5"/>
      <c r="F33" s="6"/>
      <c r="G33" s="6"/>
    </row>
    <row r="34" spans="2:7" ht="14.25">
      <c r="B34" s="5"/>
      <c r="C34" s="5"/>
      <c r="D34" s="66"/>
      <c r="E34" s="5"/>
      <c r="F34" s="6"/>
      <c r="G34" s="6"/>
    </row>
    <row r="35" spans="2:7" ht="14.25">
      <c r="B35" s="5"/>
      <c r="C35" s="5"/>
      <c r="D35" s="66"/>
      <c r="E35" s="5"/>
      <c r="F35" s="6"/>
      <c r="G35" s="6"/>
    </row>
    <row r="36" spans="2:7" ht="14.25">
      <c r="B36" s="5"/>
      <c r="C36" s="5"/>
      <c r="D36" s="66"/>
      <c r="E36" s="5"/>
      <c r="F36" s="6"/>
      <c r="G36" s="6"/>
    </row>
    <row r="37" spans="2:7" ht="14.25">
      <c r="B37" s="5"/>
      <c r="C37" s="5"/>
      <c r="D37" s="66"/>
      <c r="E37" s="5"/>
      <c r="F37" s="6"/>
      <c r="G37" s="6"/>
    </row>
    <row r="38" spans="2:7" ht="14.25">
      <c r="B38" s="5"/>
      <c r="C38" s="5"/>
      <c r="D38" s="66"/>
      <c r="E38" s="5"/>
      <c r="F38" s="6"/>
      <c r="G38" s="6"/>
    </row>
    <row r="39" spans="2:7" ht="14.25">
      <c r="B39" s="5"/>
      <c r="C39" s="5"/>
      <c r="D39" s="66"/>
      <c r="E39" s="5"/>
      <c r="F39" s="256" t="s">
        <v>57</v>
      </c>
      <c r="G39" s="256"/>
    </row>
    <row r="40" spans="2:7" ht="14.25">
      <c r="B40" s="5"/>
      <c r="C40" s="5"/>
      <c r="D40" s="66"/>
      <c r="E40" s="5"/>
      <c r="F40" s="251" t="s">
        <v>58</v>
      </c>
      <c r="G40" s="251"/>
    </row>
    <row r="41" spans="2:7" ht="14.25">
      <c r="B41" s="5"/>
      <c r="C41" s="5"/>
      <c r="D41" s="66"/>
      <c r="E41" s="5"/>
      <c r="F41" s="6"/>
      <c r="G41" s="6"/>
    </row>
    <row r="42" spans="2:7" ht="14.25">
      <c r="B42" s="5"/>
      <c r="C42" s="5"/>
      <c r="D42" s="66"/>
      <c r="E42" s="5"/>
      <c r="F42" s="6"/>
      <c r="G42" s="6"/>
    </row>
  </sheetData>
  <mergeCells count="7">
    <mergeCell ref="B27:F27"/>
    <mergeCell ref="F39:G39"/>
    <mergeCell ref="F40:G40"/>
    <mergeCell ref="C8:G8"/>
    <mergeCell ref="B2:G2"/>
    <mergeCell ref="B3:G3"/>
    <mergeCell ref="B4:G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DE1E-A1DB-4BAB-BB12-A64376242A63}">
  <sheetPr>
    <tabColor rgb="FF92D050"/>
  </sheetPr>
  <dimension ref="B2:I42"/>
  <sheetViews>
    <sheetView zoomScale="68" workbookViewId="0">
      <selection activeCell="C9" sqref="C9"/>
    </sheetView>
  </sheetViews>
  <sheetFormatPr defaultRowHeight="12.75"/>
  <cols>
    <col min="2" max="2" width="15.83203125" bestFit="1" customWidth="1"/>
    <col min="3" max="3" width="57.83203125" bestFit="1" customWidth="1"/>
    <col min="4" max="4" width="11.1640625" bestFit="1" customWidth="1"/>
    <col min="5" max="5" width="6.5" bestFit="1" customWidth="1"/>
    <col min="6" max="6" width="25.83203125" bestFit="1" customWidth="1"/>
    <col min="7" max="7" width="20.83203125" customWidth="1"/>
    <col min="9" max="9" width="14.33203125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70</v>
      </c>
      <c r="D7" s="67"/>
      <c r="E7" s="5"/>
      <c r="F7" s="7"/>
      <c r="G7" s="7"/>
    </row>
    <row r="8" spans="2:7" ht="41.45" customHeight="1">
      <c r="B8" s="14" t="s">
        <v>14</v>
      </c>
      <c r="C8" s="243" t="s">
        <v>163</v>
      </c>
      <c r="D8" s="243"/>
      <c r="E8" s="243"/>
      <c r="F8" s="243"/>
      <c r="G8" s="243"/>
    </row>
    <row r="11" spans="2:7" ht="85.5">
      <c r="B11" s="8" t="s">
        <v>31</v>
      </c>
      <c r="C11" s="9" t="s">
        <v>15</v>
      </c>
      <c r="D11" s="10" t="s">
        <v>16</v>
      </c>
      <c r="E11" s="9" t="s">
        <v>17</v>
      </c>
      <c r="F11" s="10" t="s">
        <v>18</v>
      </c>
      <c r="G11" s="10" t="s">
        <v>19</v>
      </c>
    </row>
    <row r="12" spans="2:7" ht="14.25">
      <c r="B12" s="11" t="s">
        <v>21</v>
      </c>
      <c r="C12" s="11" t="s">
        <v>22</v>
      </c>
      <c r="D12" s="12" t="s">
        <v>23</v>
      </c>
      <c r="E12" s="11" t="s">
        <v>24</v>
      </c>
      <c r="F12" s="12" t="s">
        <v>25</v>
      </c>
      <c r="G12" s="12" t="s">
        <v>26</v>
      </c>
    </row>
    <row r="13" spans="2:7" ht="14.25">
      <c r="B13" s="11"/>
      <c r="C13" s="11"/>
      <c r="D13" s="12"/>
      <c r="E13" s="11"/>
      <c r="F13" s="12"/>
      <c r="G13" s="12"/>
    </row>
    <row r="14" spans="2:7" ht="15">
      <c r="B14" s="28" t="s">
        <v>64</v>
      </c>
      <c r="C14" s="11"/>
      <c r="D14" s="12"/>
      <c r="E14" s="11"/>
      <c r="F14" s="12"/>
      <c r="G14" s="12"/>
    </row>
    <row r="15" spans="2:7" ht="15">
      <c r="B15" s="29" t="s">
        <v>65</v>
      </c>
      <c r="C15" s="11"/>
      <c r="D15" s="12"/>
      <c r="E15" s="11"/>
      <c r="F15" s="12"/>
      <c r="G15" s="12"/>
    </row>
    <row r="16" spans="2:7" ht="15">
      <c r="B16" s="138">
        <v>303</v>
      </c>
      <c r="C16" s="140" t="s">
        <v>67</v>
      </c>
      <c r="D16" s="56"/>
      <c r="E16" s="11"/>
      <c r="F16" s="12"/>
      <c r="G16" s="12"/>
    </row>
    <row r="17" spans="2:9" ht="15">
      <c r="B17" s="36" t="s">
        <v>53</v>
      </c>
      <c r="C17" s="38" t="s">
        <v>69</v>
      </c>
      <c r="D17" s="68"/>
      <c r="E17" s="31"/>
      <c r="F17" s="32"/>
      <c r="G17" s="58">
        <f>G18</f>
        <v>4000000</v>
      </c>
    </row>
    <row r="18" spans="2:9" ht="15.75">
      <c r="B18" s="37">
        <v>522151</v>
      </c>
      <c r="C18" s="39" t="s">
        <v>72</v>
      </c>
      <c r="D18" s="69"/>
      <c r="E18" s="30"/>
      <c r="F18" s="33"/>
      <c r="G18" s="59">
        <f>SUM(G19)</f>
        <v>4000000</v>
      </c>
    </row>
    <row r="19" spans="2:9" ht="30">
      <c r="B19" s="28"/>
      <c r="C19" s="40" t="s">
        <v>138</v>
      </c>
      <c r="D19" s="56">
        <v>8</v>
      </c>
      <c r="E19" s="11" t="s">
        <v>80</v>
      </c>
      <c r="F19" s="12">
        <v>500000</v>
      </c>
      <c r="G19" s="12">
        <f>SUM(D19*F19)</f>
        <v>4000000</v>
      </c>
    </row>
    <row r="20" spans="2:9" ht="15">
      <c r="B20" s="28"/>
      <c r="C20" s="40"/>
      <c r="D20" s="56"/>
      <c r="E20" s="11"/>
      <c r="F20" s="12"/>
      <c r="G20" s="12"/>
    </row>
    <row r="21" spans="2:9" ht="15">
      <c r="B21" s="28" t="s">
        <v>27</v>
      </c>
      <c r="C21" s="11"/>
      <c r="D21" s="12"/>
      <c r="E21" s="11"/>
      <c r="F21" s="12"/>
      <c r="G21" s="12"/>
    </row>
    <row r="22" spans="2:9" ht="15">
      <c r="B22" s="29" t="s">
        <v>65</v>
      </c>
      <c r="C22" s="11"/>
      <c r="D22" s="12"/>
      <c r="E22" s="11"/>
      <c r="F22" s="12"/>
      <c r="G22" s="12"/>
    </row>
    <row r="23" spans="2:9" ht="15">
      <c r="B23" s="138">
        <v>303</v>
      </c>
      <c r="C23" s="140" t="s">
        <v>67</v>
      </c>
      <c r="D23" s="56"/>
      <c r="E23" s="11"/>
      <c r="F23" s="12"/>
      <c r="G23" s="12"/>
    </row>
    <row r="24" spans="2:9" ht="15">
      <c r="B24" s="36" t="s">
        <v>53</v>
      </c>
      <c r="C24" s="38" t="s">
        <v>69</v>
      </c>
      <c r="D24" s="68"/>
      <c r="E24" s="31"/>
      <c r="F24" s="32"/>
      <c r="G24" s="58">
        <f>G25</f>
        <v>4000000</v>
      </c>
    </row>
    <row r="25" spans="2:9" ht="15.75">
      <c r="B25" s="37">
        <v>522151</v>
      </c>
      <c r="C25" s="39" t="s">
        <v>72</v>
      </c>
      <c r="D25" s="69"/>
      <c r="E25" s="30"/>
      <c r="F25" s="33"/>
      <c r="G25" s="59">
        <f>SUM(G26)</f>
        <v>4000000</v>
      </c>
    </row>
    <row r="26" spans="2:9" ht="30">
      <c r="B26" s="28"/>
      <c r="C26" s="40" t="s">
        <v>139</v>
      </c>
      <c r="D26" s="56">
        <v>8</v>
      </c>
      <c r="E26" s="11" t="s">
        <v>80</v>
      </c>
      <c r="F26" s="12">
        <v>500000</v>
      </c>
      <c r="G26" s="12">
        <f>SUM(D26*F26)</f>
        <v>4000000</v>
      </c>
    </row>
    <row r="27" spans="2:9" ht="15">
      <c r="B27" s="28"/>
      <c r="C27" s="41"/>
      <c r="D27" s="12"/>
      <c r="E27" s="11"/>
      <c r="F27" s="12"/>
      <c r="G27" s="12"/>
    </row>
    <row r="28" spans="2:9" ht="15.75">
      <c r="B28" s="253" t="s">
        <v>50</v>
      </c>
      <c r="C28" s="254"/>
      <c r="D28" s="254"/>
      <c r="E28" s="254"/>
      <c r="F28" s="255"/>
      <c r="G28" s="124">
        <f>SUM(G17,G24)</f>
        <v>8000000</v>
      </c>
      <c r="I28" s="142">
        <f>G19+G26</f>
        <v>8000000</v>
      </c>
    </row>
    <row r="29" spans="2:9" ht="15.75">
      <c r="B29" s="131"/>
      <c r="C29" s="131"/>
      <c r="D29" s="131"/>
      <c r="E29" s="131"/>
      <c r="F29" s="131"/>
      <c r="G29" s="132"/>
    </row>
    <row r="30" spans="2:9" ht="14.25">
      <c r="B30" s="5"/>
      <c r="C30" s="5"/>
      <c r="D30" s="66"/>
      <c r="E30" s="5"/>
      <c r="F30" s="6"/>
      <c r="G30" s="6"/>
    </row>
    <row r="31" spans="2:9" ht="14.25">
      <c r="B31" s="5"/>
      <c r="C31" s="5"/>
      <c r="D31" s="66"/>
      <c r="E31" s="5"/>
      <c r="F31" s="6" t="s">
        <v>157</v>
      </c>
      <c r="G31" s="6"/>
    </row>
    <row r="32" spans="2:9" ht="14.25">
      <c r="B32" s="5"/>
      <c r="C32" s="5"/>
      <c r="D32" s="66"/>
      <c r="E32" s="5"/>
      <c r="F32" s="6" t="s">
        <v>51</v>
      </c>
      <c r="G32" s="6"/>
    </row>
    <row r="33" spans="2:7" ht="14.25">
      <c r="B33" s="5"/>
      <c r="C33" s="5"/>
      <c r="D33" s="66"/>
      <c r="E33" s="5"/>
      <c r="F33" s="6" t="s">
        <v>56</v>
      </c>
      <c r="G33" s="6"/>
    </row>
    <row r="34" spans="2:7" ht="14.25">
      <c r="B34" s="5"/>
      <c r="C34" s="5"/>
      <c r="D34" s="66"/>
      <c r="E34" s="5"/>
      <c r="F34" s="6"/>
      <c r="G34" s="6"/>
    </row>
    <row r="35" spans="2:7" ht="14.25">
      <c r="B35" s="5"/>
      <c r="C35" s="5"/>
      <c r="D35" s="66"/>
      <c r="E35" s="5"/>
      <c r="F35" s="6"/>
      <c r="G35" s="6"/>
    </row>
    <row r="36" spans="2:7" ht="14.25">
      <c r="B36" s="5"/>
      <c r="C36" s="5"/>
      <c r="D36" s="66"/>
      <c r="E36" s="5"/>
      <c r="F36" s="6"/>
      <c r="G36" s="6"/>
    </row>
    <row r="37" spans="2:7" ht="14.25">
      <c r="B37" s="5"/>
      <c r="C37" s="5"/>
      <c r="D37" s="66"/>
      <c r="E37" s="5"/>
      <c r="F37" s="6"/>
      <c r="G37" s="6"/>
    </row>
    <row r="38" spans="2:7" ht="14.25">
      <c r="B38" s="5"/>
      <c r="C38" s="5"/>
      <c r="D38" s="66"/>
      <c r="E38" s="5"/>
      <c r="F38" s="6"/>
      <c r="G38" s="6"/>
    </row>
    <row r="39" spans="2:7" ht="14.25">
      <c r="B39" s="5"/>
      <c r="C39" s="5"/>
      <c r="D39" s="66"/>
      <c r="E39" s="5"/>
      <c r="F39" s="6"/>
      <c r="G39" s="6"/>
    </row>
    <row r="40" spans="2:7" ht="14.25">
      <c r="B40" s="5"/>
      <c r="C40" s="5"/>
      <c r="D40" s="66"/>
      <c r="E40" s="5"/>
      <c r="F40" s="256" t="s">
        <v>57</v>
      </c>
      <c r="G40" s="256"/>
    </row>
    <row r="41" spans="2:7" ht="14.25">
      <c r="B41" s="5"/>
      <c r="C41" s="5"/>
      <c r="D41" s="66"/>
      <c r="E41" s="5"/>
      <c r="F41" s="251" t="s">
        <v>58</v>
      </c>
      <c r="G41" s="251"/>
    </row>
    <row r="42" spans="2:7" ht="14.25">
      <c r="B42" s="5"/>
      <c r="C42" s="5"/>
      <c r="D42" s="66"/>
      <c r="E42" s="5"/>
      <c r="F42" s="6"/>
      <c r="G42" s="6"/>
    </row>
  </sheetData>
  <mergeCells count="7">
    <mergeCell ref="F41:G41"/>
    <mergeCell ref="B2:G2"/>
    <mergeCell ref="B3:G3"/>
    <mergeCell ref="B4:G4"/>
    <mergeCell ref="C8:G8"/>
    <mergeCell ref="B28:F28"/>
    <mergeCell ref="F40:G40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DABD-641D-41CA-A5D6-E218BA780D8B}">
  <sheetPr>
    <tabColor rgb="FF92D050"/>
  </sheetPr>
  <dimension ref="B2:G39"/>
  <sheetViews>
    <sheetView zoomScale="70" workbookViewId="0">
      <selection activeCell="E31" sqref="E31"/>
    </sheetView>
  </sheetViews>
  <sheetFormatPr defaultRowHeight="12.75"/>
  <cols>
    <col min="2" max="2" width="15.83203125" bestFit="1" customWidth="1"/>
    <col min="3" max="3" width="57.83203125" bestFit="1" customWidth="1"/>
    <col min="4" max="4" width="8.83203125" bestFit="1" customWidth="1"/>
    <col min="6" max="6" width="17.6640625" customWidth="1"/>
    <col min="7" max="7" width="16.6640625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70</v>
      </c>
      <c r="D7" s="67"/>
      <c r="E7" s="5"/>
      <c r="F7" s="7"/>
      <c r="G7" s="7"/>
    </row>
    <row r="8" spans="2:7" ht="14.25">
      <c r="B8" s="14" t="s">
        <v>14</v>
      </c>
      <c r="C8" s="243" t="s">
        <v>158</v>
      </c>
      <c r="D8" s="243"/>
      <c r="E8" s="243"/>
      <c r="F8" s="243"/>
      <c r="G8" s="243"/>
    </row>
    <row r="11" spans="2:7" ht="85.5">
      <c r="B11" s="8" t="s">
        <v>31</v>
      </c>
      <c r="C11" s="9" t="s">
        <v>15</v>
      </c>
      <c r="D11" s="10" t="s">
        <v>16</v>
      </c>
      <c r="E11" s="9" t="s">
        <v>17</v>
      </c>
      <c r="F11" s="10" t="s">
        <v>18</v>
      </c>
      <c r="G11" s="10" t="s">
        <v>19</v>
      </c>
    </row>
    <row r="12" spans="2:7" ht="14.25">
      <c r="B12" s="11" t="s">
        <v>21</v>
      </c>
      <c r="C12" s="11" t="s">
        <v>22</v>
      </c>
      <c r="D12" s="12" t="s">
        <v>23</v>
      </c>
      <c r="E12" s="11" t="s">
        <v>24</v>
      </c>
      <c r="F12" s="12" t="s">
        <v>25</v>
      </c>
      <c r="G12" s="12" t="s">
        <v>26</v>
      </c>
    </row>
    <row r="13" spans="2:7" ht="15">
      <c r="B13" s="139" t="s">
        <v>64</v>
      </c>
      <c r="C13" s="11"/>
      <c r="D13" s="12"/>
      <c r="E13" s="11"/>
      <c r="F13" s="12"/>
      <c r="G13" s="12"/>
    </row>
    <row r="14" spans="2:7" ht="15">
      <c r="B14" s="188" t="s">
        <v>65</v>
      </c>
      <c r="C14" s="11"/>
      <c r="D14" s="12"/>
      <c r="E14" s="11"/>
      <c r="F14" s="12"/>
      <c r="G14" s="12"/>
    </row>
    <row r="15" spans="2:7" ht="15.75">
      <c r="B15" s="139" t="s">
        <v>66</v>
      </c>
      <c r="C15" s="189" t="s">
        <v>67</v>
      </c>
      <c r="D15" s="12"/>
      <c r="E15" s="11"/>
      <c r="F15" s="12"/>
      <c r="G15" s="12"/>
    </row>
    <row r="16" spans="2:7" ht="15.75">
      <c r="B16" s="170" t="s">
        <v>126</v>
      </c>
      <c r="C16" s="207" t="s">
        <v>127</v>
      </c>
      <c r="D16" s="205"/>
      <c r="E16" s="206"/>
      <c r="F16" s="168"/>
      <c r="G16" s="168">
        <f>G18</f>
        <v>6600000</v>
      </c>
    </row>
    <row r="17" spans="2:7" ht="15.75">
      <c r="B17" s="203">
        <v>522141</v>
      </c>
      <c r="C17" s="210" t="s">
        <v>117</v>
      </c>
      <c r="D17" s="204"/>
      <c r="E17" s="64"/>
      <c r="F17" s="33"/>
      <c r="G17" s="33">
        <f>G18</f>
        <v>6600000</v>
      </c>
    </row>
    <row r="18" spans="2:7" ht="15">
      <c r="B18" s="139"/>
      <c r="C18" s="40" t="s">
        <v>128</v>
      </c>
      <c r="D18" s="56">
        <v>2</v>
      </c>
      <c r="E18" s="208" t="s">
        <v>129</v>
      </c>
      <c r="F18" s="209">
        <v>3300000</v>
      </c>
      <c r="G18" s="209">
        <f>SUM(D18*F18)</f>
        <v>6600000</v>
      </c>
    </row>
    <row r="19" spans="2:7" ht="15">
      <c r="B19" s="139"/>
      <c r="C19" s="40"/>
      <c r="D19" s="56"/>
      <c r="E19" s="208"/>
      <c r="F19" s="209"/>
      <c r="G19" s="209"/>
    </row>
    <row r="20" spans="2:7" ht="15">
      <c r="B20" s="139" t="s">
        <v>27</v>
      </c>
      <c r="C20" s="11"/>
      <c r="D20" s="56"/>
      <c r="E20" s="208"/>
      <c r="F20" s="209"/>
      <c r="G20" s="209"/>
    </row>
    <row r="21" spans="2:7" s="5" customFormat="1" ht="20.25" customHeight="1">
      <c r="B21" s="188" t="s">
        <v>65</v>
      </c>
      <c r="C21" s="11"/>
      <c r="D21" s="114"/>
      <c r="E21" s="114"/>
      <c r="F21" s="114"/>
      <c r="G21" s="114"/>
    </row>
    <row r="22" spans="2:7" s="5" customFormat="1" ht="14.45" customHeight="1">
      <c r="B22" s="139" t="s">
        <v>66</v>
      </c>
      <c r="C22" s="189" t="s">
        <v>67</v>
      </c>
      <c r="D22" s="114"/>
      <c r="E22" s="114"/>
      <c r="F22" s="114"/>
      <c r="G22" s="114"/>
    </row>
    <row r="23" spans="2:7" s="5" customFormat="1" ht="14.45" customHeight="1">
      <c r="B23" s="170" t="s">
        <v>126</v>
      </c>
      <c r="C23" s="207" t="s">
        <v>127</v>
      </c>
      <c r="D23" s="205"/>
      <c r="E23" s="206"/>
      <c r="F23" s="168"/>
      <c r="G23" s="168">
        <f>G24</f>
        <v>6600000</v>
      </c>
    </row>
    <row r="24" spans="2:7" ht="15.75">
      <c r="B24" s="203">
        <v>522141</v>
      </c>
      <c r="C24" s="210" t="s">
        <v>117</v>
      </c>
      <c r="D24" s="204"/>
      <c r="E24" s="64"/>
      <c r="F24" s="33"/>
      <c r="G24" s="33">
        <f>G25</f>
        <v>6600000</v>
      </c>
    </row>
    <row r="25" spans="2:7" ht="15">
      <c r="B25" s="139"/>
      <c r="C25" s="40" t="s">
        <v>128</v>
      </c>
      <c r="D25" s="56">
        <v>2</v>
      </c>
      <c r="E25" s="208" t="s">
        <v>129</v>
      </c>
      <c r="F25" s="209">
        <v>3300000</v>
      </c>
      <c r="G25" s="209">
        <f>SUM(D25*F25)</f>
        <v>6600000</v>
      </c>
    </row>
    <row r="26" spans="2:7" ht="15">
      <c r="B26" s="139"/>
      <c r="C26" s="40"/>
      <c r="D26" s="56"/>
      <c r="E26" s="208"/>
      <c r="F26" s="209"/>
      <c r="G26" s="209"/>
    </row>
    <row r="27" spans="2:7" ht="15.75">
      <c r="B27" s="253" t="s">
        <v>50</v>
      </c>
      <c r="C27" s="254"/>
      <c r="D27" s="254"/>
      <c r="E27" s="254"/>
      <c r="F27" s="255"/>
      <c r="G27" s="124">
        <f>SUM(G16,G23)</f>
        <v>13200000</v>
      </c>
    </row>
    <row r="30" spans="2:7" ht="14.25">
      <c r="E30" s="6" t="s">
        <v>157</v>
      </c>
    </row>
    <row r="31" spans="2:7" ht="14.25">
      <c r="E31" s="6" t="s">
        <v>51</v>
      </c>
      <c r="F31" s="6"/>
    </row>
    <row r="32" spans="2:7" ht="14.25">
      <c r="E32" s="6" t="s">
        <v>56</v>
      </c>
      <c r="F32" s="6"/>
    </row>
    <row r="33" spans="5:6" ht="14.25">
      <c r="E33" s="6"/>
      <c r="F33" s="6"/>
    </row>
    <row r="34" spans="5:6" ht="14.25">
      <c r="E34" s="6"/>
      <c r="F34" s="6"/>
    </row>
    <row r="35" spans="5:6" ht="14.25">
      <c r="E35" s="6"/>
      <c r="F35" s="6"/>
    </row>
    <row r="36" spans="5:6" ht="14.25">
      <c r="E36" s="6"/>
      <c r="F36" s="6"/>
    </row>
    <row r="37" spans="5:6" ht="14.25">
      <c r="E37" s="6"/>
      <c r="F37" s="6"/>
    </row>
    <row r="38" spans="5:6" ht="14.25">
      <c r="E38" s="256" t="s">
        <v>57</v>
      </c>
      <c r="F38" s="256"/>
    </row>
    <row r="39" spans="5:6" ht="14.25">
      <c r="E39" s="251" t="s">
        <v>58</v>
      </c>
      <c r="F39" s="251"/>
    </row>
  </sheetData>
  <mergeCells count="7">
    <mergeCell ref="E39:F39"/>
    <mergeCell ref="B2:G2"/>
    <mergeCell ref="B3:G3"/>
    <mergeCell ref="B4:G4"/>
    <mergeCell ref="C8:G8"/>
    <mergeCell ref="B27:F27"/>
    <mergeCell ref="E38:F38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D434-41E5-422F-B1EC-0C02E77A1884}">
  <sheetPr>
    <tabColor rgb="FF92D050"/>
  </sheetPr>
  <dimension ref="B2:I41"/>
  <sheetViews>
    <sheetView zoomScale="55" zoomScaleNormal="55" workbookViewId="0">
      <selection activeCell="F32" sqref="F32"/>
    </sheetView>
  </sheetViews>
  <sheetFormatPr defaultRowHeight="12.75"/>
  <cols>
    <col min="2" max="2" width="15.83203125" bestFit="1" customWidth="1"/>
    <col min="3" max="3" width="66" customWidth="1"/>
    <col min="4" max="4" width="11.1640625" bestFit="1" customWidth="1"/>
    <col min="5" max="5" width="6.5" bestFit="1" customWidth="1"/>
    <col min="6" max="6" width="25.83203125" bestFit="1" customWidth="1"/>
    <col min="7" max="7" width="18.6640625" customWidth="1"/>
    <col min="9" max="9" width="14.5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70</v>
      </c>
      <c r="D7" s="67"/>
      <c r="E7" s="5"/>
      <c r="F7" s="7"/>
      <c r="G7" s="7"/>
    </row>
    <row r="8" spans="2:7" ht="41.45" customHeight="1">
      <c r="B8" s="14" t="s">
        <v>14</v>
      </c>
      <c r="C8" s="243" t="s">
        <v>159</v>
      </c>
      <c r="D8" s="243"/>
      <c r="E8" s="243"/>
      <c r="F8" s="243"/>
      <c r="G8" s="243"/>
    </row>
    <row r="11" spans="2:7" ht="85.5">
      <c r="B11" s="8" t="s">
        <v>31</v>
      </c>
      <c r="C11" s="9" t="s">
        <v>15</v>
      </c>
      <c r="D11" s="10" t="s">
        <v>16</v>
      </c>
      <c r="E11" s="9" t="s">
        <v>17</v>
      </c>
      <c r="F11" s="10" t="s">
        <v>18</v>
      </c>
      <c r="G11" s="10" t="s">
        <v>19</v>
      </c>
    </row>
    <row r="12" spans="2:7" ht="14.25">
      <c r="B12" s="11" t="s">
        <v>21</v>
      </c>
      <c r="C12" s="11" t="s">
        <v>22</v>
      </c>
      <c r="D12" s="12" t="s">
        <v>23</v>
      </c>
      <c r="E12" s="11" t="s">
        <v>24</v>
      </c>
      <c r="F12" s="12" t="s">
        <v>25</v>
      </c>
      <c r="G12" s="12" t="s">
        <v>26</v>
      </c>
    </row>
    <row r="13" spans="2:7" ht="14.25">
      <c r="B13" s="11"/>
      <c r="C13" s="11"/>
      <c r="D13" s="12"/>
      <c r="E13" s="11"/>
      <c r="F13" s="12"/>
      <c r="G13" s="12"/>
    </row>
    <row r="14" spans="2:7" ht="15">
      <c r="B14" s="28" t="s">
        <v>64</v>
      </c>
      <c r="C14" s="11"/>
      <c r="D14" s="12"/>
      <c r="E14" s="11"/>
      <c r="F14" s="12"/>
      <c r="G14" s="12"/>
    </row>
    <row r="15" spans="2:7" ht="15">
      <c r="B15" s="29" t="s">
        <v>65</v>
      </c>
      <c r="C15" s="11"/>
      <c r="D15" s="12"/>
      <c r="E15" s="11"/>
      <c r="F15" s="12"/>
      <c r="G15" s="12"/>
    </row>
    <row r="16" spans="2:7" ht="15">
      <c r="B16" s="139">
        <v>303</v>
      </c>
      <c r="C16" s="140" t="s">
        <v>67</v>
      </c>
      <c r="D16" s="56"/>
      <c r="E16" s="11"/>
      <c r="F16" s="12"/>
      <c r="G16" s="12"/>
    </row>
    <row r="17" spans="2:9" ht="15.75">
      <c r="B17" s="96" t="s">
        <v>92</v>
      </c>
      <c r="C17" s="97" t="s">
        <v>93</v>
      </c>
      <c r="D17" s="97"/>
      <c r="E17" s="97"/>
      <c r="F17" s="97"/>
      <c r="G17" s="101">
        <f>G18</f>
        <v>1000000</v>
      </c>
    </row>
    <row r="18" spans="2:9" ht="15.75">
      <c r="B18" s="51" t="s">
        <v>97</v>
      </c>
      <c r="C18" s="257" t="s">
        <v>98</v>
      </c>
      <c r="D18" s="257"/>
      <c r="E18" s="257"/>
      <c r="F18" s="141"/>
      <c r="G18" s="121">
        <f>SUM(G19:G19)</f>
        <v>1000000</v>
      </c>
    </row>
    <row r="19" spans="2:9" ht="15.75">
      <c r="B19" s="99"/>
      <c r="C19" s="116" t="s">
        <v>121</v>
      </c>
      <c r="D19" s="117">
        <v>2</v>
      </c>
      <c r="E19" s="100" t="s">
        <v>94</v>
      </c>
      <c r="F19" s="122">
        <v>500000</v>
      </c>
      <c r="G19" s="122">
        <f>D19*F19</f>
        <v>1000000</v>
      </c>
    </row>
    <row r="20" spans="2:9" ht="15">
      <c r="B20" s="28"/>
      <c r="C20" s="41"/>
      <c r="D20" s="12"/>
      <c r="E20" s="11"/>
      <c r="F20" s="12"/>
      <c r="G20" s="12"/>
    </row>
    <row r="21" spans="2:9" ht="15">
      <c r="B21" s="28" t="s">
        <v>27</v>
      </c>
      <c r="C21" s="11"/>
      <c r="D21" s="12"/>
      <c r="E21" s="11"/>
      <c r="F21" s="12"/>
      <c r="G21" s="12"/>
    </row>
    <row r="22" spans="2:9" ht="15">
      <c r="B22" s="29" t="s">
        <v>65</v>
      </c>
      <c r="C22" s="11"/>
      <c r="D22" s="12"/>
      <c r="E22" s="11"/>
      <c r="F22" s="12"/>
      <c r="G22" s="12"/>
    </row>
    <row r="23" spans="2:9" ht="15.75">
      <c r="B23" s="28" t="s">
        <v>66</v>
      </c>
      <c r="C23" s="130" t="s">
        <v>67</v>
      </c>
      <c r="D23" s="12"/>
      <c r="E23" s="11"/>
      <c r="F23" s="12"/>
      <c r="G23" s="12"/>
    </row>
    <row r="24" spans="2:9" ht="15.75">
      <c r="B24" s="96" t="s">
        <v>92</v>
      </c>
      <c r="C24" s="97" t="s">
        <v>93</v>
      </c>
      <c r="D24" s="97"/>
      <c r="E24" s="97"/>
      <c r="F24" s="97"/>
      <c r="G24" s="101">
        <f>SUM(G25)</f>
        <v>1000000</v>
      </c>
    </row>
    <row r="25" spans="2:9" ht="15.75">
      <c r="B25" s="51" t="s">
        <v>97</v>
      </c>
      <c r="C25" s="257" t="s">
        <v>98</v>
      </c>
      <c r="D25" s="257"/>
      <c r="E25" s="257"/>
      <c r="F25" s="115"/>
      <c r="G25" s="118">
        <f>SUM(G26:G27)</f>
        <v>1000000</v>
      </c>
    </row>
    <row r="26" spans="2:9" ht="15.75">
      <c r="B26" s="99"/>
      <c r="C26" s="116" t="s">
        <v>109</v>
      </c>
      <c r="D26" s="117">
        <v>2</v>
      </c>
      <c r="E26" s="100" t="s">
        <v>94</v>
      </c>
      <c r="F26" s="122">
        <v>500000</v>
      </c>
      <c r="G26" s="57">
        <f>SUM(D26*F26)</f>
        <v>1000000</v>
      </c>
    </row>
    <row r="27" spans="2:9" ht="15">
      <c r="B27" s="99"/>
      <c r="C27" s="40"/>
      <c r="D27" s="56"/>
      <c r="E27" s="125"/>
      <c r="F27" s="12"/>
      <c r="G27" s="126"/>
    </row>
    <row r="28" spans="2:9" ht="15.75">
      <c r="B28" s="253" t="s">
        <v>50</v>
      </c>
      <c r="C28" s="254"/>
      <c r="D28" s="254"/>
      <c r="E28" s="254"/>
      <c r="F28" s="255"/>
      <c r="G28" s="124">
        <f>SUM(G17,G24)</f>
        <v>2000000</v>
      </c>
      <c r="I28" s="142">
        <f>G19+G26</f>
        <v>2000000</v>
      </c>
    </row>
    <row r="29" spans="2:9" ht="15.75">
      <c r="B29" s="131"/>
      <c r="C29" s="131"/>
      <c r="D29" s="131"/>
      <c r="E29" s="131"/>
      <c r="F29" s="131"/>
      <c r="G29" s="132"/>
    </row>
    <row r="30" spans="2:9" ht="14.25">
      <c r="B30" s="5"/>
      <c r="C30" s="5"/>
      <c r="D30" s="66"/>
      <c r="E30" s="5"/>
      <c r="F30" s="6"/>
      <c r="G30" s="6"/>
    </row>
    <row r="31" spans="2:9" ht="14.25">
      <c r="B31" s="5"/>
      <c r="C31" s="5"/>
      <c r="D31" s="66"/>
      <c r="E31" s="5"/>
      <c r="F31" s="6" t="s">
        <v>157</v>
      </c>
      <c r="G31" s="6"/>
    </row>
    <row r="32" spans="2:9" ht="14.25">
      <c r="B32" s="5"/>
      <c r="C32" s="5"/>
      <c r="D32" s="66"/>
      <c r="E32" s="5"/>
      <c r="F32" s="6" t="s">
        <v>51</v>
      </c>
      <c r="G32" s="6"/>
    </row>
    <row r="33" spans="2:7" ht="14.25">
      <c r="B33" s="5"/>
      <c r="C33" s="5"/>
      <c r="D33" s="66"/>
      <c r="E33" s="5"/>
      <c r="F33" s="6" t="s">
        <v>56</v>
      </c>
      <c r="G33" s="6"/>
    </row>
    <row r="34" spans="2:7" ht="14.25">
      <c r="B34" s="5"/>
      <c r="C34" s="5"/>
      <c r="D34" s="66"/>
      <c r="E34" s="5"/>
      <c r="F34" s="6"/>
      <c r="G34" s="6"/>
    </row>
    <row r="35" spans="2:7" ht="14.25">
      <c r="B35" s="5"/>
      <c r="C35" s="5"/>
      <c r="D35" s="66"/>
      <c r="E35" s="5"/>
      <c r="F35" s="6"/>
      <c r="G35" s="6"/>
    </row>
    <row r="36" spans="2:7" ht="14.25">
      <c r="B36" s="5"/>
      <c r="C36" s="5"/>
      <c r="D36" s="66"/>
      <c r="E36" s="5"/>
      <c r="F36" s="6"/>
      <c r="G36" s="6"/>
    </row>
    <row r="37" spans="2:7" ht="14.25">
      <c r="B37" s="5"/>
      <c r="C37" s="5"/>
      <c r="D37" s="66"/>
      <c r="E37" s="5"/>
      <c r="F37" s="6"/>
      <c r="G37" s="6"/>
    </row>
    <row r="38" spans="2:7" ht="14.25">
      <c r="B38" s="5"/>
      <c r="C38" s="5"/>
      <c r="D38" s="66"/>
      <c r="E38" s="5"/>
      <c r="F38" s="6"/>
      <c r="G38" s="6"/>
    </row>
    <row r="39" spans="2:7" ht="14.25">
      <c r="B39" s="5"/>
      <c r="C39" s="5"/>
      <c r="D39" s="66"/>
      <c r="E39" s="5"/>
      <c r="F39" s="256" t="s">
        <v>57</v>
      </c>
      <c r="G39" s="256"/>
    </row>
    <row r="40" spans="2:7" ht="14.25">
      <c r="B40" s="5"/>
      <c r="C40" s="5"/>
      <c r="D40" s="66"/>
      <c r="E40" s="5"/>
      <c r="F40" s="251" t="s">
        <v>58</v>
      </c>
      <c r="G40" s="251"/>
    </row>
    <row r="41" spans="2:7" ht="14.25">
      <c r="B41" s="5"/>
      <c r="C41" s="5"/>
      <c r="D41" s="66"/>
      <c r="E41" s="5"/>
      <c r="F41" s="6"/>
      <c r="G41" s="6"/>
    </row>
  </sheetData>
  <mergeCells count="9">
    <mergeCell ref="F40:G40"/>
    <mergeCell ref="B2:G2"/>
    <mergeCell ref="B3:G3"/>
    <mergeCell ref="B4:G4"/>
    <mergeCell ref="C8:G8"/>
    <mergeCell ref="B28:F28"/>
    <mergeCell ref="F39:G39"/>
    <mergeCell ref="C18:E18"/>
    <mergeCell ref="C25:E2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CFB3-FA02-44C3-B78B-132066639900}">
  <sheetPr>
    <tabColor rgb="FF92D050"/>
  </sheetPr>
  <dimension ref="B2:G32"/>
  <sheetViews>
    <sheetView tabSelected="1" topLeftCell="A5" zoomScale="58" workbookViewId="0">
      <selection activeCell="D18" sqref="D18"/>
    </sheetView>
  </sheetViews>
  <sheetFormatPr defaultRowHeight="12.75"/>
  <cols>
    <col min="2" max="2" width="15.83203125" bestFit="1" customWidth="1"/>
    <col min="3" max="3" width="57.83203125" bestFit="1" customWidth="1"/>
    <col min="4" max="4" width="12" bestFit="1" customWidth="1"/>
    <col min="6" max="6" width="11.83203125" bestFit="1" customWidth="1"/>
    <col min="7" max="7" width="10.33203125" bestFit="1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102</v>
      </c>
      <c r="D7" s="67"/>
      <c r="E7" s="5"/>
      <c r="F7" s="7"/>
      <c r="G7" s="7"/>
    </row>
    <row r="8" spans="2:7" ht="32.1" customHeight="1">
      <c r="B8" s="14" t="s">
        <v>14</v>
      </c>
      <c r="C8" s="243" t="s">
        <v>153</v>
      </c>
      <c r="D8" s="243"/>
      <c r="E8" s="243"/>
      <c r="F8" s="243"/>
      <c r="G8" s="243"/>
    </row>
    <row r="11" spans="2:7" ht="85.5">
      <c r="B11" s="8" t="s">
        <v>31</v>
      </c>
      <c r="C11" s="9" t="s">
        <v>15</v>
      </c>
      <c r="D11" s="10" t="s">
        <v>16</v>
      </c>
      <c r="E11" s="9" t="s">
        <v>17</v>
      </c>
      <c r="F11" s="10" t="s">
        <v>18</v>
      </c>
      <c r="G11" s="10" t="s">
        <v>19</v>
      </c>
    </row>
    <row r="12" spans="2:7" ht="14.25">
      <c r="B12" s="11" t="s">
        <v>21</v>
      </c>
      <c r="C12" s="11" t="s">
        <v>22</v>
      </c>
      <c r="D12" s="12" t="s">
        <v>23</v>
      </c>
      <c r="E12" s="11" t="s">
        <v>24</v>
      </c>
      <c r="F12" s="12" t="s">
        <v>25</v>
      </c>
      <c r="G12" s="12" t="s">
        <v>26</v>
      </c>
    </row>
    <row r="13" spans="2:7" ht="15">
      <c r="B13" s="28" t="s">
        <v>64</v>
      </c>
      <c r="C13" s="11"/>
      <c r="D13" s="12"/>
      <c r="E13" s="11"/>
      <c r="F13" s="12"/>
      <c r="G13" s="12"/>
    </row>
    <row r="14" spans="2:7" ht="15">
      <c r="B14" s="29" t="s">
        <v>65</v>
      </c>
      <c r="C14" s="11"/>
      <c r="D14" s="12"/>
      <c r="E14" s="11"/>
      <c r="F14" s="12"/>
      <c r="G14" s="12"/>
    </row>
    <row r="15" spans="2:7" ht="15">
      <c r="B15" s="139">
        <v>303</v>
      </c>
      <c r="C15" s="40"/>
      <c r="D15" s="56"/>
      <c r="E15" s="11"/>
      <c r="F15" s="12"/>
      <c r="G15" s="12"/>
    </row>
    <row r="16" spans="2:7" ht="31.5">
      <c r="B16" s="170" t="s">
        <v>140</v>
      </c>
      <c r="C16" s="213" t="s">
        <v>141</v>
      </c>
      <c r="D16" s="205"/>
      <c r="E16" s="206"/>
      <c r="F16" s="168"/>
      <c r="G16" s="168">
        <f>G18</f>
        <v>820000</v>
      </c>
    </row>
    <row r="17" spans="2:7" ht="15.75">
      <c r="B17" s="203">
        <v>524111</v>
      </c>
      <c r="C17" s="210" t="s">
        <v>76</v>
      </c>
      <c r="D17" s="204"/>
      <c r="E17" s="64"/>
      <c r="F17" s="33"/>
      <c r="G17" s="33">
        <f>G18</f>
        <v>820000</v>
      </c>
    </row>
    <row r="18" spans="2:7" ht="15">
      <c r="B18" s="139"/>
      <c r="C18" s="40" t="s">
        <v>165</v>
      </c>
      <c r="D18" s="56">
        <v>2</v>
      </c>
      <c r="E18" s="208" t="s">
        <v>80</v>
      </c>
      <c r="F18" s="209">
        <v>410000</v>
      </c>
      <c r="G18" s="209">
        <f>SUM(D18*F18)</f>
        <v>820000</v>
      </c>
    </row>
    <row r="19" spans="2:7" ht="15.75">
      <c r="B19" s="99"/>
      <c r="C19" s="40"/>
      <c r="D19" s="56"/>
      <c r="E19" s="125"/>
      <c r="F19" s="12"/>
      <c r="G19" s="57"/>
    </row>
    <row r="20" spans="2:7" ht="15.75">
      <c r="B20" s="253" t="s">
        <v>50</v>
      </c>
      <c r="C20" s="254"/>
      <c r="D20" s="254"/>
      <c r="E20" s="254"/>
      <c r="F20" s="255"/>
      <c r="G20" s="214">
        <f>SUM(G16)</f>
        <v>820000</v>
      </c>
    </row>
    <row r="23" spans="2:7" ht="14.25">
      <c r="E23" s="6" t="s">
        <v>157</v>
      </c>
      <c r="F23" s="6"/>
    </row>
    <row r="24" spans="2:7" ht="14.25">
      <c r="E24" s="6" t="s">
        <v>51</v>
      </c>
      <c r="F24" s="6"/>
    </row>
    <row r="25" spans="2:7" ht="14.25">
      <c r="E25" s="6" t="s">
        <v>56</v>
      </c>
      <c r="F25" s="6"/>
    </row>
    <row r="26" spans="2:7" ht="14.25">
      <c r="E26" s="6"/>
      <c r="F26" s="6"/>
    </row>
    <row r="27" spans="2:7" ht="14.25">
      <c r="E27" s="6"/>
      <c r="F27" s="6"/>
    </row>
    <row r="28" spans="2:7" ht="14.25">
      <c r="E28" s="6"/>
      <c r="F28" s="6"/>
    </row>
    <row r="29" spans="2:7" ht="14.25">
      <c r="E29" s="6"/>
      <c r="F29" s="6"/>
    </row>
    <row r="30" spans="2:7" ht="14.25">
      <c r="E30" s="6"/>
      <c r="F30" s="6"/>
    </row>
    <row r="31" spans="2:7" ht="14.25">
      <c r="E31" s="256" t="s">
        <v>57</v>
      </c>
      <c r="F31" s="256"/>
    </row>
    <row r="32" spans="2:7" ht="14.25">
      <c r="E32" s="251" t="s">
        <v>58</v>
      </c>
      <c r="F32" s="251"/>
    </row>
  </sheetData>
  <mergeCells count="7">
    <mergeCell ref="E32:F32"/>
    <mergeCell ref="B2:G2"/>
    <mergeCell ref="B3:G3"/>
    <mergeCell ref="B4:G4"/>
    <mergeCell ref="C8:G8"/>
    <mergeCell ref="B20:F20"/>
    <mergeCell ref="E31:F3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8E18-1B43-4ADD-8CF5-062A68AB4A79}">
  <sheetPr>
    <tabColor rgb="FF92D050"/>
  </sheetPr>
  <dimension ref="B3:I42"/>
  <sheetViews>
    <sheetView topLeftCell="B4" zoomScale="72" workbookViewId="0">
      <selection activeCell="F33" sqref="F33"/>
    </sheetView>
  </sheetViews>
  <sheetFormatPr defaultRowHeight="12.75"/>
  <cols>
    <col min="2" max="2" width="15.83203125" bestFit="1" customWidth="1"/>
    <col min="3" max="3" width="57.83203125" bestFit="1" customWidth="1"/>
    <col min="4" max="4" width="11.1640625" bestFit="1" customWidth="1"/>
    <col min="5" max="5" width="6.83203125" customWidth="1"/>
    <col min="6" max="6" width="11.1640625" customWidth="1"/>
    <col min="7" max="7" width="19.1640625" customWidth="1"/>
    <col min="9" max="9" width="13.1640625" customWidth="1"/>
  </cols>
  <sheetData>
    <row r="3" spans="2:7" ht="15">
      <c r="B3" s="252" t="s">
        <v>30</v>
      </c>
      <c r="C3" s="252"/>
      <c r="D3" s="252"/>
      <c r="E3" s="252"/>
      <c r="F3" s="252"/>
      <c r="G3" s="252"/>
    </row>
    <row r="4" spans="2:7" ht="15">
      <c r="B4" s="252" t="s">
        <v>32</v>
      </c>
      <c r="C4" s="252"/>
      <c r="D4" s="252"/>
      <c r="E4" s="252"/>
      <c r="F4" s="252"/>
      <c r="G4" s="252"/>
    </row>
    <row r="5" spans="2:7" ht="15">
      <c r="B5" s="252" t="s">
        <v>59</v>
      </c>
      <c r="C5" s="252"/>
      <c r="D5" s="252"/>
      <c r="E5" s="252"/>
      <c r="F5" s="252"/>
      <c r="G5" s="252"/>
    </row>
    <row r="6" spans="2:7" ht="14.25">
      <c r="B6" s="5" t="s">
        <v>11</v>
      </c>
      <c r="C6" s="5" t="s">
        <v>54</v>
      </c>
      <c r="D6" s="66"/>
      <c r="E6" s="5"/>
      <c r="F6" s="6"/>
      <c r="G6" s="6"/>
    </row>
    <row r="7" spans="2:7" ht="14.25">
      <c r="B7" s="5" t="s">
        <v>12</v>
      </c>
      <c r="C7" s="5" t="s">
        <v>55</v>
      </c>
      <c r="D7" s="66"/>
      <c r="E7" s="5"/>
      <c r="F7" s="6"/>
      <c r="G7" s="6"/>
    </row>
    <row r="8" spans="2:7" ht="14.25">
      <c r="B8" s="5" t="s">
        <v>13</v>
      </c>
      <c r="C8" s="5" t="s">
        <v>70</v>
      </c>
      <c r="D8" s="67"/>
      <c r="E8" s="5"/>
      <c r="F8" s="7"/>
      <c r="G8" s="7"/>
    </row>
    <row r="9" spans="2:7" ht="33.950000000000003" customHeight="1">
      <c r="B9" s="14" t="s">
        <v>14</v>
      </c>
      <c r="C9" s="243" t="s">
        <v>160</v>
      </c>
      <c r="D9" s="243"/>
      <c r="E9" s="243"/>
      <c r="F9" s="243"/>
      <c r="G9" s="243"/>
    </row>
    <row r="12" spans="2:7" ht="85.5">
      <c r="B12" s="8" t="s">
        <v>31</v>
      </c>
      <c r="C12" s="9" t="s">
        <v>15</v>
      </c>
      <c r="D12" s="10" t="s">
        <v>16</v>
      </c>
      <c r="E12" s="9" t="s">
        <v>17</v>
      </c>
      <c r="F12" s="10" t="s">
        <v>18</v>
      </c>
      <c r="G12" s="10" t="s">
        <v>19</v>
      </c>
    </row>
    <row r="13" spans="2:7" ht="14.25">
      <c r="B13" s="11" t="s">
        <v>21</v>
      </c>
      <c r="C13" s="11" t="s">
        <v>22</v>
      </c>
      <c r="D13" s="12" t="s">
        <v>23</v>
      </c>
      <c r="E13" s="11" t="s">
        <v>24</v>
      </c>
      <c r="F13" s="12" t="s">
        <v>25</v>
      </c>
      <c r="G13" s="12" t="s">
        <v>26</v>
      </c>
    </row>
    <row r="14" spans="2:7" ht="15">
      <c r="B14" s="28" t="s">
        <v>64</v>
      </c>
      <c r="C14" s="11"/>
      <c r="D14" s="12"/>
      <c r="E14" s="11"/>
      <c r="F14" s="12"/>
      <c r="G14" s="12"/>
    </row>
    <row r="15" spans="2:7" ht="15">
      <c r="B15" s="29" t="s">
        <v>65</v>
      </c>
      <c r="C15" s="11"/>
      <c r="D15" s="12"/>
      <c r="E15" s="11"/>
      <c r="F15" s="12"/>
      <c r="G15" s="12"/>
    </row>
    <row r="16" spans="2:7" ht="15">
      <c r="B16" s="139">
        <v>303</v>
      </c>
      <c r="C16" s="40"/>
      <c r="D16" s="56"/>
      <c r="E16" s="11"/>
      <c r="F16" s="12"/>
      <c r="G16" s="12"/>
    </row>
    <row r="17" spans="2:9" ht="15.75">
      <c r="B17" s="45" t="s">
        <v>73</v>
      </c>
      <c r="C17" s="90" t="s">
        <v>74</v>
      </c>
      <c r="D17" s="70"/>
      <c r="E17" s="46"/>
      <c r="F17" s="44"/>
      <c r="G17" s="60">
        <f>SUM(G18)</f>
        <v>8610000</v>
      </c>
    </row>
    <row r="18" spans="2:9" ht="15.75">
      <c r="B18" s="47">
        <v>521112</v>
      </c>
      <c r="C18" s="30" t="s">
        <v>78</v>
      </c>
      <c r="D18" s="71"/>
      <c r="E18" s="55"/>
      <c r="F18" s="48"/>
      <c r="G18" s="61">
        <f>SUM(G19:G19)</f>
        <v>8610000</v>
      </c>
    </row>
    <row r="19" spans="2:9" ht="15.75">
      <c r="B19" s="56"/>
      <c r="C19" s="40" t="s">
        <v>150</v>
      </c>
      <c r="D19" s="56">
        <v>410</v>
      </c>
      <c r="E19" s="11" t="s">
        <v>90</v>
      </c>
      <c r="F19" s="57">
        <v>21000</v>
      </c>
      <c r="G19" s="54">
        <f>D19*F19</f>
        <v>8610000</v>
      </c>
    </row>
    <row r="20" spans="2:9" ht="15.75">
      <c r="B20" s="56"/>
      <c r="C20" s="40"/>
      <c r="D20" s="56"/>
      <c r="E20" s="11"/>
      <c r="F20" s="57"/>
      <c r="G20" s="54"/>
    </row>
    <row r="21" spans="2:9" ht="15">
      <c r="B21" s="28" t="s">
        <v>27</v>
      </c>
      <c r="C21" s="137"/>
      <c r="D21" s="137"/>
      <c r="E21" s="137"/>
      <c r="F21" s="137"/>
      <c r="G21" s="137"/>
    </row>
    <row r="22" spans="2:9" ht="15">
      <c r="B22" s="29" t="s">
        <v>65</v>
      </c>
      <c r="C22" s="137"/>
      <c r="D22" s="137"/>
      <c r="E22" s="137"/>
      <c r="F22" s="137"/>
      <c r="G22" s="137"/>
    </row>
    <row r="23" spans="2:9" s="136" customFormat="1" ht="15">
      <c r="B23" s="139">
        <v>303</v>
      </c>
      <c r="C23" s="164"/>
      <c r="D23" s="164"/>
      <c r="E23" s="164"/>
      <c r="F23" s="164"/>
      <c r="G23" s="164"/>
    </row>
    <row r="24" spans="2:9" s="136" customFormat="1" ht="15.75">
      <c r="B24" s="45" t="s">
        <v>73</v>
      </c>
      <c r="C24" s="90" t="s">
        <v>74</v>
      </c>
      <c r="D24" s="46"/>
      <c r="E24" s="46"/>
      <c r="F24" s="46"/>
      <c r="G24" s="123">
        <f>G25</f>
        <v>15750000</v>
      </c>
    </row>
    <row r="25" spans="2:9" s="136" customFormat="1" ht="15.75">
      <c r="B25" s="47">
        <v>521112</v>
      </c>
      <c r="C25" s="30" t="s">
        <v>78</v>
      </c>
      <c r="D25" s="39"/>
      <c r="E25" s="39"/>
      <c r="F25" s="48"/>
      <c r="G25" s="127">
        <f>G26</f>
        <v>15750000</v>
      </c>
    </row>
    <row r="26" spans="2:9" s="136" customFormat="1" ht="15.75">
      <c r="B26" s="53"/>
      <c r="C26" s="40" t="s">
        <v>151</v>
      </c>
      <c r="D26" s="56">
        <v>750</v>
      </c>
      <c r="E26" s="11" t="s">
        <v>90</v>
      </c>
      <c r="F26" s="57">
        <v>21000</v>
      </c>
      <c r="G26" s="54">
        <f>D26*F26</f>
        <v>15750000</v>
      </c>
    </row>
    <row r="27" spans="2:9" s="136" customFormat="1" ht="15.75">
      <c r="B27" s="53"/>
      <c r="C27" s="40"/>
      <c r="D27" s="56"/>
      <c r="E27" s="11"/>
      <c r="F27" s="57"/>
      <c r="G27" s="54"/>
    </row>
    <row r="28" spans="2:9" ht="15.75">
      <c r="B28" s="198"/>
      <c r="C28" s="133"/>
      <c r="D28" s="134"/>
      <c r="E28" s="197"/>
      <c r="F28" s="135"/>
      <c r="G28" s="54"/>
    </row>
    <row r="29" spans="2:9" ht="15.75">
      <c r="B29" s="253" t="s">
        <v>50</v>
      </c>
      <c r="C29" s="254"/>
      <c r="D29" s="254"/>
      <c r="E29" s="254"/>
      <c r="F29" s="255"/>
      <c r="G29" s="124">
        <f>SUM(G17,G24)</f>
        <v>24360000</v>
      </c>
      <c r="I29" s="142">
        <f>G19+G26</f>
        <v>24360000</v>
      </c>
    </row>
    <row r="32" spans="2:9" ht="14.25">
      <c r="F32" s="6" t="s">
        <v>157</v>
      </c>
      <c r="G32" s="6"/>
    </row>
    <row r="33" spans="6:7" ht="14.25">
      <c r="F33" s="6" t="s">
        <v>51</v>
      </c>
      <c r="G33" s="6"/>
    </row>
    <row r="34" spans="6:7" ht="14.25">
      <c r="F34" s="6" t="s">
        <v>56</v>
      </c>
      <c r="G34" s="6"/>
    </row>
    <row r="35" spans="6:7" ht="14.25">
      <c r="F35" s="6"/>
      <c r="G35" s="6"/>
    </row>
    <row r="36" spans="6:7" ht="14.25">
      <c r="F36" s="6"/>
      <c r="G36" s="6"/>
    </row>
    <row r="37" spans="6:7" ht="14.25">
      <c r="F37" s="6"/>
      <c r="G37" s="6"/>
    </row>
    <row r="38" spans="6:7" ht="14.25">
      <c r="F38" s="6"/>
      <c r="G38" s="6"/>
    </row>
    <row r="39" spans="6:7" ht="14.25">
      <c r="F39" s="6"/>
      <c r="G39" s="6"/>
    </row>
    <row r="40" spans="6:7" ht="14.25">
      <c r="F40" s="6"/>
      <c r="G40" s="6"/>
    </row>
    <row r="41" spans="6:7" ht="14.25">
      <c r="F41" s="256" t="s">
        <v>57</v>
      </c>
      <c r="G41" s="256"/>
    </row>
    <row r="42" spans="6:7" ht="14.25">
      <c r="F42" s="251" t="s">
        <v>58</v>
      </c>
      <c r="G42" s="251"/>
    </row>
  </sheetData>
  <mergeCells count="7">
    <mergeCell ref="F42:G42"/>
    <mergeCell ref="B3:G3"/>
    <mergeCell ref="B4:G4"/>
    <mergeCell ref="B5:G5"/>
    <mergeCell ref="C9:G9"/>
    <mergeCell ref="B29:F29"/>
    <mergeCell ref="F41:G4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A56A-C6EE-4121-BC6D-9F60F6A0D515}">
  <sheetPr>
    <tabColor rgb="FF92D050"/>
  </sheetPr>
  <dimension ref="B3:I35"/>
  <sheetViews>
    <sheetView topLeftCell="A4" zoomScale="75" workbookViewId="0">
      <selection activeCell="F26" sqref="F26"/>
    </sheetView>
  </sheetViews>
  <sheetFormatPr defaultRowHeight="12.75"/>
  <cols>
    <col min="2" max="2" width="15.83203125" bestFit="1" customWidth="1"/>
    <col min="3" max="3" width="64" customWidth="1"/>
    <col min="4" max="4" width="11.1640625" bestFit="1" customWidth="1"/>
    <col min="5" max="5" width="6.83203125" customWidth="1"/>
    <col min="6" max="6" width="11.1640625" customWidth="1"/>
    <col min="7" max="7" width="17" customWidth="1"/>
    <col min="9" max="9" width="13.1640625" customWidth="1"/>
  </cols>
  <sheetData>
    <row r="3" spans="2:7" ht="15">
      <c r="B3" s="252" t="s">
        <v>30</v>
      </c>
      <c r="C3" s="252"/>
      <c r="D3" s="252"/>
      <c r="E3" s="252"/>
      <c r="F3" s="252"/>
      <c r="G3" s="252"/>
    </row>
    <row r="4" spans="2:7" ht="15">
      <c r="B4" s="252" t="s">
        <v>32</v>
      </c>
      <c r="C4" s="252"/>
      <c r="D4" s="252"/>
      <c r="E4" s="252"/>
      <c r="F4" s="252"/>
      <c r="G4" s="252"/>
    </row>
    <row r="5" spans="2:7" ht="15">
      <c r="B5" s="252" t="s">
        <v>59</v>
      </c>
      <c r="C5" s="252"/>
      <c r="D5" s="252"/>
      <c r="E5" s="252"/>
      <c r="F5" s="252"/>
      <c r="G5" s="252"/>
    </row>
    <row r="6" spans="2:7" ht="14.25">
      <c r="B6" s="5" t="s">
        <v>11</v>
      </c>
      <c r="C6" s="5" t="s">
        <v>54</v>
      </c>
      <c r="D6" s="66"/>
      <c r="E6" s="5"/>
      <c r="F6" s="6"/>
      <c r="G6" s="6"/>
    </row>
    <row r="7" spans="2:7" ht="14.25">
      <c r="B7" s="5" t="s">
        <v>12</v>
      </c>
      <c r="C7" s="5" t="s">
        <v>55</v>
      </c>
      <c r="D7" s="66"/>
      <c r="E7" s="5"/>
      <c r="F7" s="6"/>
      <c r="G7" s="6"/>
    </row>
    <row r="8" spans="2:7" ht="14.25">
      <c r="B8" s="5" t="s">
        <v>13</v>
      </c>
      <c r="C8" s="5" t="s">
        <v>101</v>
      </c>
      <c r="D8" s="67"/>
      <c r="E8" s="5"/>
      <c r="F8" s="7"/>
      <c r="G8" s="7"/>
    </row>
    <row r="9" spans="2:7" ht="33.950000000000003" customHeight="1">
      <c r="B9" s="14" t="s">
        <v>14</v>
      </c>
      <c r="C9" s="243" t="s">
        <v>161</v>
      </c>
      <c r="D9" s="243"/>
      <c r="E9" s="243"/>
      <c r="F9" s="243"/>
      <c r="G9" s="243"/>
    </row>
    <row r="12" spans="2:7" ht="85.5">
      <c r="B12" s="8" t="s">
        <v>31</v>
      </c>
      <c r="C12" s="9" t="s">
        <v>15</v>
      </c>
      <c r="D12" s="10" t="s">
        <v>16</v>
      </c>
      <c r="E12" s="9" t="s">
        <v>17</v>
      </c>
      <c r="F12" s="10" t="s">
        <v>18</v>
      </c>
      <c r="G12" s="10" t="s">
        <v>19</v>
      </c>
    </row>
    <row r="13" spans="2:7" ht="14.25">
      <c r="B13" s="11" t="s">
        <v>21</v>
      </c>
      <c r="C13" s="11" t="s">
        <v>22</v>
      </c>
      <c r="D13" s="12" t="s">
        <v>23</v>
      </c>
      <c r="E13" s="11" t="s">
        <v>24</v>
      </c>
      <c r="F13" s="12" t="s">
        <v>25</v>
      </c>
      <c r="G13" s="12" t="s">
        <v>26</v>
      </c>
    </row>
    <row r="14" spans="2:7" ht="15">
      <c r="B14" s="28" t="s">
        <v>27</v>
      </c>
      <c r="C14" s="137"/>
      <c r="D14" s="137"/>
      <c r="E14" s="137"/>
      <c r="F14" s="137"/>
      <c r="G14" s="137"/>
    </row>
    <row r="15" spans="2:7" ht="15">
      <c r="B15" s="29" t="s">
        <v>65</v>
      </c>
      <c r="C15" s="137"/>
      <c r="D15" s="137"/>
      <c r="E15" s="137"/>
      <c r="F15" s="137"/>
      <c r="G15" s="137"/>
    </row>
    <row r="16" spans="2:7" s="136" customFormat="1" ht="15">
      <c r="B16" s="139">
        <v>303</v>
      </c>
      <c r="C16" s="164"/>
      <c r="D16" s="164"/>
      <c r="E16" s="164"/>
      <c r="F16" s="164"/>
      <c r="G16" s="164"/>
    </row>
    <row r="17" spans="2:9" s="136" customFormat="1" ht="15.75">
      <c r="B17" s="45" t="s">
        <v>112</v>
      </c>
      <c r="C17" s="90" t="s">
        <v>113</v>
      </c>
      <c r="D17" s="46"/>
      <c r="E17" s="46"/>
      <c r="F17" s="46"/>
      <c r="G17" s="123">
        <f>G18</f>
        <v>300000</v>
      </c>
    </row>
    <row r="18" spans="2:9" s="136" customFormat="1" ht="15.75">
      <c r="B18" s="47">
        <v>521811</v>
      </c>
      <c r="C18" s="39" t="s">
        <v>115</v>
      </c>
      <c r="D18" s="39"/>
      <c r="E18" s="39"/>
      <c r="F18" s="48"/>
      <c r="G18" s="127">
        <f>G19</f>
        <v>300000</v>
      </c>
    </row>
    <row r="19" spans="2:9" s="136" customFormat="1" ht="15.75">
      <c r="B19" s="53"/>
      <c r="C19" s="40" t="s">
        <v>116</v>
      </c>
      <c r="D19" s="56">
        <v>1</v>
      </c>
      <c r="E19" s="11" t="s">
        <v>89</v>
      </c>
      <c r="F19" s="57">
        <v>300000</v>
      </c>
      <c r="G19" s="54">
        <f>D19*F19</f>
        <v>300000</v>
      </c>
    </row>
    <row r="20" spans="2:9" s="136" customFormat="1" ht="15.75">
      <c r="B20" s="53"/>
      <c r="C20" s="40"/>
      <c r="D20" s="56"/>
      <c r="E20" s="11"/>
      <c r="F20" s="57"/>
      <c r="G20" s="54"/>
    </row>
    <row r="21" spans="2:9" ht="15.75">
      <c r="B21" s="198"/>
      <c r="C21" s="133"/>
      <c r="D21" s="134"/>
      <c r="E21" s="197"/>
      <c r="F21" s="135"/>
      <c r="G21" s="54"/>
    </row>
    <row r="22" spans="2:9" ht="15.75">
      <c r="B22" s="253" t="s">
        <v>50</v>
      </c>
      <c r="C22" s="254"/>
      <c r="D22" s="254"/>
      <c r="E22" s="254"/>
      <c r="F22" s="255"/>
      <c r="G22" s="124">
        <f>SUM(G17)</f>
        <v>300000</v>
      </c>
      <c r="I22" s="142">
        <f>G19</f>
        <v>300000</v>
      </c>
    </row>
    <row r="25" spans="2:9" ht="14.25">
      <c r="F25" s="6" t="s">
        <v>157</v>
      </c>
      <c r="G25" s="6"/>
    </row>
    <row r="26" spans="2:9" ht="14.25">
      <c r="F26" s="6" t="s">
        <v>51</v>
      </c>
      <c r="G26" s="6"/>
    </row>
    <row r="27" spans="2:9" ht="14.25">
      <c r="F27" s="6" t="s">
        <v>56</v>
      </c>
      <c r="G27" s="6"/>
    </row>
    <row r="28" spans="2:9" ht="14.25">
      <c r="F28" s="6"/>
      <c r="G28" s="6"/>
    </row>
    <row r="29" spans="2:9" ht="14.25">
      <c r="F29" s="6"/>
      <c r="G29" s="6"/>
    </row>
    <row r="30" spans="2:9" ht="14.25">
      <c r="F30" s="6"/>
      <c r="G30" s="6"/>
    </row>
    <row r="31" spans="2:9" ht="14.25">
      <c r="F31" s="6"/>
      <c r="G31" s="6"/>
    </row>
    <row r="32" spans="2:9" ht="14.25">
      <c r="F32" s="6"/>
      <c r="G32" s="6"/>
    </row>
    <row r="33" spans="6:7" ht="14.25">
      <c r="F33" s="6"/>
      <c r="G33" s="6"/>
    </row>
    <row r="34" spans="6:7" ht="14.25">
      <c r="F34" s="256" t="s">
        <v>57</v>
      </c>
      <c r="G34" s="256"/>
    </row>
    <row r="35" spans="6:7" ht="14.25">
      <c r="F35" s="251" t="s">
        <v>58</v>
      </c>
      <c r="G35" s="251"/>
    </row>
  </sheetData>
  <mergeCells count="7">
    <mergeCell ref="F35:G35"/>
    <mergeCell ref="B3:G3"/>
    <mergeCell ref="B4:G4"/>
    <mergeCell ref="B5:G5"/>
    <mergeCell ref="C9:G9"/>
    <mergeCell ref="B22:F22"/>
    <mergeCell ref="F34:G3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C986-5B9D-4197-9EF2-00625AE73072}">
  <sheetPr>
    <tabColor rgb="FF92D050"/>
  </sheetPr>
  <dimension ref="B2:I34"/>
  <sheetViews>
    <sheetView topLeftCell="A6" zoomScale="54" workbookViewId="0">
      <selection activeCell="F26" sqref="F26"/>
    </sheetView>
  </sheetViews>
  <sheetFormatPr defaultRowHeight="12.75"/>
  <cols>
    <col min="2" max="2" width="15.83203125" bestFit="1" customWidth="1"/>
    <col min="3" max="3" width="57.83203125" bestFit="1" customWidth="1"/>
    <col min="4" max="4" width="11.1640625" bestFit="1" customWidth="1"/>
    <col min="6" max="6" width="11.1640625" bestFit="1" customWidth="1"/>
    <col min="7" max="7" width="16.83203125" customWidth="1"/>
    <col min="9" max="9" width="11.83203125" bestFit="1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101</v>
      </c>
      <c r="D7" s="67"/>
      <c r="E7" s="5"/>
      <c r="F7" s="7"/>
      <c r="G7" s="7"/>
    </row>
    <row r="8" spans="2:7" ht="14.25">
      <c r="B8" s="14" t="s">
        <v>14</v>
      </c>
      <c r="C8" s="243" t="s">
        <v>100</v>
      </c>
      <c r="D8" s="243"/>
      <c r="E8" s="243"/>
      <c r="F8" s="243"/>
      <c r="G8" s="243"/>
    </row>
    <row r="11" spans="2:7" ht="85.5">
      <c r="B11" s="8" t="s">
        <v>31</v>
      </c>
      <c r="C11" s="9" t="s">
        <v>15</v>
      </c>
      <c r="D11" s="10" t="s">
        <v>16</v>
      </c>
      <c r="E11" s="9" t="s">
        <v>17</v>
      </c>
      <c r="F11" s="10" t="s">
        <v>18</v>
      </c>
      <c r="G11" s="10" t="s">
        <v>19</v>
      </c>
    </row>
    <row r="12" spans="2:7" ht="14.25">
      <c r="B12" s="11" t="s">
        <v>21</v>
      </c>
      <c r="C12" s="11" t="s">
        <v>22</v>
      </c>
      <c r="D12" s="12" t="s">
        <v>23</v>
      </c>
      <c r="E12" s="11" t="s">
        <v>24</v>
      </c>
      <c r="F12" s="12" t="s">
        <v>25</v>
      </c>
      <c r="G12" s="12" t="s">
        <v>26</v>
      </c>
    </row>
    <row r="13" spans="2:7" ht="15">
      <c r="B13" s="28" t="s">
        <v>64</v>
      </c>
      <c r="C13" s="11"/>
      <c r="D13" s="12"/>
      <c r="E13" s="11"/>
      <c r="F13" s="12"/>
      <c r="G13" s="12"/>
    </row>
    <row r="14" spans="2:7" ht="15">
      <c r="B14" s="29" t="s">
        <v>65</v>
      </c>
      <c r="C14" s="11"/>
      <c r="D14" s="12"/>
      <c r="E14" s="11"/>
      <c r="F14" s="12"/>
      <c r="G14" s="12"/>
    </row>
    <row r="15" spans="2:7" ht="15">
      <c r="B15" s="28" t="s">
        <v>66</v>
      </c>
      <c r="C15" s="41" t="s">
        <v>67</v>
      </c>
      <c r="D15" s="12"/>
      <c r="E15" s="11"/>
      <c r="F15" s="12"/>
      <c r="G15" s="12"/>
    </row>
    <row r="16" spans="2:7" ht="30">
      <c r="B16" s="50" t="s">
        <v>75</v>
      </c>
      <c r="C16" s="86" t="s">
        <v>79</v>
      </c>
      <c r="D16" s="86"/>
      <c r="E16" s="86"/>
      <c r="F16" s="49"/>
      <c r="G16" s="95">
        <f>G17</f>
        <v>600000</v>
      </c>
    </row>
    <row r="17" spans="2:9" ht="15.75">
      <c r="B17" s="47">
        <v>524113</v>
      </c>
      <c r="C17" s="39" t="s">
        <v>111</v>
      </c>
      <c r="D17" s="39"/>
      <c r="E17" s="39"/>
      <c r="F17" s="48"/>
      <c r="G17" s="61">
        <f>SUM(G18:G20)</f>
        <v>600000</v>
      </c>
    </row>
    <row r="18" spans="2:9" ht="28.5">
      <c r="B18" s="89"/>
      <c r="C18" s="91" t="s">
        <v>132</v>
      </c>
      <c r="D18" s="92">
        <v>1</v>
      </c>
      <c r="E18" s="93" t="s">
        <v>80</v>
      </c>
      <c r="F18" s="122">
        <v>150000</v>
      </c>
      <c r="G18" s="129">
        <f>SUM(D18*F18)</f>
        <v>150000</v>
      </c>
    </row>
    <row r="19" spans="2:9" ht="28.5">
      <c r="B19" s="89"/>
      <c r="C19" s="91" t="s">
        <v>130</v>
      </c>
      <c r="D19" s="56">
        <v>1</v>
      </c>
      <c r="E19" s="93" t="s">
        <v>80</v>
      </c>
      <c r="F19" s="122">
        <v>150000</v>
      </c>
      <c r="G19" s="129">
        <f>SUM(D19*F19)</f>
        <v>150000</v>
      </c>
    </row>
    <row r="20" spans="2:9" ht="28.5">
      <c r="B20" s="89"/>
      <c r="C20" s="91" t="s">
        <v>131</v>
      </c>
      <c r="D20" s="92">
        <v>2</v>
      </c>
      <c r="E20" s="93" t="s">
        <v>80</v>
      </c>
      <c r="F20" s="122">
        <v>150000</v>
      </c>
      <c r="G20" s="129">
        <f>SUM(D20*F20)</f>
        <v>300000</v>
      </c>
    </row>
    <row r="21" spans="2:9" ht="15.75">
      <c r="B21" s="89"/>
      <c r="C21" s="91"/>
      <c r="D21" s="92"/>
      <c r="E21" s="93"/>
      <c r="F21" s="122"/>
      <c r="G21" s="129"/>
    </row>
    <row r="22" spans="2:9" ht="15.75">
      <c r="B22" s="253" t="s">
        <v>50</v>
      </c>
      <c r="C22" s="254"/>
      <c r="D22" s="254"/>
      <c r="E22" s="254"/>
      <c r="F22" s="255"/>
      <c r="G22" s="124">
        <f>SUM(G16)</f>
        <v>600000</v>
      </c>
      <c r="I22" s="142">
        <f>G18+G19+G20</f>
        <v>600000</v>
      </c>
    </row>
    <row r="25" spans="2:9" ht="14.25">
      <c r="F25" s="6" t="s">
        <v>157</v>
      </c>
      <c r="G25" s="6"/>
    </row>
    <row r="26" spans="2:9" ht="14.25">
      <c r="F26" s="6" t="s">
        <v>51</v>
      </c>
      <c r="G26" s="6"/>
    </row>
    <row r="27" spans="2:9" ht="14.25">
      <c r="F27" s="6" t="s">
        <v>56</v>
      </c>
      <c r="G27" s="6"/>
    </row>
    <row r="28" spans="2:9" ht="14.25">
      <c r="F28" s="6"/>
      <c r="G28" s="6"/>
    </row>
    <row r="29" spans="2:9" ht="14.25">
      <c r="F29" s="6"/>
      <c r="G29" s="6"/>
    </row>
    <row r="30" spans="2:9" ht="14.25">
      <c r="F30" s="6"/>
      <c r="G30" s="6"/>
    </row>
    <row r="31" spans="2:9" ht="14.25">
      <c r="F31" s="6"/>
      <c r="G31" s="6"/>
    </row>
    <row r="32" spans="2:9" ht="14.25">
      <c r="F32" s="6"/>
      <c r="G32" s="6"/>
    </row>
    <row r="33" spans="6:7" ht="14.25">
      <c r="F33" s="256" t="s">
        <v>57</v>
      </c>
      <c r="G33" s="256"/>
    </row>
    <row r="34" spans="6:7" ht="14.25">
      <c r="F34" s="251" t="s">
        <v>58</v>
      </c>
      <c r="G34" s="251"/>
    </row>
  </sheetData>
  <mergeCells count="7">
    <mergeCell ref="F34:G34"/>
    <mergeCell ref="B2:G2"/>
    <mergeCell ref="B3:G3"/>
    <mergeCell ref="B4:G4"/>
    <mergeCell ref="C8:G8"/>
    <mergeCell ref="B22:F22"/>
    <mergeCell ref="F33:G3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11F9-4012-4251-9B79-597F38E60318}">
  <sheetPr>
    <tabColor rgb="FF92D050"/>
  </sheetPr>
  <dimension ref="B2:I41"/>
  <sheetViews>
    <sheetView topLeftCell="A11" zoomScale="57" workbookViewId="0">
      <selection activeCell="F33" sqref="F33"/>
    </sheetView>
  </sheetViews>
  <sheetFormatPr defaultRowHeight="12.75"/>
  <cols>
    <col min="2" max="2" width="15.83203125" bestFit="1" customWidth="1"/>
    <col min="3" max="3" width="57.83203125" bestFit="1" customWidth="1"/>
    <col min="4" max="4" width="11.1640625" bestFit="1" customWidth="1"/>
    <col min="6" max="6" width="11.1640625" bestFit="1" customWidth="1"/>
    <col min="7" max="7" width="22.33203125" customWidth="1"/>
    <col min="9" max="9" width="17.6640625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70</v>
      </c>
      <c r="D7" s="67"/>
      <c r="E7" s="5"/>
      <c r="F7" s="7"/>
      <c r="G7" s="7"/>
    </row>
    <row r="8" spans="2:7" ht="14.25">
      <c r="B8" s="14" t="s">
        <v>14</v>
      </c>
      <c r="C8" s="243" t="s">
        <v>154</v>
      </c>
      <c r="D8" s="243"/>
      <c r="E8" s="243"/>
      <c r="F8" s="243"/>
      <c r="G8" s="243"/>
    </row>
    <row r="11" spans="2:7" ht="85.5">
      <c r="B11" s="8" t="s">
        <v>31</v>
      </c>
      <c r="C11" s="9" t="s">
        <v>15</v>
      </c>
      <c r="D11" s="10" t="s">
        <v>16</v>
      </c>
      <c r="E11" s="9" t="s">
        <v>17</v>
      </c>
      <c r="F11" s="10" t="s">
        <v>18</v>
      </c>
      <c r="G11" s="10" t="s">
        <v>19</v>
      </c>
    </row>
    <row r="12" spans="2:7" ht="14.25">
      <c r="B12" s="11" t="s">
        <v>21</v>
      </c>
      <c r="C12" s="11" t="s">
        <v>22</v>
      </c>
      <c r="D12" s="12" t="s">
        <v>23</v>
      </c>
      <c r="E12" s="11" t="s">
        <v>24</v>
      </c>
      <c r="F12" s="12" t="s">
        <v>25</v>
      </c>
      <c r="G12" s="12" t="s">
        <v>26</v>
      </c>
    </row>
    <row r="13" spans="2:7" ht="15">
      <c r="B13" s="28" t="s">
        <v>64</v>
      </c>
      <c r="C13" s="11"/>
      <c r="D13" s="12"/>
      <c r="E13" s="11"/>
      <c r="F13" s="12"/>
      <c r="G13" s="12"/>
    </row>
    <row r="14" spans="2:7" ht="15">
      <c r="B14" s="29" t="s">
        <v>65</v>
      </c>
      <c r="C14" s="11"/>
      <c r="D14" s="12"/>
      <c r="E14" s="11"/>
      <c r="F14" s="12"/>
      <c r="G14" s="12"/>
    </row>
    <row r="15" spans="2:7" ht="15">
      <c r="B15" s="28" t="s">
        <v>66</v>
      </c>
      <c r="C15" s="41" t="s">
        <v>67</v>
      </c>
      <c r="D15" s="12"/>
      <c r="E15" s="11"/>
      <c r="F15" s="12"/>
      <c r="G15" s="12"/>
    </row>
    <row r="16" spans="2:7" ht="30">
      <c r="B16" s="50" t="s">
        <v>75</v>
      </c>
      <c r="C16" s="86" t="s">
        <v>79</v>
      </c>
      <c r="D16" s="86"/>
      <c r="E16" s="86"/>
      <c r="F16" s="49"/>
      <c r="G16" s="95">
        <f>G17</f>
        <v>14530000</v>
      </c>
    </row>
    <row r="17" spans="2:9" ht="15.75">
      <c r="B17" s="47">
        <v>524111</v>
      </c>
      <c r="C17" s="183" t="s">
        <v>76</v>
      </c>
      <c r="D17" s="30"/>
      <c r="E17" s="30"/>
      <c r="F17" s="48"/>
      <c r="G17" s="61">
        <f>SUM(G18:G19)</f>
        <v>14530000</v>
      </c>
    </row>
    <row r="18" spans="2:9" ht="30">
      <c r="B18" s="89"/>
      <c r="C18" s="40" t="s">
        <v>135</v>
      </c>
      <c r="D18" s="56">
        <v>75</v>
      </c>
      <c r="E18" s="93" t="s">
        <v>80</v>
      </c>
      <c r="F18" s="122">
        <v>150000</v>
      </c>
      <c r="G18" s="129">
        <f>SUM(D18*F18)</f>
        <v>11250000</v>
      </c>
    </row>
    <row r="19" spans="2:9" ht="15.75">
      <c r="B19" s="89"/>
      <c r="C19" s="40" t="s">
        <v>134</v>
      </c>
      <c r="D19" s="56">
        <v>8</v>
      </c>
      <c r="E19" s="93" t="s">
        <v>80</v>
      </c>
      <c r="F19" s="122">
        <v>410000</v>
      </c>
      <c r="G19" s="129">
        <f>SUM(D19*F19)</f>
        <v>3280000</v>
      </c>
    </row>
    <row r="20" spans="2:9" ht="15.75">
      <c r="B20" s="89"/>
      <c r="C20" s="91"/>
      <c r="D20" s="92"/>
      <c r="E20" s="93"/>
      <c r="F20" s="122"/>
      <c r="G20" s="129"/>
    </row>
    <row r="21" spans="2:9" ht="15">
      <c r="B21" s="28" t="s">
        <v>27</v>
      </c>
      <c r="C21" s="11"/>
      <c r="D21" s="12"/>
      <c r="E21" s="11"/>
      <c r="F21" s="12"/>
      <c r="G21" s="12"/>
    </row>
    <row r="22" spans="2:9" ht="15">
      <c r="B22" s="29" t="s">
        <v>65</v>
      </c>
      <c r="C22" s="11"/>
      <c r="D22" s="12"/>
      <c r="E22" s="11"/>
      <c r="F22" s="12"/>
      <c r="G22" s="12"/>
    </row>
    <row r="23" spans="2:9" ht="15">
      <c r="B23" s="28" t="s">
        <v>66</v>
      </c>
      <c r="C23" s="41" t="s">
        <v>67</v>
      </c>
      <c r="D23" s="12"/>
      <c r="E23" s="11"/>
      <c r="F23" s="12"/>
      <c r="G23" s="12"/>
    </row>
    <row r="24" spans="2:9" ht="30">
      <c r="B24" s="50" t="s">
        <v>75</v>
      </c>
      <c r="C24" s="86" t="s">
        <v>79</v>
      </c>
      <c r="D24" s="86"/>
      <c r="E24" s="86"/>
      <c r="F24" s="49"/>
      <c r="G24" s="95">
        <f>G25</f>
        <v>14230000</v>
      </c>
    </row>
    <row r="25" spans="2:9" ht="15.75">
      <c r="B25" s="47">
        <v>524111</v>
      </c>
      <c r="C25" s="39" t="s">
        <v>76</v>
      </c>
      <c r="D25" s="39"/>
      <c r="E25" s="39"/>
      <c r="F25" s="48"/>
      <c r="G25" s="61">
        <f>SUM(G26:G27)</f>
        <v>14230000</v>
      </c>
    </row>
    <row r="26" spans="2:9" ht="30">
      <c r="B26" s="89"/>
      <c r="C26" s="40" t="s">
        <v>136</v>
      </c>
      <c r="D26" s="56">
        <v>73</v>
      </c>
      <c r="E26" s="93" t="s">
        <v>80</v>
      </c>
      <c r="F26" s="122">
        <v>150000</v>
      </c>
      <c r="G26" s="129">
        <f>SUM(D26*F26)</f>
        <v>10950000</v>
      </c>
    </row>
    <row r="27" spans="2:9" ht="15.75">
      <c r="B27" s="89"/>
      <c r="C27" s="40" t="s">
        <v>134</v>
      </c>
      <c r="D27" s="56">
        <v>8</v>
      </c>
      <c r="E27" s="93" t="s">
        <v>80</v>
      </c>
      <c r="F27" s="122">
        <v>410000</v>
      </c>
      <c r="G27" s="129">
        <f>SUM(D27*F27)</f>
        <v>3280000</v>
      </c>
    </row>
    <row r="28" spans="2:9">
      <c r="B28" s="137"/>
      <c r="C28" s="137"/>
      <c r="D28" s="137"/>
      <c r="E28" s="137"/>
      <c r="F28" s="137"/>
      <c r="G28" s="137"/>
    </row>
    <row r="29" spans="2:9" ht="15.75">
      <c r="B29" s="253" t="s">
        <v>50</v>
      </c>
      <c r="C29" s="254"/>
      <c r="D29" s="254"/>
      <c r="E29" s="254"/>
      <c r="F29" s="255"/>
      <c r="G29" s="124">
        <f>SUM(G16,G24)</f>
        <v>28760000</v>
      </c>
      <c r="I29" s="142">
        <f>G18+G19+G26+G27</f>
        <v>28760000</v>
      </c>
    </row>
    <row r="32" spans="2:9" ht="14.25">
      <c r="F32" s="6" t="s">
        <v>157</v>
      </c>
      <c r="G32" s="6"/>
    </row>
    <row r="33" spans="6:7" ht="14.25">
      <c r="F33" s="6" t="s">
        <v>51</v>
      </c>
      <c r="G33" s="6"/>
    </row>
    <row r="34" spans="6:7" ht="14.25">
      <c r="F34" s="6" t="s">
        <v>56</v>
      </c>
      <c r="G34" s="6"/>
    </row>
    <row r="35" spans="6:7" ht="14.25">
      <c r="F35" s="6"/>
      <c r="G35" s="6"/>
    </row>
    <row r="36" spans="6:7" ht="14.25">
      <c r="F36" s="6"/>
      <c r="G36" s="6"/>
    </row>
    <row r="37" spans="6:7" ht="14.25">
      <c r="F37" s="6"/>
      <c r="G37" s="6"/>
    </row>
    <row r="38" spans="6:7" ht="14.25">
      <c r="F38" s="6"/>
      <c r="G38" s="6"/>
    </row>
    <row r="39" spans="6:7" ht="14.25">
      <c r="F39" s="6"/>
      <c r="G39" s="6"/>
    </row>
    <row r="40" spans="6:7" ht="14.25">
      <c r="F40" s="256" t="s">
        <v>57</v>
      </c>
      <c r="G40" s="256"/>
    </row>
    <row r="41" spans="6:7" ht="14.25">
      <c r="F41" s="251" t="s">
        <v>58</v>
      </c>
      <c r="G41" s="251"/>
    </row>
  </sheetData>
  <mergeCells count="7">
    <mergeCell ref="F41:G41"/>
    <mergeCell ref="B2:G2"/>
    <mergeCell ref="B3:G3"/>
    <mergeCell ref="B4:G4"/>
    <mergeCell ref="C8:G8"/>
    <mergeCell ref="B29:F29"/>
    <mergeCell ref="F40:G40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042D-7FDF-4143-AA18-24B9026B86A2}">
  <sheetPr>
    <tabColor rgb="FF92D050"/>
  </sheetPr>
  <dimension ref="B2:I37"/>
  <sheetViews>
    <sheetView topLeftCell="A12" zoomScale="80" zoomScaleNormal="80" workbookViewId="0">
      <selection activeCell="I24" sqref="I24"/>
    </sheetView>
  </sheetViews>
  <sheetFormatPr defaultRowHeight="12.75"/>
  <cols>
    <col min="2" max="2" width="16" bestFit="1" customWidth="1"/>
    <col min="3" max="3" width="63.83203125" customWidth="1"/>
    <col min="4" max="4" width="11.1640625" bestFit="1" customWidth="1"/>
    <col min="6" max="6" width="16.5" customWidth="1"/>
    <col min="7" max="7" width="18.33203125" customWidth="1"/>
    <col min="9" max="9" width="14.1640625" customWidth="1"/>
  </cols>
  <sheetData>
    <row r="2" spans="2:7" ht="15">
      <c r="B2" s="252" t="s">
        <v>30</v>
      </c>
      <c r="C2" s="252"/>
      <c r="D2" s="252"/>
      <c r="E2" s="252"/>
      <c r="F2" s="252"/>
      <c r="G2" s="252"/>
    </row>
    <row r="3" spans="2:7" ht="15">
      <c r="B3" s="252" t="s">
        <v>32</v>
      </c>
      <c r="C3" s="252"/>
      <c r="D3" s="252"/>
      <c r="E3" s="252"/>
      <c r="F3" s="252"/>
      <c r="G3" s="252"/>
    </row>
    <row r="4" spans="2:7" ht="15">
      <c r="B4" s="252" t="s">
        <v>59</v>
      </c>
      <c r="C4" s="252"/>
      <c r="D4" s="252"/>
      <c r="E4" s="252"/>
      <c r="F4" s="252"/>
      <c r="G4" s="252"/>
    </row>
    <row r="5" spans="2:7" ht="14.25">
      <c r="B5" s="5" t="s">
        <v>11</v>
      </c>
      <c r="C5" s="5" t="s">
        <v>54</v>
      </c>
      <c r="D5" s="66"/>
      <c r="E5" s="5"/>
      <c r="F5" s="6"/>
      <c r="G5" s="6"/>
    </row>
    <row r="6" spans="2:7" ht="14.25">
      <c r="B6" s="5" t="s">
        <v>12</v>
      </c>
      <c r="C6" s="5" t="s">
        <v>55</v>
      </c>
      <c r="D6" s="66"/>
      <c r="E6" s="5"/>
      <c r="F6" s="6"/>
      <c r="G6" s="6"/>
    </row>
    <row r="7" spans="2:7" ht="14.25">
      <c r="B7" s="5" t="s">
        <v>13</v>
      </c>
      <c r="C7" s="5" t="s">
        <v>70</v>
      </c>
      <c r="D7" s="67"/>
      <c r="E7" s="5"/>
      <c r="F7" s="7"/>
      <c r="G7" s="7"/>
    </row>
    <row r="8" spans="2:7" ht="14.25">
      <c r="B8" s="14" t="s">
        <v>14</v>
      </c>
      <c r="C8" s="243" t="s">
        <v>103</v>
      </c>
      <c r="D8" s="243"/>
      <c r="E8" s="243"/>
      <c r="F8" s="243"/>
      <c r="G8" s="243"/>
    </row>
    <row r="11" spans="2:7" ht="85.5">
      <c r="B11" s="8" t="s">
        <v>31</v>
      </c>
      <c r="C11" s="9" t="s">
        <v>15</v>
      </c>
      <c r="D11" s="10" t="s">
        <v>16</v>
      </c>
      <c r="E11" s="9" t="s">
        <v>17</v>
      </c>
      <c r="F11" s="10" t="s">
        <v>18</v>
      </c>
      <c r="G11" s="10" t="s">
        <v>19</v>
      </c>
    </row>
    <row r="12" spans="2:7" ht="14.25">
      <c r="B12" s="11" t="s">
        <v>21</v>
      </c>
      <c r="C12" s="11" t="s">
        <v>22</v>
      </c>
      <c r="D12" s="12" t="s">
        <v>23</v>
      </c>
      <c r="E12" s="11" t="s">
        <v>24</v>
      </c>
      <c r="F12" s="12" t="s">
        <v>25</v>
      </c>
      <c r="G12" s="12" t="s">
        <v>26</v>
      </c>
    </row>
    <row r="13" spans="2:7" ht="14.25">
      <c r="B13" s="11"/>
      <c r="C13" s="11"/>
      <c r="D13" s="12"/>
      <c r="E13" s="11"/>
      <c r="F13" s="12"/>
      <c r="G13" s="12"/>
    </row>
    <row r="14" spans="2:7" ht="16.5" customHeight="1">
      <c r="B14" s="17" t="s">
        <v>60</v>
      </c>
      <c r="C14" s="20" t="s">
        <v>28</v>
      </c>
      <c r="D14" s="92"/>
      <c r="E14" s="93"/>
      <c r="F14" s="57"/>
      <c r="G14" s="54"/>
    </row>
    <row r="15" spans="2:7" ht="15">
      <c r="B15" s="25" t="s">
        <v>29</v>
      </c>
      <c r="C15" s="20" t="s">
        <v>61</v>
      </c>
      <c r="D15" s="56"/>
      <c r="E15" s="9"/>
      <c r="F15" s="10"/>
      <c r="G15" s="10"/>
    </row>
    <row r="16" spans="2:7" ht="15.75">
      <c r="B16" s="102" t="s">
        <v>73</v>
      </c>
      <c r="C16" s="103" t="s">
        <v>62</v>
      </c>
      <c r="D16" s="34"/>
      <c r="E16" s="35"/>
      <c r="F16" s="34"/>
      <c r="G16" s="72">
        <f>SUM(G17)</f>
        <v>2000000</v>
      </c>
    </row>
    <row r="17" spans="2:9" ht="15">
      <c r="B17" s="104">
        <v>521111</v>
      </c>
      <c r="C17" s="105" t="s">
        <v>63</v>
      </c>
      <c r="D17" s="106"/>
      <c r="E17" s="107"/>
      <c r="F17" s="106"/>
      <c r="G17" s="106">
        <f>SUM(G18:G19)</f>
        <v>2000000</v>
      </c>
    </row>
    <row r="18" spans="2:9" ht="15">
      <c r="B18" s="108"/>
      <c r="C18" s="109" t="s">
        <v>110</v>
      </c>
      <c r="D18" s="108"/>
      <c r="E18" s="108"/>
      <c r="F18" s="110">
        <v>1000000</v>
      </c>
      <c r="G18" s="111">
        <f>F18</f>
        <v>1000000</v>
      </c>
    </row>
    <row r="19" spans="2:9" ht="15">
      <c r="B19" s="108"/>
      <c r="C19" s="112" t="s">
        <v>81</v>
      </c>
      <c r="D19" s="113"/>
      <c r="E19" s="113"/>
      <c r="F19" s="110">
        <f>RAB!G85</f>
        <v>1000000</v>
      </c>
      <c r="G19" s="111">
        <f>F19</f>
        <v>1000000</v>
      </c>
    </row>
    <row r="20" spans="2:9" ht="15">
      <c r="B20" s="108"/>
      <c r="C20" s="112"/>
      <c r="D20" s="113"/>
      <c r="E20" s="190"/>
      <c r="F20" s="110"/>
      <c r="G20" s="111"/>
    </row>
    <row r="21" spans="2:9" ht="15">
      <c r="B21" s="192">
        <v>522111</v>
      </c>
      <c r="C21" s="200" t="s">
        <v>125</v>
      </c>
      <c r="D21" s="199">
        <v>2</v>
      </c>
      <c r="E21" s="201" t="s">
        <v>89</v>
      </c>
      <c r="F21" s="202">
        <v>15000000</v>
      </c>
      <c r="G21" s="193">
        <f>SUM(D21*F21)</f>
        <v>30000000</v>
      </c>
    </row>
    <row r="22" spans="2:9" ht="15">
      <c r="B22" s="108"/>
      <c r="C22" s="191"/>
      <c r="D22" s="108"/>
      <c r="E22" s="108"/>
      <c r="F22" s="110"/>
      <c r="G22" s="111"/>
    </row>
    <row r="23" spans="2:9" ht="15.75">
      <c r="B23" s="253" t="s">
        <v>50</v>
      </c>
      <c r="C23" s="254"/>
      <c r="D23" s="254"/>
      <c r="E23" s="254"/>
      <c r="F23" s="255"/>
      <c r="G23" s="124">
        <f>SUM(G17,G21)</f>
        <v>32000000</v>
      </c>
      <c r="I23" s="143">
        <f>G18+G19+G21</f>
        <v>32000000</v>
      </c>
    </row>
    <row r="24" spans="2:9" ht="14.25">
      <c r="B24" s="5"/>
      <c r="C24" s="5"/>
      <c r="D24" s="66"/>
      <c r="E24" s="5"/>
      <c r="F24" s="6"/>
      <c r="G24" s="128"/>
    </row>
    <row r="25" spans="2:9" ht="14.25">
      <c r="B25" s="5"/>
      <c r="C25" s="5"/>
      <c r="D25" s="66"/>
      <c r="E25" s="5"/>
      <c r="F25" s="6"/>
      <c r="G25" s="6"/>
    </row>
    <row r="26" spans="2:9" ht="14.25">
      <c r="B26" s="5"/>
      <c r="C26" s="5"/>
      <c r="D26" s="66"/>
      <c r="E26" s="5"/>
      <c r="F26" s="6" t="s">
        <v>157</v>
      </c>
      <c r="G26" s="6"/>
    </row>
    <row r="27" spans="2:9" ht="14.25">
      <c r="B27" s="5"/>
      <c r="C27" s="5"/>
      <c r="D27" s="66"/>
      <c r="E27" s="5"/>
      <c r="F27" s="6" t="s">
        <v>51</v>
      </c>
      <c r="G27" s="6"/>
    </row>
    <row r="28" spans="2:9" ht="14.25">
      <c r="B28" s="5"/>
      <c r="C28" s="5"/>
      <c r="D28" s="66"/>
      <c r="E28" s="5"/>
      <c r="F28" s="6" t="s">
        <v>56</v>
      </c>
      <c r="G28" s="6"/>
    </row>
    <row r="29" spans="2:9" ht="14.25">
      <c r="B29" s="5"/>
      <c r="C29" s="5"/>
      <c r="D29" s="66"/>
      <c r="E29" s="5"/>
      <c r="F29" s="6"/>
      <c r="G29" s="6"/>
    </row>
    <row r="30" spans="2:9" ht="14.25">
      <c r="B30" s="5"/>
      <c r="C30" s="5"/>
      <c r="D30" s="66"/>
      <c r="E30" s="5"/>
      <c r="F30" s="6"/>
      <c r="G30" s="6"/>
    </row>
    <row r="31" spans="2:9" ht="14.25">
      <c r="B31" s="5"/>
      <c r="C31" s="5"/>
      <c r="D31" s="66"/>
      <c r="E31" s="5"/>
      <c r="F31" s="6"/>
      <c r="G31" s="6"/>
    </row>
    <row r="32" spans="2:9" ht="14.25">
      <c r="B32" s="5"/>
      <c r="C32" s="5"/>
      <c r="D32" s="66"/>
      <c r="E32" s="5"/>
      <c r="F32" s="6"/>
      <c r="G32" s="6"/>
    </row>
    <row r="33" spans="2:7" ht="14.25">
      <c r="B33" s="5"/>
      <c r="C33" s="5"/>
      <c r="D33" s="66"/>
      <c r="E33" s="5"/>
      <c r="F33" s="6"/>
      <c r="G33" s="6"/>
    </row>
    <row r="34" spans="2:7" ht="14.25">
      <c r="B34" s="5"/>
      <c r="C34" s="5"/>
      <c r="D34" s="66"/>
      <c r="E34" s="5"/>
      <c r="F34" s="6"/>
      <c r="G34" s="6"/>
    </row>
    <row r="35" spans="2:7" ht="14.25">
      <c r="B35" s="5"/>
      <c r="C35" s="5"/>
      <c r="D35" s="66"/>
      <c r="E35" s="5"/>
      <c r="F35" s="256" t="s">
        <v>57</v>
      </c>
      <c r="G35" s="256"/>
    </row>
    <row r="36" spans="2:7" ht="14.25">
      <c r="B36" s="5"/>
      <c r="C36" s="5"/>
      <c r="D36" s="66"/>
      <c r="E36" s="5"/>
      <c r="F36" s="251" t="s">
        <v>58</v>
      </c>
      <c r="G36" s="251"/>
    </row>
    <row r="37" spans="2:7" ht="14.25">
      <c r="B37" s="5"/>
      <c r="C37" s="5"/>
      <c r="D37" s="66"/>
      <c r="E37" s="5"/>
      <c r="F37" s="6"/>
      <c r="G37" s="6"/>
    </row>
  </sheetData>
  <mergeCells count="7">
    <mergeCell ref="F36:G36"/>
    <mergeCell ref="B2:G2"/>
    <mergeCell ref="B3:G3"/>
    <mergeCell ref="B4:G4"/>
    <mergeCell ref="C8:G8"/>
    <mergeCell ref="B23:F23"/>
    <mergeCell ref="F35:G35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FDD2-A892-405D-93F3-56EC0AC883CC}">
  <sheetPr>
    <tabColor rgb="FF92D050"/>
  </sheetPr>
  <dimension ref="B3:D14"/>
  <sheetViews>
    <sheetView workbookViewId="0">
      <selection activeCell="G14" sqref="G14"/>
    </sheetView>
  </sheetViews>
  <sheetFormatPr defaultRowHeight="12.75"/>
  <cols>
    <col min="2" max="2" width="38.5" customWidth="1"/>
    <col min="3" max="3" width="15.33203125" customWidth="1"/>
    <col min="4" max="4" width="12.33203125" bestFit="1" customWidth="1"/>
  </cols>
  <sheetData>
    <row r="3" spans="2:4">
      <c r="B3" s="15" t="s">
        <v>104</v>
      </c>
      <c r="C3" s="142">
        <f>BelanjaBahan!G27</f>
        <v>1000000</v>
      </c>
    </row>
    <row r="4" spans="2:4">
      <c r="B4" s="15" t="s">
        <v>105</v>
      </c>
      <c r="C4" s="142">
        <f>Honor!G28</f>
        <v>8000000</v>
      </c>
    </row>
    <row r="5" spans="2:4">
      <c r="B5" s="15" t="s">
        <v>143</v>
      </c>
      <c r="C5" s="142">
        <f>KegiatanKrida!G27</f>
        <v>13200000</v>
      </c>
    </row>
    <row r="6" spans="2:4">
      <c r="B6" s="15" t="s">
        <v>122</v>
      </c>
      <c r="C6" s="142">
        <f>OlahMinatBakat!G28</f>
        <v>2000000</v>
      </c>
    </row>
    <row r="7" spans="2:4">
      <c r="B7" s="15" t="s">
        <v>144</v>
      </c>
      <c r="C7" s="142">
        <f>Survei!G20</f>
        <v>820000</v>
      </c>
    </row>
    <row r="8" spans="2:4">
      <c r="B8" s="15" t="s">
        <v>106</v>
      </c>
      <c r="C8" s="142">
        <f>PermakananSiswa!G29</f>
        <v>24360000</v>
      </c>
    </row>
    <row r="9" spans="2:4">
      <c r="B9" s="15" t="s">
        <v>123</v>
      </c>
      <c r="C9" s="142">
        <f>Obat!G22</f>
        <v>300000</v>
      </c>
    </row>
    <row r="10" spans="2:4">
      <c r="B10" s="15" t="s">
        <v>107</v>
      </c>
      <c r="C10" s="142">
        <f>TransportPendamping!G22</f>
        <v>600000</v>
      </c>
    </row>
    <row r="11" spans="2:4">
      <c r="B11" s="15" t="s">
        <v>142</v>
      </c>
      <c r="C11" s="142">
        <f>PemulanganSiswa!G29</f>
        <v>28760000</v>
      </c>
    </row>
    <row r="12" spans="2:4">
      <c r="B12" s="15" t="s">
        <v>108</v>
      </c>
      <c r="C12" s="142">
        <f>EBA!G23</f>
        <v>32000000</v>
      </c>
    </row>
    <row r="14" spans="2:4">
      <c r="C14" s="144">
        <f>SUM(C3:C12)</f>
        <v>111040000</v>
      </c>
      <c r="D14" s="14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9"/>
  <sheetViews>
    <sheetView workbookViewId="0">
      <selection activeCell="G17" sqref="G17"/>
    </sheetView>
  </sheetViews>
  <sheetFormatPr defaultRowHeight="12.75"/>
  <sheetData>
    <row r="1" spans="1:7">
      <c r="A1" s="15" t="s">
        <v>35</v>
      </c>
      <c r="G1" s="15" t="s">
        <v>43</v>
      </c>
    </row>
    <row r="3" spans="1:7">
      <c r="A3" s="15" t="s">
        <v>36</v>
      </c>
    </row>
    <row r="4" spans="1:7">
      <c r="A4" s="15" t="s">
        <v>37</v>
      </c>
    </row>
    <row r="5" spans="1:7">
      <c r="A5" s="16" t="s">
        <v>42</v>
      </c>
    </row>
    <row r="6" spans="1:7">
      <c r="A6" s="15" t="s">
        <v>38</v>
      </c>
    </row>
    <row r="7" spans="1:7">
      <c r="A7" s="15" t="s">
        <v>39</v>
      </c>
    </row>
    <row r="8" spans="1:7">
      <c r="A8" s="15" t="s">
        <v>40</v>
      </c>
    </row>
    <row r="9" spans="1:7">
      <c r="A9" s="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Usulan pencairan</vt:lpstr>
      <vt:lpstr>RAB</vt:lpstr>
      <vt:lpstr>BelanjaBahan</vt:lpstr>
      <vt:lpstr>Honor</vt:lpstr>
      <vt:lpstr>KegiatanKrida</vt:lpstr>
      <vt:lpstr>OlahMinatBakat</vt:lpstr>
      <vt:lpstr>Survei</vt:lpstr>
      <vt:lpstr>PermakananSiswa</vt:lpstr>
      <vt:lpstr>Obat</vt:lpstr>
      <vt:lpstr>TransportPendamping</vt:lpstr>
      <vt:lpstr>PemulanganSiswa</vt:lpstr>
      <vt:lpstr>EBA</vt:lpstr>
      <vt:lpstr>TOTAL SELURUH RAB</vt:lpstr>
      <vt:lpstr>catatan</vt:lpstr>
      <vt:lpstr>RAB!Print_Area</vt:lpstr>
      <vt:lpstr>'Usulan pencairan'!Print_Area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conny dia nanda putri</cp:lastModifiedBy>
  <cp:lastPrinted>2026-05-26T08:24:47Z</cp:lastPrinted>
  <dcterms:created xsi:type="dcterms:W3CDTF">2025-10-24T13:04:45Z</dcterms:created>
  <dcterms:modified xsi:type="dcterms:W3CDTF">2026-05-26T08:32:12Z</dcterms:modified>
</cp:coreProperties>
</file>