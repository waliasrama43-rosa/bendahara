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D" sheetId="1" r:id="rId5"/>
    <sheet state="visible" name="SMP" sheetId="2" r:id="rId6"/>
    <sheet state="visible" name="SMA" sheetId="3" r:id="rId7"/>
    <sheet state="visible" name="LAYANAN PERKANTORAN" sheetId="4" r:id="rId8"/>
    <sheet state="visible" name="berdasarAnggaran" sheetId="5" r:id="rId9"/>
  </sheets>
  <definedNames>
    <definedName localSheetId="1" name="JR_PAGE_ANCHOR_0_1">SMP!$A$3</definedName>
    <definedName localSheetId="0" name="JR_PAGE_ANCHOR_0_1">SD!$B$4</definedName>
  </definedNames>
  <calcPr/>
</workbook>
</file>

<file path=xl/sharedStrings.xml><?xml version="1.0" encoding="utf-8"?>
<sst xmlns="http://schemas.openxmlformats.org/spreadsheetml/2006/main" count="9360" uniqueCount="408">
  <si>
    <t>KODE AKUN</t>
  </si>
  <si>
    <t>PROGRAM/KEG/KOUTPUT/SUBOUTPUT/KOMPONEN/SUBKOMP/DETIL</t>
  </si>
  <si>
    <t>VOL</t>
  </si>
  <si>
    <t>SAT</t>
  </si>
  <si>
    <t>H SATUAN</t>
  </si>
  <si>
    <t>PAGU</t>
  </si>
  <si>
    <t>REALISASI</t>
  </si>
  <si>
    <t>SALDO</t>
  </si>
  <si>
    <t>SP2D</t>
  </si>
  <si>
    <t>%</t>
  </si>
  <si>
    <t>AKRURAL</t>
  </si>
  <si>
    <t>027.01.DQ</t>
  </si>
  <si>
    <t>Program Perlindungan Sosial</t>
  </si>
  <si>
    <t>7936</t>
  </si>
  <si>
    <t>Penyelenggaraan Program Sekolah Rakyat</t>
  </si>
  <si>
    <t>7936.SBC</t>
  </si>
  <si>
    <t>Pendidikan Dasar[Penambahan alokasi dari SABA 999.08 ke 9A]</t>
  </si>
  <si>
    <t>Lokasi : KOTA JAKARTA PUSAT</t>
  </si>
  <si>
    <t>302</t>
  </si>
  <si>
    <t xml:space="preserve">Sekolah Rakyat Terintegrasi 2 Banyuwangi </t>
  </si>
  <si>
    <t>A</t>
  </si>
  <si>
    <t>Kegiatan Belajar Mengajar</t>
  </si>
  <si>
    <t>Belanja Bahan</t>
  </si>
  <si>
    <t>(KPPN.182-Jakarta VII )</t>
  </si>
  <si>
    <t xml:space="preserve">  - </t>
  </si>
  <si>
    <t>ATK Kelas [1 PKT x 12 BLN x 1 ROM]</t>
  </si>
  <si>
    <t>OK</t>
  </si>
  <si>
    <t>Buku Pegangan Guru [1 PKT x 2 SMT x 1 LOK]</t>
  </si>
  <si>
    <t>Buku Penunjang Kegiatan Belajar Mengajar [5 PKT x 2 SMT x 1 LOK]</t>
  </si>
  <si>
    <t xml:space="preserve">ATK Kelas [1 PKT x 12 BLN x 1 ROM]        
Buku Pegangan Guru [1 PKT x 2 SMT x 1 LOK]        
Buku Penunjang Kegiatan Belajar Mengajar [5 PKT x 2 SMT x 1 LOK]        
Penggandaan Soal [25 ORG x 4 KEG x 1 ROM]        
Konsumsi Rapat Eksternal [40 ORG x 4 KEG x 2 HR x 1 LOK        
Snack Rapat Eksternal [40 ORG x 4 KEG x 2 HR x 1 LOK        </t>
  </si>
  <si>
    <t>Penggandaan Soal [25 ORG x 4 KEG x 1 ROM]</t>
  </si>
  <si>
    <t>Konsumsi Rapat Eksternal [40 ORG x 4 KEG x 2 HR x 1 LOK</t>
  </si>
  <si>
    <t>Snack Rapat Eksternal [40 ORG x 4 KEG x 2 HR x 1 LOK</t>
  </si>
  <si>
    <t>Media Pembelajaran dan laporan perekembangan siswa [25 ORG x 2 PKT x 1 ROM]</t>
  </si>
  <si>
    <t>Belanja Jasa Profesi</t>
  </si>
  <si>
    <t>Honor Instruktur [4 ORG x 2 Jam x 1 ROM]</t>
  </si>
  <si>
    <t>Honor Narasumber [4 ORG x 2 Jam]</t>
  </si>
  <si>
    <t>B</t>
  </si>
  <si>
    <t>Praktikum Komunitas</t>
  </si>
  <si>
    <t>isi yang bener</t>
  </si>
  <si>
    <t>521211</t>
  </si>
  <si>
    <t>Snack dan Konsumsi Peserta [25 ORG x 2 keg x 1 Rom]</t>
  </si>
  <si>
    <t>Dokumentasi Pelaporan [1 KEG x 2 LOK]</t>
  </si>
  <si>
    <t>Spanduk [1 KEG x 2 LOK]</t>
  </si>
  <si>
    <t>521213</t>
  </si>
  <si>
    <t>Belanja Honor Output Kegiatan</t>
  </si>
  <si>
    <t>Honor Pemandu Praktikum [2 ORG x 2 KEG x 1 ROM]</t>
  </si>
  <si>
    <t>522141</t>
  </si>
  <si>
    <t>Belanja Sewa</t>
  </si>
  <si>
    <t>Sewa Bus [1 UNIT x 2 keg x 1 ROm]</t>
  </si>
  <si>
    <t>C</t>
  </si>
  <si>
    <t>Kegiatan Krida</t>
  </si>
  <si>
    <t>Konsumsi dan Snack Siswa [25 Org x 2 keg x 1 Rom]</t>
  </si>
  <si>
    <t>Sarana Pendukung Keagamaan [5 keg x 1 lo]</t>
  </si>
  <si>
    <t>Dokumentasi dan Pelaporan [1 KEG x 1 LOK]</t>
  </si>
  <si>
    <t>KEG</t>
  </si>
  <si>
    <t>Media Pembelajaran [25 ORG x 2 KEG x 1 ROM]</t>
  </si>
  <si>
    <t>Sewa Bus [1 unt x 2 keg x 1 Rom]</t>
  </si>
  <si>
    <t>522151</t>
  </si>
  <si>
    <t>Honor Instruktur [2 ORG x 2 keg x 1 LOK]</t>
  </si>
  <si>
    <t>D</t>
  </si>
  <si>
    <t>Karya Ilmiah dan Latihan Olah Bakat dan Minat</t>
  </si>
  <si>
    <t>Snack dan Konsumsi Siswa [25 ORG x 4 KL x 3 hr x 1 Rom</t>
  </si>
  <si>
    <t>521219</t>
  </si>
  <si>
    <t>Belanja Barang Non Operasional Lainnya</t>
  </si>
  <si>
    <t>Pengembangan Kompetensi Siswa dan Kegiatan Sekolah</t>
  </si>
  <si>
    <t>PAKET</t>
  </si>
  <si>
    <t>Biaya Masuk Lokasi Study [25 Org x 2 Bln x 1 Rom]</t>
  </si>
  <si>
    <t>521811</t>
  </si>
  <si>
    <t>Belanja Barang Persediaan Barang Konsumsi</t>
  </si>
  <si>
    <t>Media Ekstrakulikuler Lainnya [20 Pcs x 1 Pkt x 1 Lok]</t>
  </si>
  <si>
    <t>Honor Pembimbing Olahraga/Olah Minat [4 ORG x 2 KL x 12 BLN x 1 LOK</t>
  </si>
  <si>
    <t>E</t>
  </si>
  <si>
    <t>Koordinasi dan Konsultasi Sekolah Rakyat</t>
  </si>
  <si>
    <t>524111</t>
  </si>
  <si>
    <t>Belanja Perjalanan Dinas Biasa</t>
  </si>
  <si>
    <t>transport petugas [5 Org x 2 KEG x 2 KL x 1 Lok</t>
  </si>
  <si>
    <t>uang penginapan petugas [5 Org x 2 KEG x 3 HR x 1 Lok</t>
  </si>
  <si>
    <t>Uang Harian Petugas [5 Org x 2 KEG x 4 HR x 1 Lok</t>
  </si>
  <si>
    <t>524113</t>
  </si>
  <si>
    <t>Belanja Perjalanan Dinas Dalam Kota</t>
  </si>
  <si>
    <t>transport petugas [10 Org x 1 KEG x 5 KL x 1 Lok</t>
  </si>
  <si>
    <t>F</t>
  </si>
  <si>
    <t>Permakanan dan Perawatan Siswa</t>
  </si>
  <si>
    <t>521112</t>
  </si>
  <si>
    <t>Belanja Pengadaan Bahan Makanan</t>
  </si>
  <si>
    <t>Makan Siswa [25 Org x 3 KL x 365 HR x 1 ROM</t>
  </si>
  <si>
    <t>OH</t>
  </si>
  <si>
    <t>Air Minum [25 BH x 12 BLN x 30 HR x 1 LOK</t>
  </si>
  <si>
    <t>Snack Siswa [25 Org x 2 KL x 365 HR x 1 ROM</t>
  </si>
  <si>
    <t>Kesehatan Siswa [15 Org x 12 Bln x 1 LOK]</t>
  </si>
  <si>
    <t>Perawatan Diri [25 Org x 12 Bln x 1 Rom]</t>
  </si>
  <si>
    <t>G</t>
  </si>
  <si>
    <t>Perlengkapan Operasional Sekolah</t>
  </si>
  <si>
    <t>Obat obatan ringan [1 ls x 12 Bln x 1 lok]</t>
  </si>
  <si>
    <t>SET</t>
  </si>
  <si>
    <t>Alat Kebersihan ASrama</t>
  </si>
  <si>
    <t>PKT</t>
  </si>
  <si>
    <t>H</t>
  </si>
  <si>
    <t>Kebutuhan Asrama</t>
  </si>
  <si>
    <t>521252</t>
  </si>
  <si>
    <t>Belanja Peralatan dan Mesin - Ekstrakomptabel</t>
  </si>
  <si>
    <t>Rak Sepatu [2 Set x 1 Smt x 1 Lok]</t>
  </si>
  <si>
    <t>Setrika [2 Set x 1 Smt x 1 Lok]</t>
  </si>
  <si>
    <t>Jemuran Pakaian (di dalam ruangan) [2 Set x 1 SMT x 1 Lok]</t>
  </si>
  <si>
    <t>Jam Dinding [2 Set x 1 SMT x 1 Lok]</t>
  </si>
  <si>
    <t>Tempat Sampah [2 Set x 1 Smt x 1 Lok]</t>
  </si>
  <si>
    <t>Dispenser Air [2 Set x 1 SMT x 1 Lok]</t>
  </si>
  <si>
    <t>Jemuran Pakaian (di Luar ruangan) [2 Set x 1 Smt x 1 Lok]</t>
  </si>
  <si>
    <t>Gantungan Baju [10 Set x 1 Smt x 1 Lok]</t>
  </si>
  <si>
    <t>Sapu dan Pengki [2 Set x 1 Smt x 1 Lok]</t>
  </si>
  <si>
    <t>Kain Pel [2 Set x 1 Smt x 1 Lok]</t>
  </si>
  <si>
    <t>Keset Lantai [2 Set x 1 Smt x 1 Lok]</t>
  </si>
  <si>
    <t>I</t>
  </si>
  <si>
    <t>Pengasramaan Siswa</t>
  </si>
  <si>
    <t>Bantal [25 Org x 2 BH x 1 rom]</t>
  </si>
  <si>
    <t>Guling [25 Org x 2 BH x 1 rom]</t>
  </si>
  <si>
    <t>Handuk [25 Org x 2 BH x 1 rom]</t>
  </si>
  <si>
    <t>Selimut [25 Org x 2 BH x 1 rom]</t>
  </si>
  <si>
    <t>Pengasramaan Siswa lainnya [25 Org x 2 BH x 1 rom]</t>
  </si>
  <si>
    <t>Peralatan Ibadah [25 Org x 1 SET x 1 rom]</t>
  </si>
  <si>
    <t>Pakaian Dalam [25 Org x 7 SET x 1 rom]</t>
  </si>
  <si>
    <t>Pakaian Santai/Seragam [25 Org x 7 SET x 1 rom]</t>
  </si>
  <si>
    <t>Keperluan Kebersihan Diri [25 Org x 1 SET x 1 rom x 12 BLN</t>
  </si>
  <si>
    <t>Keperluan Wanita [15 Org x 1 SET x 1 rom x 12 BLN</t>
  </si>
  <si>
    <t>Jilbab Santai [15 Org x 7 BH x 1 rom]</t>
  </si>
  <si>
    <t>J</t>
  </si>
  <si>
    <t>Pengasramaan Guru dan Tenaga Pendidik</t>
  </si>
  <si>
    <t>Bantal [44 Org x 2 Bh x 1 lok]</t>
  </si>
  <si>
    <t>Psg</t>
  </si>
  <si>
    <t>Guling [44 Org x 2 Bh x 1 lok]</t>
  </si>
  <si>
    <t>Seprei SIngle Katun [44 Org x 2 Bh x 1 lok]</t>
  </si>
  <si>
    <t>Peralatan Ibadah [44 Org x 1 Set x 1 lok]</t>
  </si>
  <si>
    <t>Perlengkapan Asrama Guru dan Tenaga Pendidik [44 Org x 1 Set x 1 lok x 12 bln</t>
  </si>
  <si>
    <t>K</t>
  </si>
  <si>
    <t>Peralatan Makan Siswa</t>
  </si>
  <si>
    <t>Food Tray [25 Org x 3 Set x 1 rom]</t>
  </si>
  <si>
    <t>Termos [2 Bh x 1 Lok]</t>
  </si>
  <si>
    <t>Peralatan Makan (Piring, Sendok) [25 org x 1 SET x 1 rom]</t>
  </si>
  <si>
    <t>Gelas [25 Bh x 1 SET x 1 rom]</t>
  </si>
  <si>
    <t>Sendok Garpu [25 org x 1 SET x 1 rom]</t>
  </si>
  <si>
    <t>L</t>
  </si>
  <si>
    <t>Perlengkapan Sekolah</t>
  </si>
  <si>
    <t>Buku Paket Siswa (buku pelajaran) [25 Org x 1 thn x 1 Set x 1 rom</t>
  </si>
  <si>
    <t>Peralatan Sekolah (atk, buku tulis) [25 Org x 1 Thn x 1 Set x 1 Rom</t>
  </si>
  <si>
    <t>Buku saku guru dan tendik (buku penunjang sekolah rakyat) [4 PKT x 1 Lok]</t>
  </si>
  <si>
    <t>M</t>
  </si>
  <si>
    <t>Dukungan Penyelenggaraan Operasional Sekolah Rakyat</t>
  </si>
  <si>
    <t>Uang Harian Petugas [5 Org x 5 KEG x 3 KL x 1 Lok</t>
  </si>
  <si>
    <t>Uang Penginapan Petugas [5 Org x 5 KEG x 2 HR x 1 Lok</t>
  </si>
  <si>
    <t>Transport Petugas [5 Org x 5 KEG x 1 Kl x 1 Lok</t>
  </si>
  <si>
    <t>Biaya Penginapan Siswa [25 Org x 1 KEG x 2 Kl x 1 Lok</t>
  </si>
  <si>
    <t>Transport Pemulangan Libur Jeda Semester dsn Hari Besar Keagamaan [25 Org x 1 KEG x 3 Kl x 1 Lok</t>
  </si>
  <si>
    <t>Transport Peserta [20 Org x 4 KEG x 2 KL x 1 Lok</t>
  </si>
  <si>
    <t>407</t>
  </si>
  <si>
    <t>Sekolah Rakyat 1C Terintegrasi 07 Kabupaten Banyuwangi</t>
  </si>
  <si>
    <t>ATK Kelas [1 PKT x 12 BLN x 2 ROM]</t>
  </si>
  <si>
    <t>Penggandaan Soal [25 ORG x 4 KEG x 2 ROM]</t>
  </si>
  <si>
    <t>Media Pembelajaran dan Laporan Perkembangan Siswa [25 ORG x 2 PKT x 2 ROM]</t>
  </si>
  <si>
    <t>Honor Instruktur [4 ORG x 2 Jam x 2 ROM]</t>
  </si>
  <si>
    <t>Snack dan Konsumsi Siswa [25 ORG x 2 keg x 2 Rom]</t>
  </si>
  <si>
    <t>Honor Pemandu Praktikum [2 ORG x 2 KEG]</t>
  </si>
  <si>
    <t>Sewa Bus [1 UNIT x 2 keg x 2 ROm]</t>
  </si>
  <si>
    <t>Konsumsi dan Snack Siswa [25 Org x 2 keg x 2 Rom]</t>
  </si>
  <si>
    <t>Media Pembelajaran [25 ORG x 2 KEG x 2 ROM]</t>
  </si>
  <si>
    <t>Sewa Bus [1 unt x 2 keg x 2 Rom]</t>
  </si>
  <si>
    <t>Snack dan Konsumsi Siswa [25 ORG x 4 KL x 3 hr x 2 Rom</t>
  </si>
  <si>
    <t>Biaya Masuk Lokasi Study [25 Org x 2 Bln x 2 Rom]</t>
  </si>
  <si>
    <t>Makan Siswa [25 Org x 3 KL x 365 HR x 2 ROM</t>
  </si>
  <si>
    <t>Snack Siswa [25 Org x 2 KL x 365 HR x 2 ROM</t>
  </si>
  <si>
    <t>Perawatan Diri [25 Org x 12 Bln x 2 Rom]</t>
  </si>
  <si>
    <t>Alat Kebersihan Asrama</t>
  </si>
  <si>
    <t>Bantal [25 Org x 2 BH x 2 rom]</t>
  </si>
  <si>
    <t>Guling [25 Org x 2 BH x 2 rom]</t>
  </si>
  <si>
    <t>Handuk [25 Org x 2 BH x 2 rom]</t>
  </si>
  <si>
    <t>Selimut [25 Org x 2 BH x 2 rom]</t>
  </si>
  <si>
    <t>Pengasramaan Siswa Lainnya [25 Org x 2 BH x 2 rom]</t>
  </si>
  <si>
    <t>Peralatan Ibadah [25 Org x 1 SET x 2 rom]</t>
  </si>
  <si>
    <t>Pakaian Dalam [25 Org x 7 SET x 2 rom]</t>
  </si>
  <si>
    <t>Pakaian Santai/Seragam [25 Org x 7 SET x 2 rom]</t>
  </si>
  <si>
    <t>Keperluan Kebersihan Diri [25 Org x 1 SET x 2 rom x 12 BLN</t>
  </si>
  <si>
    <t>Keperluan Wanita [15 Org x 1 SET x 2 rom x 12 BLN</t>
  </si>
  <si>
    <t>Jilbab Santai [15 Org x 7 BH x 2 rom]</t>
  </si>
  <si>
    <t>Food Tray [25 Org x 3 Set x 2 rom]</t>
  </si>
  <si>
    <t>Peralatan Makan (Piring, Sendok) [25 org x 1 SET x 2 rom]</t>
  </si>
  <si>
    <t>Gelas [25 Bh x 1 SET x 2 rom]</t>
  </si>
  <si>
    <t>Sendok Garpu [25 org x 1 SET x 2 rom]</t>
  </si>
  <si>
    <t>Buku Paket Siswa (buku pelajaran) [25 Org x 1 thn x 1 Set x 2 rom</t>
  </si>
  <si>
    <t>Peralatan Sekolah (atk, buku tulis) [25 Org x 1 Thn x 1 Set x 2 Rom</t>
  </si>
  <si>
    <t>Biaya Penginapan Siswa [25 Org x 1 KEG x 2 Kl x 2 Lok</t>
  </si>
  <si>
    <t>Transport Pemulangan Libur Jeda Semester dsn Hari Besar Keagamaan [25 Org x 1 KEG x 3 Kl x 2 Lok</t>
  </si>
  <si>
    <t>408</t>
  </si>
  <si>
    <t>Sekolah Rakyat 1C Terintegrasi 08 Kabupaten Pasuruan</t>
  </si>
  <si>
    <t>tambahan dari cc/ ls 20jt</t>
  </si>
  <si>
    <t>cc/ ls 20jt</t>
  </si>
  <si>
    <t>cc 5 122 jt</t>
  </si>
  <si>
    <t>dari cc/ls 20 jt dan cc 5 122 jt</t>
  </si>
  <si>
    <t>tambahan dari cc 5 122 jt</t>
  </si>
  <si>
    <t>tambahan dari cc 5 122jt</t>
  </si>
  <si>
    <t>transport perjadin tagana</t>
  </si>
  <si>
    <t>permakanan catering</t>
  </si>
  <si>
    <t>Perlengkapan Asrama Guru dan Tenaga Kependidikan [44 Org x 1 Set x 1 lok x 12 bln</t>
  </si>
  <si>
    <t>409</t>
  </si>
  <si>
    <t>Sekolah Rakyat 1C Terintegrasi 09 Kabupaten Malang</t>
  </si>
  <si>
    <t>Media Pembelajaran dan Laporan Perkembangan SIswa [25 ORG x 2 PKT x 1 ROM]</t>
  </si>
  <si>
    <t>Honor Pemandu Prakikum [2 ORG x 2 KEG]</t>
  </si>
  <si>
    <t>Pengasramaan Siswa Lainnya [25 Org x 2 BH x 1 rom]</t>
  </si>
  <si>
    <t>Perlengkapan Asrama Guru dan tenaga pendidik [44 Org x 1 Set x 1 lok x 12 bln</t>
  </si>
  <si>
    <t>425</t>
  </si>
  <si>
    <t>Sekolah Rakyat 1C Terintegrasi 25 Kabupaten Sumenep</t>
  </si>
  <si>
    <t>Biaya Keikutsertaan Club</t>
  </si>
  <si>
    <t>Perleengkapan Asrama Guru dan Tenaga Pendidik [44 Org x 1 Set x 1 lok x 12 bln</t>
  </si>
  <si>
    <t>426</t>
  </si>
  <si>
    <t>Sekolah Rakyat 1C Terintegrasi 26 Kabupaten Trenggalek</t>
  </si>
  <si>
    <t>Pengembangan dan Kompetensi siswa kegiatan sekolah</t>
  </si>
  <si>
    <t>427</t>
  </si>
  <si>
    <t>Sekolah Rakyat 1C Terintegrasi 27 Kab Bangkalan</t>
  </si>
  <si>
    <t>Snack dan Konsumsi Peserta [25 ORG x 2 keg x 2 Rom]</t>
  </si>
  <si>
    <t>Perelengkapan Asrama Guru dan Tenaga Pendidik [44 Org x 1 Set x 1 lok x 12 bln</t>
  </si>
  <si>
    <t>Sekolah Rakyat Terintegrasi 5 Ponorogo</t>
  </si>
  <si>
    <t>Konsumsi Rapat eksternal [40 ORG x 4 KEG x 2 HR x 1 LOK</t>
  </si>
  <si>
    <t>Snack Rapat eksternal [40 ORG x 4 KEG x 2 HR x 1 LOK</t>
  </si>
  <si>
    <t>Media Pembelajaran dan Laporan perkembangan siswa [25 ORG x 2 PKT x 1 ROM]</t>
  </si>
  <si>
    <t>SILPA</t>
  </si>
  <si>
    <t>7936.SBE</t>
  </si>
  <si>
    <t>Pendidikan Non Gelar[Base Line]</t>
  </si>
  <si>
    <t>7936.SBE.101</t>
  </si>
  <si>
    <t xml:space="preserve">Penyelenggaraan Pendidikan Menengah Pertama Sekolah Rakyat		</t>
  </si>
  <si>
    <t>128</t>
  </si>
  <si>
    <t>Sekolah Rakyat Menengah Pertama 28 Pasuruan</t>
  </si>
  <si>
    <t>Honor Narasumber [2 ORG x 2 Jam x 2 Keg]</t>
  </si>
  <si>
    <t>Pengembangan Kompetensi Siswa dan Kegiatan Sekolah [1 PKT]</t>
  </si>
  <si>
    <t>Alat Kebersihan Asrama [1 PKT]</t>
  </si>
  <si>
    <t>PSG</t>
  </si>
  <si>
    <t xml:space="preserve">Dukungan Penyelenggaraan Operasional Sekolah Rakyat		</t>
  </si>
  <si>
    <t>transport petugas [5 Org x 5 KEG x 1 KL x 1 Lok</t>
  </si>
  <si>
    <t>uang penginapan petugas [5 Org x 5 KEG x 2 HR x 1 Lok</t>
  </si>
  <si>
    <t>Uang Harian Petugas [5 Org x 5 KEG x 3 HR x 1 Lok</t>
  </si>
  <si>
    <t>Biaya Penginapan Siswa [25 Org x 1 HR x 2 KEG x 2 Rom</t>
  </si>
  <si>
    <t>Transport Pemulangan Libur Jeda Semester dan Hari Besar Keagamaan [25 Org x 1 THN x 3 KL x 2 Rom</t>
  </si>
  <si>
    <t>transport [20 Org x 4 KEG x 2 Hr x 1 Lok</t>
  </si>
  <si>
    <t>129</t>
  </si>
  <si>
    <t>Sekolah Rakyat Menengah Pertama 29 Pamekasan</t>
  </si>
  <si>
    <t>Sekolah Rakyat Terintegrasi 2 Banyuwangi</t>
  </si>
  <si>
    <t>303</t>
  </si>
  <si>
    <t>Sekolah Rakyat Terintegrasi 3 Pasuruan</t>
  </si>
  <si>
    <t>ATK Kelas [1 PKT x 12 BLN x 3 ROM]</t>
  </si>
  <si>
    <t>Penggandaan Soal [25 ORG x 4 KEG x 3 ROM]</t>
  </si>
  <si>
    <t>Media Pembelajaran dan Laporan Perkembangan Siswa [25 ORG x 2 PKT x 3 ROM]</t>
  </si>
  <si>
    <t>Honor Instruktur [4 ORG x 2 Jam x 3 ROM]</t>
  </si>
  <si>
    <t>Honor Narasumber [2 ORG x 2 Jam x 2 keg]</t>
  </si>
  <si>
    <t>Snack dan Konsumsi Siswa [25 ORG x 2 keg x 3 Rom]</t>
  </si>
  <si>
    <t>Sewa Bus [1 UNIT x 2 keg x 3 ROm]</t>
  </si>
  <si>
    <t>Konsumsi dan Snack Siswa [25 Org x 2 keg x 3 Rom]</t>
  </si>
  <si>
    <t>Media Pembelajaran [25 ORG x 2 KEG x 3 ROM]</t>
  </si>
  <si>
    <t>Sewa Bus [1 unt x 2 keg x 3 Rom]</t>
  </si>
  <si>
    <t>Snack dan Konsumsi Siswa [25 ORG x 4 KL x 3 hr x 3 Rom</t>
  </si>
  <si>
    <t>Pengembangan Kompetensi Siswa dan Kegiatan Sekolah	 [1 PKT]</t>
  </si>
  <si>
    <t>Biaya Masuk Lokasi Study [25 Org x 2 Bln x 3 Rom]</t>
  </si>
  <si>
    <t>Makan Siswa [25 Org x 3 KL x 365 HR x 3 ROM</t>
  </si>
  <si>
    <t>Snack Siswa [25 Org x 2 KL x 365 HR x 3 ROM</t>
  </si>
  <si>
    <t>Perawatan Diri [25 Org x 12 Bln x 3 Rom]</t>
  </si>
  <si>
    <t>Bantal [25 Org x 2 BH x 3 rom]</t>
  </si>
  <si>
    <t>Guling [25 Org x 2 BH x 3 rom]</t>
  </si>
  <si>
    <t>Handuk [25 Org x 2 BH x 3 rom]</t>
  </si>
  <si>
    <t>Selimut [25 Org x 2 BH x 3 rom]</t>
  </si>
  <si>
    <t>Pengasramaan Siswa Lainnya [25 Org x 2 BH x 3 rom]</t>
  </si>
  <si>
    <t>Peralatan Ibadah [25 Org x 1 SET x 3 rom]</t>
  </si>
  <si>
    <t>Pakaian Dalam [25 Org x 7 SET x 3 rom]</t>
  </si>
  <si>
    <t>Pakaian Santai/Seragam [25 Org x 7 SET x 3 rom]</t>
  </si>
  <si>
    <t>Keperluan Kebersihan Diri [25 Org x 1 SET x 3 rom x 12 BLN</t>
  </si>
  <si>
    <t>Keperluan Wanita [15 Org x 1 SET x 3 rom x 12 BLN</t>
  </si>
  <si>
    <t>Jilbab Santai [15 Org x 7 BH x 3 rom]</t>
  </si>
  <si>
    <t>Pealatan Makan Siswa</t>
  </si>
  <si>
    <t>Food Tray [25 Org x 3 Set x 3 rom]</t>
  </si>
  <si>
    <t>Peralatan Makan (Piring, Sendok) [25 org x 1 SET x 3 rom]</t>
  </si>
  <si>
    <t>Gelas [25 Bh x 1 SET x 3 rom]</t>
  </si>
  <si>
    <t>Sendok Garpu [25 org x 1 SET x 3 rom]</t>
  </si>
  <si>
    <t>Buku Paket Siswa (buku pelajaran) [25 Org x 1 thn x 1 Set x 3 rom</t>
  </si>
  <si>
    <t>Peralatan Sekolah (atk, buku tulis) [25 Org x 1 Thn x 1 Set x 3 Rom</t>
  </si>
  <si>
    <t>Biaya Penginapan Siswa [25 Org x 1 HR x 2 KEG x 3 Rom</t>
  </si>
  <si>
    <t>Transport Pemulangan Libur Jeda Semester dan Hari Besar Keagamaan [25 Org x 1 THN x 3 KL x 3 Rom</t>
  </si>
  <si>
    <t>Media Pembelajaran dan Laporan Perkembangan Siswa [25 ORG x 2 PKT x 1 ROM]</t>
  </si>
  <si>
    <t>Snack dan Konsumsi Siswa [25 ORG x 2 keg x 1 Rom]</t>
  </si>
  <si>
    <t>Biaya Penginapan Siswa [25 Org x 1 HR x 2 KEG x 1 Rom</t>
  </si>
  <si>
    <t>Transport Pemulangan Libur Jeda Semester dan Hari Besar Keagamaan [25 Org x 1 THN x 3 KL x 1 Rom</t>
  </si>
  <si>
    <t>Sekolah Rakyat 1C Terintegrasi 27 Kabupaten Bangkalan</t>
  </si>
  <si>
    <t>305</t>
  </si>
  <si>
    <t>Media Pembelajaran &amp; Laporan Perkembangan Siswa [25 ORG x 2 PKT x 2 ROM]</t>
  </si>
  <si>
    <t>Pengembangan Kompetensi Siswa dan Kegiatan Sekolah [1 Pkt]</t>
  </si>
  <si>
    <t>Alat Kebersihan Asrama [1 Pkt]</t>
  </si>
  <si>
    <t>Uang Harian Petugas [5 Org x 5 Keg x 3 Hr x 1 Lok</t>
  </si>
  <si>
    <t>Uang Penginapan Petugas [5 Org x 5 Keg x 2 Hr x 1 Lok</t>
  </si>
  <si>
    <t>Transport Petugas [5 Org x 5 Keg x 1 Kl x 1 Lok</t>
  </si>
  <si>
    <t>Biaya Penginapan Siswa [25 Org x 1 Hr x 2 Keg x 2 Rom</t>
  </si>
  <si>
    <t>Transport Pemulangan Libur Jeda Semester dan Hari Besar Keagamaan [25 Org x 1 Thn x 3 Kl x 2 Rom</t>
  </si>
  <si>
    <t>Transport Peserta [20 Org x 4 Keg x 2 Hr x 1 Lok</t>
  </si>
  <si>
    <t>307</t>
  </si>
  <si>
    <t>Sekolah Rakyat Terintegrasi 7 Probolinggo</t>
  </si>
  <si>
    <t>7936.SBB</t>
  </si>
  <si>
    <t>Pendidikan Menengah[Penambahan alokasi dari SABA 999.08 ke 9A]</t>
  </si>
  <si>
    <t>14575.0 Orang</t>
  </si>
  <si>
    <t>7936.SBB.101</t>
  </si>
  <si>
    <t xml:space="preserve">Penyelenggaraan Pendidikan Menengah Atas  Sekolah Rakyat		</t>
  </si>
  <si>
    <t>210</t>
  </si>
  <si>
    <t>Sekolah Rakyat Menengah Atas 10 Jakarta Selatan</t>
  </si>
  <si>
    <t xml:space="preserve"> </t>
  </si>
  <si>
    <t>6,83</t>
  </si>
  <si>
    <t>ATK Kelas [1 PKT x 12 BLN x 4 ROM]</t>
  </si>
  <si>
    <t>Penggandaan Soal [25 ORG x 4 KEG x 4 ROM]</t>
  </si>
  <si>
    <t>Media Pembelajaran dan Laporan Perkembangan Siswa [25 ORG x 2 PKT x 4 ROM]</t>
  </si>
  <si>
    <t>Honor Instruktur [4 ORG x 2 Jam x 4 ROM]</t>
  </si>
  <si>
    <t>Honor Narasumber [2 ORG x 2 JAM x 2 KEG]</t>
  </si>
  <si>
    <t>Snack dan Konsumsi Siswa [25 ORG x 2 keg x 4 Rom]</t>
  </si>
  <si>
    <t>Sewa Bus [1 UNIT x 2 keg x 4 ROm]</t>
  </si>
  <si>
    <t>Konsumsi dan Snack Siswa [25 Org x 2 keg x 4 Rom]</t>
  </si>
  <si>
    <t>Media Pembelajaran [25 ORG x 2 KEG x 4 ROM]</t>
  </si>
  <si>
    <t>Sewa Bus [1 unt x 2 keg x 4 Rom]</t>
  </si>
  <si>
    <t>Snack dan Konsumsi Siswa [25 ORG x 4 KL x 3 hr x 4 Rom</t>
  </si>
  <si>
    <t>Biaya Masuk Lokasi Study [25 ORG x 2 Bln x 4 ROM]</t>
  </si>
  <si>
    <t>Makan Siswa [25 Org x 3 KL x 365 HR x 4 ROM</t>
  </si>
  <si>
    <t>Snack Siswa [25 Org x 2 KL x 365 HR x 4 ROM</t>
  </si>
  <si>
    <t>Perawatan Diri [25 Org x 12 Bln x 4 Rom]</t>
  </si>
  <si>
    <t>Bantal [25 Org x 2 BH x 4 rom]</t>
  </si>
  <si>
    <t>Guling [25 Org x 2 BH x 4 rom]</t>
  </si>
  <si>
    <t>Handuk [25 Org x 2 BH x 4 rom]</t>
  </si>
  <si>
    <t>Selimut [25 Org x 2 BH x 4 rom]</t>
  </si>
  <si>
    <t>Pengasramaan Siswa Lainnya [25 Org x 2 BH x 4 rom]</t>
  </si>
  <si>
    <t>Peralatan Ibadah [25 Org x 1 SET x 4 rom]</t>
  </si>
  <si>
    <t>Pakaian Dalam [25 Org x 7 SET x 4 rom]</t>
  </si>
  <si>
    <t>Pakaian Santai/Seragam [25 Org x 7 SET x 4 rom]</t>
  </si>
  <si>
    <t>Keperluan Kebersihan Diri [25 Org x 1 SET x 4 rom x 12 BLN</t>
  </si>
  <si>
    <t>Keperluan Wanita [15 Org x 1 SET x 4 rom x 12 BLN</t>
  </si>
  <si>
    <t>Jilbab Santai [15 Org x 7 BH x 4 rom]</t>
  </si>
  <si>
    <t>Food Tray [25 Org x 3 Set x 4 rom]</t>
  </si>
  <si>
    <t>Peralatan Makan (Piring, Sendok) [25 org x 1 SET x 4 rom]</t>
  </si>
  <si>
    <t>Gelas [25 Bh x 1 SET x 4 rom]</t>
  </si>
  <si>
    <t>Sendok Garpu [25 org x 1 SET x 4 rom]</t>
  </si>
  <si>
    <t>Buku Paket Siswa (buku pelajaran) [25 Org x 1 thn x 1 Set x 4 rom</t>
  </si>
  <si>
    <t>Peralatan Sekolah (atk, buku tulis) [25 Org x 1 Thn x 1 Set x 4 Rom</t>
  </si>
  <si>
    <t>Biaya Penginapan Siswa [25 Org x 1 Hr x 2 Keg x 4 Rom</t>
  </si>
  <si>
    <t>Transport Pemulangan Libur Jeda Semester dan Hari Besar Keagamaan [25 Org x 1 Thn x 3 Kl x 4 Rom</t>
  </si>
  <si>
    <t>221</t>
  </si>
  <si>
    <t>Sekolah Rakyat Menengah Atas 21 Surabaya</t>
  </si>
  <si>
    <t>8,02</t>
  </si>
  <si>
    <t>225</t>
  </si>
  <si>
    <t>Sekolah Rakyat Menengah Atas 25 Lamongan</t>
  </si>
  <si>
    <t>7,99</t>
  </si>
  <si>
    <t>Media Pembelajaran &amp; Laporan Perkembangan Siswa [25 ORG x 2 PKT x 3 ROM]</t>
  </si>
  <si>
    <t>Biaya Masuk Lokasi Study [25 org x 2 Bln x 3 ROM]</t>
  </si>
  <si>
    <t>Biaya Penginapan Siswa [25 Org x 1 Hr x 2 Keg x 3 Rom</t>
  </si>
  <si>
    <t>Transport Pemulangan Libur Jeda Semester dan Hari Besar Keagamaan [25 Org x 1 Thn x 3 Kl x 3 Rom</t>
  </si>
  <si>
    <t>8,42</t>
  </si>
  <si>
    <t>6,85</t>
  </si>
  <si>
    <t>Biaya Masuk Lokasi Study [25 ORG x 2 Bln x 3 ROM]</t>
  </si>
  <si>
    <t>6,28</t>
  </si>
  <si>
    <t>2,34</t>
  </si>
  <si>
    <t>7,83</t>
  </si>
  <si>
    <t>Sekolah Rakyat 1C Terintegrasi 48 Kabupaten Pasuruan</t>
  </si>
  <si>
    <t>7,93</t>
  </si>
  <si>
    <t>cc 1 15jt</t>
  </si>
  <si>
    <t>cc 2 111 jt</t>
  </si>
  <si>
    <t>cc/ ls 20 jt dan cc 5 122 jt</t>
  </si>
  <si>
    <t>permakanan</t>
  </si>
  <si>
    <t>cc 1, cc 2, cc 5</t>
  </si>
  <si>
    <t>6,07</t>
  </si>
  <si>
    <t>464</t>
  </si>
  <si>
    <t>Sekolah Rakyat 1C Terintegrasi 64 Kabupaten Pacitan</t>
  </si>
  <si>
    <t>4,45</t>
  </si>
  <si>
    <t>Biaya Masuk Lokasi Study [25 Org x 2 Bln x 4 Rom]</t>
  </si>
  <si>
    <t>Perawatan Diri [25 Org x 12 Bln x 4 LOK]</t>
  </si>
  <si>
    <t>Pakaian Santai/ Seragam [25 Org x 7 SET x 4 rom]</t>
  </si>
  <si>
    <t>REALISASI AKRURAL</t>
  </si>
  <si>
    <t>WA.7937.EBA.994.002.F.522191</t>
  </si>
  <si>
    <t>JAKSEL</t>
  </si>
  <si>
    <t>UNESA</t>
  </si>
  <si>
    <t>LAMONGAN</t>
  </si>
  <si>
    <t>MALANG</t>
  </si>
  <si>
    <t>PASURUAN 3</t>
  </si>
  <si>
    <t>TRENGGALEK 50</t>
  </si>
  <si>
    <t>PASURUAN 48</t>
  </si>
  <si>
    <t>PASURUAN 28</t>
  </si>
  <si>
    <t>PROBOLINGGO</t>
  </si>
  <si>
    <t>BANYUWANGI 2</t>
  </si>
  <si>
    <t>BANYUWANGI 47</t>
  </si>
  <si>
    <t>BANGKALAN</t>
  </si>
  <si>
    <t>PAMEKASAN</t>
  </si>
  <si>
    <t>SUMENEP</t>
  </si>
  <si>
    <t>PACITAN</t>
  </si>
  <si>
    <t>PONOROGO</t>
  </si>
  <si>
    <t>TOTAL REALISASI</t>
  </si>
  <si>
    <t>7937.EBA.994 </t>
  </si>
  <si>
    <t>Layanan Perkantoran</t>
  </si>
  <si>
    <t>002</t>
  </si>
  <si>
    <t>Operasional dan Pemeliharaan Kantor</t>
  </si>
  <si>
    <t>Operasional Perkantoran</t>
  </si>
  <si>
    <t>Belanja Keperluan Perkantoran</t>
  </si>
  <si>
    <t>Keperluan Sehari-hari Perkantoran [1 pkt x 12 bln x 300]</t>
  </si>
  <si>
    <t>Biaya Retrebusi Sampah [1 pkt x 12 bln x 300 lok]</t>
  </si>
  <si>
    <t>Sewa Kendaraan [1 pkt x 12 bln x 300 lok]</t>
  </si>
  <si>
    <t>Sewa Mesin Fotocopy [1 pkt x 12 bln x 300 lok]</t>
  </si>
  <si>
    <t>Belanja jasa Lainnya</t>
  </si>
  <si>
    <t>(KPPN, 182-Jakarta VII)</t>
  </si>
  <si>
    <t>Pembayaran Listrik dan PDAM ( 1 pkt x 12 bln x 15 lok)</t>
  </si>
  <si>
    <t>jasa pos</t>
  </si>
  <si>
    <t>servis /perbaikan</t>
  </si>
  <si>
    <t>KODE</t>
  </si>
  <si>
    <t>PROGRAM/KEG/KOM/SUBKOMP/AKUN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</si>
</sst>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_(* #,##0.00_);_(* \(#,##0.00\);_(* &quot;-&quot;??_);_(@_)"/>
    <numFmt numFmtId="166" formatCode="[$Rp]#,##0"/>
    <numFmt numFmtId="167" formatCode="_-* #,##0_-;\-* #,##0_-;_-* &quot;-&quot;_-;_-@"/>
    <numFmt numFmtId="168" formatCode="_(* #,##0_);_(* \(#,##0\);_(* &quot;-&quot;_);_(@_)"/>
  </numFmts>
  <fonts count="38">
    <font>
      <sz val="11.0"/>
      <color theme="1"/>
      <name val="Calibri"/>
      <scheme val="minor"/>
    </font>
    <font>
      <sz val="8.0"/>
      <color theme="1"/>
      <name val="Arial"/>
    </font>
    <font>
      <b/>
      <sz val="8.0"/>
      <color theme="1"/>
      <name val="Arial"/>
    </font>
    <font/>
    <font>
      <sz val="8.0"/>
      <color rgb="FF0C0C5E"/>
      <name val="Arial"/>
    </font>
    <font>
      <sz val="8.0"/>
      <color rgb="FF0000FF"/>
      <name val="Arial"/>
    </font>
    <font>
      <sz val="8.0"/>
      <color rgb="FFB10301"/>
      <name val="Arial"/>
    </font>
    <font>
      <b/>
      <sz val="8.0"/>
      <color rgb="FFB10301"/>
      <name val="Arial"/>
    </font>
    <font>
      <sz val="8.0"/>
      <color rgb="FF000000"/>
      <name val="Arial"/>
    </font>
    <font>
      <b/>
      <sz val="8.0"/>
      <color rgb="FF000000"/>
      <name val="Arial"/>
    </font>
    <font>
      <i/>
      <sz val="8.0"/>
      <color rgb="FF000000"/>
      <name val="Arial"/>
    </font>
    <font>
      <u/>
      <sz val="8.0"/>
      <color rgb="FF000000"/>
      <name val="Arial"/>
    </font>
    <font>
      <u/>
      <sz val="8.0"/>
      <color rgb="FF000000"/>
      <name val="Arial"/>
    </font>
    <font>
      <u/>
      <sz val="8.0"/>
      <color rgb="FF000000"/>
      <name val="Arial"/>
    </font>
    <font>
      <u/>
      <sz val="8.0"/>
      <color rgb="FF000000"/>
      <name val="Arial"/>
    </font>
    <font>
      <sz val="9.0"/>
      <color theme="1"/>
      <name val="Arial"/>
    </font>
    <font>
      <u/>
      <sz val="8.0"/>
      <color rgb="FF000000"/>
      <name val="Arial"/>
    </font>
    <font>
      <u/>
      <sz val="8.0"/>
      <color rgb="FF000000"/>
      <name val="Arial"/>
    </font>
    <font>
      <b/>
      <sz val="11.0"/>
      <color theme="1"/>
      <name val="Arial Narrow"/>
    </font>
    <font>
      <sz val="11.0"/>
      <color theme="1"/>
      <name val="Calibri"/>
    </font>
    <font>
      <b/>
      <sz val="11.0"/>
      <color rgb="FF000000"/>
      <name val="Arial Narrow"/>
    </font>
    <font>
      <sz val="11.0"/>
      <color rgb="FFCC9900"/>
      <name val="Arial Narrow"/>
    </font>
    <font>
      <b/>
      <sz val="11.0"/>
      <color theme="1"/>
      <name val="Calibri"/>
    </font>
    <font>
      <sz val="11.0"/>
      <color theme="1"/>
      <name val="Arial Narrow"/>
    </font>
    <font>
      <sz val="11.0"/>
      <color rgb="FF000000"/>
      <name val="Arial Narrow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Arial"/>
    </font>
    <font>
      <b/>
      <sz val="11.0"/>
      <color rgb="FF000000"/>
      <name val="&quot;Arial Narrow&quot;"/>
    </font>
    <font>
      <b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rgb="FF0C0C5E"/>
      <name val="Arial"/>
    </font>
    <font>
      <i/>
      <sz val="10.0"/>
      <color theme="1"/>
      <name val="Arial"/>
    </font>
    <font>
      <sz val="10.0"/>
      <color rgb="FF0000FF"/>
      <name val="Arial"/>
    </font>
    <font>
      <sz val="10.0"/>
      <color rgb="FFB10301"/>
      <name val="Arial"/>
    </font>
    <font>
      <sz val="10.0"/>
      <color rgb="FF000000"/>
      <name val="Arial"/>
    </font>
    <font>
      <b/>
      <sz val="10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92D050"/>
        <bgColor rgb="FF92D050"/>
      </patternFill>
    </fill>
    <fill>
      <patternFill patternType="solid">
        <fgColor rgb="FFFF99FF"/>
        <bgColor rgb="FFFF99FF"/>
      </patternFill>
    </fill>
    <fill>
      <patternFill patternType="solid">
        <fgColor rgb="FFC5E0B3"/>
        <bgColor rgb="FFC5E0B3"/>
      </patternFill>
    </fill>
    <fill>
      <patternFill patternType="solid">
        <fgColor rgb="FFFCE5CD"/>
        <bgColor rgb="FFFCE5CD"/>
      </patternFill>
    </fill>
  </fills>
  <borders count="2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164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1" numFmtId="0" xfId="0" applyAlignment="1" applyFont="1">
      <alignment horizontal="center" vertical="center"/>
    </xf>
    <xf borderId="1" fillId="0" fontId="2" numFmtId="49" xfId="0" applyAlignment="1" applyBorder="1" applyFont="1" applyNumberForma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vertical="center"/>
    </xf>
    <xf borderId="5" fillId="0" fontId="2" numFmtId="164" xfId="0" applyAlignment="1" applyBorder="1" applyFont="1" applyNumberForma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0" fontId="2" numFmtId="164" xfId="0" applyAlignment="1" applyBorder="1" applyFont="1" applyNumberForma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quotePrefix="1" borderId="8" fillId="0" fontId="2" numFmtId="164" xfId="0" applyAlignment="1" applyBorder="1" applyFont="1" applyNumberFormat="1">
      <alignment horizontal="center" vertical="center"/>
    </xf>
    <xf borderId="5" fillId="0" fontId="4" numFmtId="0" xfId="0" applyAlignment="1" applyBorder="1" applyFont="1">
      <alignment horizontal="left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shrinkToFit="0" wrapText="1"/>
    </xf>
    <xf borderId="8" fillId="0" fontId="4" numFmtId="3" xfId="0" applyAlignment="1" applyBorder="1" applyFont="1" applyNumberFormat="1">
      <alignment horizontal="right" shrinkToFit="0" vertical="center" wrapText="1"/>
    </xf>
    <xf borderId="8" fillId="0" fontId="2" numFmtId="164" xfId="0" applyBorder="1" applyFont="1" applyNumberFormat="1"/>
    <xf borderId="8" fillId="0" fontId="1" numFmtId="164" xfId="0" applyBorder="1" applyFont="1" applyNumberFormat="1"/>
    <xf borderId="8" fillId="0" fontId="1" numFmtId="165" xfId="0" applyBorder="1" applyFont="1" applyNumberFormat="1"/>
    <xf borderId="5" fillId="0" fontId="5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8" fillId="0" fontId="5" numFmtId="3" xfId="0" applyAlignment="1" applyBorder="1" applyFont="1" applyNumberFormat="1">
      <alignment horizontal="right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8" fillId="0" fontId="6" numFmtId="3" xfId="0" applyAlignment="1" applyBorder="1" applyFont="1" applyNumberFormat="1">
      <alignment horizontal="right" shrinkToFit="0" vertical="center" wrapText="1"/>
    </xf>
    <xf borderId="8" fillId="0" fontId="2" numFmtId="165" xfId="0" applyBorder="1" applyFont="1" applyNumberFormat="1"/>
    <xf borderId="8" fillId="0" fontId="7" numFmtId="3" xfId="0" applyAlignment="1" applyBorder="1" applyFont="1" applyNumberFormat="1">
      <alignment horizontal="right" shrinkToFit="0" vertical="center" wrapText="1"/>
    </xf>
    <xf borderId="5" fillId="0" fontId="8" numFmtId="0" xfId="0" applyAlignment="1" applyBorder="1" applyFont="1">
      <alignment horizontal="left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5" fillId="2" fontId="9" numFmtId="0" xfId="0" applyAlignment="1" applyBorder="1" applyFill="1" applyFont="1">
      <alignment horizontal="left" shrinkToFit="0" vertical="center" wrapText="1"/>
    </xf>
    <xf borderId="8" fillId="2" fontId="9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shrinkToFit="0" wrapText="1"/>
    </xf>
    <xf borderId="8" fillId="2" fontId="9" numFmtId="3" xfId="0" applyAlignment="1" applyBorder="1" applyFont="1" applyNumberFormat="1">
      <alignment horizontal="right" shrinkToFit="0" vertical="center" wrapText="1"/>
    </xf>
    <xf borderId="5" fillId="0" fontId="10" numFmtId="0" xfId="0" applyAlignment="1" applyBorder="1" applyFont="1">
      <alignment horizontal="left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8" fillId="0" fontId="10" numFmtId="3" xfId="0" applyAlignment="1" applyBorder="1" applyFont="1" applyNumberFormat="1">
      <alignment horizontal="right" shrinkToFit="0" vertical="center" wrapText="1"/>
    </xf>
    <xf borderId="5" fillId="0" fontId="11" numFmtId="0" xfId="0" applyAlignment="1" applyBorder="1" applyFont="1">
      <alignment horizontal="left" shrinkToFit="0" vertical="center" wrapText="1"/>
    </xf>
    <xf borderId="8" fillId="0" fontId="12" numFmtId="0" xfId="0" applyAlignment="1" applyBorder="1" applyFont="1">
      <alignment horizontal="center" shrinkToFit="0" vertical="center" wrapText="1"/>
    </xf>
    <xf borderId="8" fillId="0" fontId="8" numFmtId="3" xfId="0" applyAlignment="1" applyBorder="1" applyFont="1" applyNumberFormat="1">
      <alignment horizontal="right" shrinkToFit="0" vertical="center" wrapText="1"/>
    </xf>
    <xf borderId="8" fillId="0" fontId="8" numFmtId="0" xfId="0" applyAlignment="1" applyBorder="1" applyFont="1">
      <alignment horizontal="left" shrinkToFit="0" vertical="center" wrapText="1"/>
    </xf>
    <xf borderId="8" fillId="0" fontId="8" numFmtId="3" xfId="0" applyAlignment="1" applyBorder="1" applyFont="1" applyNumberFormat="1">
      <alignment shrinkToFit="0" vertical="center" wrapText="1"/>
    </xf>
    <xf borderId="0" fillId="0" fontId="1" numFmtId="0" xfId="0" applyAlignment="1" applyFont="1">
      <alignment readingOrder="0"/>
    </xf>
    <xf borderId="5" fillId="3" fontId="8" numFmtId="0" xfId="0" applyAlignment="1" applyBorder="1" applyFill="1" applyFont="1">
      <alignment horizontal="left" shrinkToFit="0" vertical="center" wrapText="1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8" fillId="0" fontId="8" numFmtId="3" xfId="0" applyAlignment="1" applyBorder="1" applyFont="1" applyNumberFormat="1">
      <alignment horizontal="right" readingOrder="0" shrinkToFit="0" vertical="center" wrapText="1"/>
    </xf>
    <xf borderId="0" fillId="0" fontId="8" numFmtId="0" xfId="0" applyAlignment="1" applyFont="1">
      <alignment horizontal="right" readingOrder="0" shrinkToFit="0" vertical="bottom" wrapText="0"/>
    </xf>
    <xf borderId="8" fillId="2" fontId="9" numFmtId="0" xfId="0" applyAlignment="1" applyBorder="1" applyFont="1">
      <alignment horizontal="left" shrinkToFit="0" vertical="center" wrapText="1"/>
    </xf>
    <xf borderId="8" fillId="0" fontId="10" numFmtId="0" xfId="0" applyAlignment="1" applyBorder="1" applyFont="1">
      <alignment horizontal="left" shrinkToFit="0" vertical="center" wrapText="1"/>
    </xf>
    <xf borderId="8" fillId="0" fontId="10" numFmtId="0" xfId="0" applyAlignment="1" applyBorder="1" applyFont="1">
      <alignment shrinkToFit="0" vertical="center" wrapText="1"/>
    </xf>
    <xf borderId="8" fillId="0" fontId="13" numFmtId="0" xfId="0" applyAlignment="1" applyBorder="1" applyFont="1">
      <alignment shrinkToFit="0" vertical="center" wrapText="1"/>
    </xf>
    <xf borderId="8" fillId="0" fontId="8" numFmtId="0" xfId="0" applyAlignment="1" applyBorder="1" applyFont="1">
      <alignment horizontal="left" vertical="center"/>
    </xf>
    <xf borderId="8" fillId="0" fontId="8" numFmtId="0" xfId="0" applyAlignment="1" applyBorder="1" applyFont="1">
      <alignment vertical="center"/>
    </xf>
    <xf borderId="8" fillId="0" fontId="1" numFmtId="0" xfId="0" applyBorder="1" applyFont="1"/>
    <xf borderId="8" fillId="0" fontId="14" numFmtId="0" xfId="0" applyAlignment="1" applyBorder="1" applyFont="1">
      <alignment vertical="center"/>
    </xf>
    <xf borderId="8" fillId="0" fontId="10" numFmtId="0" xfId="0" applyAlignment="1" applyBorder="1" applyFont="1">
      <alignment vertical="center"/>
    </xf>
    <xf borderId="0" fillId="0" fontId="1" numFmtId="3" xfId="0" applyFont="1" applyNumberFormat="1"/>
    <xf quotePrefix="1" borderId="8" fillId="0" fontId="2" numFmtId="165" xfId="0" applyAlignment="1" applyBorder="1" applyFont="1" applyNumberFormat="1">
      <alignment horizontal="center" vertical="center"/>
    </xf>
    <xf borderId="8" fillId="0" fontId="1" numFmtId="164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shrinkToFit="0" wrapText="1"/>
    </xf>
    <xf borderId="8" fillId="0" fontId="1" numFmtId="164" xfId="0" applyAlignment="1" applyBorder="1" applyFont="1" applyNumberFormat="1">
      <alignment shrinkToFit="0" wrapText="1"/>
    </xf>
    <xf borderId="5" fillId="0" fontId="9" numFmtId="0" xfId="0" applyAlignment="1" applyBorder="1" applyFont="1">
      <alignment shrinkToFit="0" vertical="center" wrapText="1"/>
    </xf>
    <xf borderId="5" fillId="0" fontId="9" numFmtId="0" xfId="0" applyAlignment="1" applyBorder="1" applyFont="1">
      <alignment vertical="center"/>
    </xf>
    <xf borderId="8" fillId="0" fontId="9" numFmtId="0" xfId="0" applyAlignment="1" applyBorder="1" applyFont="1">
      <alignment shrinkToFit="0" vertical="center" wrapText="1"/>
    </xf>
    <xf borderId="8" fillId="0" fontId="2" numFmtId="0" xfId="0" applyAlignment="1" applyBorder="1" applyFont="1">
      <alignment shrinkToFit="0" vertical="center" wrapText="1"/>
    </xf>
    <xf borderId="8" fillId="0" fontId="9" numFmtId="3" xfId="0" applyAlignment="1" applyBorder="1" applyFont="1" applyNumberFormat="1">
      <alignment shrinkToFit="0" vertical="center" wrapText="1"/>
    </xf>
    <xf borderId="8" fillId="0" fontId="2" numFmtId="165" xfId="0" applyAlignment="1" applyBorder="1" applyFont="1" applyNumberFormat="1">
      <alignment vertical="center"/>
    </xf>
    <xf borderId="8" fillId="0" fontId="2" numFmtId="3" xfId="0" applyAlignment="1" applyBorder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2" numFmtId="0" xfId="0" applyAlignment="1" applyFont="1">
      <alignment vertical="center"/>
    </xf>
    <xf borderId="5" fillId="4" fontId="9" numFmtId="0" xfId="0" applyAlignment="1" applyBorder="1" applyFill="1" applyFont="1">
      <alignment horizontal="left" shrinkToFit="0" vertical="center" wrapText="1"/>
    </xf>
    <xf borderId="13" fillId="4" fontId="9" numFmtId="0" xfId="0" applyAlignment="1" applyBorder="1" applyFont="1">
      <alignment horizontal="left" vertical="center"/>
    </xf>
    <xf borderId="14" fillId="4" fontId="9" numFmtId="0" xfId="0" applyAlignment="1" applyBorder="1" applyFont="1">
      <alignment horizontal="left" vertical="center"/>
    </xf>
    <xf borderId="15" fillId="4" fontId="9" numFmtId="0" xfId="0" applyAlignment="1" applyBorder="1" applyFont="1">
      <alignment horizontal="left" vertical="center"/>
    </xf>
    <xf borderId="8" fillId="4" fontId="9" numFmtId="0" xfId="0" applyAlignment="1" applyBorder="1" applyFont="1">
      <alignment horizontal="center" shrinkToFit="0" vertical="center" wrapText="1"/>
    </xf>
    <xf borderId="8" fillId="4" fontId="1" numFmtId="0" xfId="0" applyAlignment="1" applyBorder="1" applyFont="1">
      <alignment shrinkToFit="0" wrapText="1"/>
    </xf>
    <xf borderId="8" fillId="4" fontId="9" numFmtId="3" xfId="0" applyAlignment="1" applyBorder="1" applyFont="1" applyNumberFormat="1">
      <alignment horizontal="right" shrinkToFit="0" vertical="center" wrapText="1"/>
    </xf>
    <xf borderId="0" fillId="0" fontId="1" numFmtId="3" xfId="0" applyAlignment="1" applyFont="1" applyNumberFormat="1">
      <alignment readingOrder="0"/>
    </xf>
    <xf borderId="16" fillId="0" fontId="3" numFmtId="0" xfId="0" applyBorder="1" applyFont="1"/>
    <xf borderId="8" fillId="4" fontId="9" numFmtId="0" xfId="0" applyAlignment="1" applyBorder="1" applyFont="1">
      <alignment horizontal="left" shrinkToFit="0" vertical="center" wrapText="1"/>
    </xf>
    <xf borderId="8" fillId="0" fontId="1" numFmtId="3" xfId="0" applyAlignment="1" applyBorder="1" applyFont="1" applyNumberFormat="1">
      <alignment shrinkToFit="0" wrapText="1"/>
    </xf>
    <xf borderId="5" fillId="4" fontId="2" numFmtId="0" xfId="0" applyAlignment="1" applyBorder="1" applyFont="1">
      <alignment horizontal="center" shrinkToFit="0" vertical="center" wrapText="1"/>
    </xf>
    <xf borderId="5" fillId="4" fontId="2" numFmtId="0" xfId="0" applyAlignment="1" applyBorder="1" applyFont="1">
      <alignment horizontal="left" shrinkToFit="0" vertical="center" wrapText="1"/>
    </xf>
    <xf borderId="5" fillId="0" fontId="1" numFmtId="0" xfId="0" applyBorder="1" applyFont="1"/>
    <xf borderId="5" fillId="3" fontId="9" numFmtId="0" xfId="0" applyAlignment="1" applyBorder="1" applyFont="1">
      <alignment horizontal="left" shrinkToFit="0" vertical="center" wrapText="1"/>
    </xf>
    <xf borderId="8" fillId="3" fontId="8" numFmtId="0" xfId="0" applyAlignment="1" applyBorder="1" applyFont="1">
      <alignment horizontal="left" vertical="center"/>
    </xf>
    <xf borderId="13" fillId="4" fontId="9" numFmtId="0" xfId="0" applyAlignment="1" applyBorder="1" applyFont="1">
      <alignment horizontal="left" shrinkToFit="0" vertical="center" wrapText="1"/>
    </xf>
    <xf borderId="8" fillId="4" fontId="9" numFmtId="0" xfId="0" applyAlignment="1" applyBorder="1" applyFont="1">
      <alignment horizontal="left" vertical="center"/>
    </xf>
    <xf borderId="8" fillId="4" fontId="8" numFmtId="0" xfId="0" applyAlignment="1" applyBorder="1" applyFont="1">
      <alignment horizontal="left" vertical="center"/>
    </xf>
    <xf borderId="0" fillId="0" fontId="8" numFmtId="0" xfId="0" applyAlignment="1" applyFont="1">
      <alignment horizontal="left" vertical="center"/>
    </xf>
    <xf borderId="0" fillId="0" fontId="15" numFmtId="0" xfId="0" applyFont="1"/>
    <xf borderId="0" fillId="0" fontId="1" numFmtId="0" xfId="0" applyAlignment="1" applyFont="1">
      <alignment vertical="center"/>
    </xf>
    <xf borderId="0" fillId="0" fontId="1" numFmtId="166" xfId="0" applyAlignment="1" applyFont="1" applyNumberFormat="1">
      <alignment vertical="center"/>
    </xf>
    <xf borderId="0" fillId="0" fontId="1" numFmtId="164" xfId="0" applyAlignment="1" applyFont="1" applyNumberFormat="1">
      <alignment vertical="center"/>
    </xf>
    <xf borderId="8" fillId="0" fontId="2" numFmtId="166" xfId="0" applyAlignment="1" applyBorder="1" applyFont="1" applyNumberFormat="1">
      <alignment horizontal="center" vertical="center"/>
    </xf>
    <xf borderId="0" fillId="0" fontId="4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8" fillId="0" fontId="1" numFmtId="0" xfId="0" applyAlignment="1" applyBorder="1" applyFont="1">
      <alignment vertical="center"/>
    </xf>
    <xf borderId="8" fillId="0" fontId="1" numFmtId="166" xfId="0" applyAlignment="1" applyBorder="1" applyFont="1" applyNumberFormat="1">
      <alignment vertical="center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8" fillId="0" fontId="1" numFmtId="0" xfId="0" applyAlignment="1" applyBorder="1" applyFont="1">
      <alignment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8" fillId="0" fontId="9" numFmtId="3" xfId="0" applyAlignment="1" applyBorder="1" applyFont="1" applyNumberFormat="1">
      <alignment horizontal="right" shrinkToFit="0" vertical="center" wrapText="1"/>
    </xf>
    <xf borderId="8" fillId="0" fontId="2" numFmtId="3" xfId="0" applyAlignment="1" applyBorder="1" applyFont="1" applyNumberFormat="1">
      <alignment horizontal="right" vertical="center"/>
    </xf>
    <xf borderId="8" fillId="0" fontId="2" numFmtId="2" xfId="0" applyAlignment="1" applyBorder="1" applyFont="1" applyNumberFormat="1">
      <alignment horizontal="center" vertical="center"/>
    </xf>
    <xf borderId="8" fillId="0" fontId="2" numFmtId="166" xfId="0" applyAlignment="1" applyBorder="1" applyFont="1" applyNumberFormat="1">
      <alignment horizontal="right" vertical="center"/>
    </xf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7" fillId="5" fontId="9" numFmtId="0" xfId="0" applyAlignment="1" applyBorder="1" applyFill="1" applyFont="1">
      <alignment horizontal="left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5" fontId="9" numFmtId="0" xfId="0" applyAlignment="1" applyBorder="1" applyFont="1">
      <alignment horizontal="center" shrinkToFit="0" vertical="center" wrapText="1"/>
    </xf>
    <xf borderId="20" fillId="5" fontId="1" numFmtId="0" xfId="0" applyAlignment="1" applyBorder="1" applyFont="1">
      <alignment shrinkToFit="0" vertical="center" wrapText="1"/>
    </xf>
    <xf borderId="8" fillId="5" fontId="9" numFmtId="3" xfId="0" applyAlignment="1" applyBorder="1" applyFont="1" applyNumberFormat="1">
      <alignment horizontal="right" shrinkToFit="0" vertical="center" wrapText="1"/>
    </xf>
    <xf borderId="8" fillId="5" fontId="9" numFmtId="166" xfId="0" applyAlignment="1" applyBorder="1" applyFont="1" applyNumberFormat="1">
      <alignment horizontal="right" shrinkToFit="0" vertical="center" wrapText="1"/>
    </xf>
    <xf borderId="17" fillId="3" fontId="10" numFmtId="0" xfId="0" applyAlignment="1" applyBorder="1" applyFont="1">
      <alignment horizontal="left" shrinkToFit="0" vertical="center" wrapText="1"/>
    </xf>
    <xf borderId="20" fillId="3" fontId="1" numFmtId="0" xfId="0" applyAlignment="1" applyBorder="1" applyFont="1">
      <alignment shrinkToFit="0" vertical="center" wrapText="1"/>
    </xf>
    <xf borderId="8" fillId="3" fontId="10" numFmtId="3" xfId="0" applyAlignment="1" applyBorder="1" applyFont="1" applyNumberFormat="1">
      <alignment horizontal="right" shrinkToFit="0" vertical="center" wrapText="1"/>
    </xf>
    <xf borderId="8" fillId="3" fontId="10" numFmtId="166" xfId="0" applyAlignment="1" applyBorder="1" applyFont="1" applyNumberFormat="1">
      <alignment horizontal="right" shrinkToFit="0" vertical="center" wrapText="1"/>
    </xf>
    <xf borderId="17" fillId="6" fontId="8" numFmtId="0" xfId="0" applyAlignment="1" applyBorder="1" applyFill="1" applyFont="1">
      <alignment horizontal="left" shrinkToFit="0" vertical="center" wrapText="1"/>
    </xf>
    <xf borderId="17" fillId="6" fontId="16" numFmtId="0" xfId="0" applyAlignment="1" applyBorder="1" applyFont="1">
      <alignment horizontal="left" shrinkToFit="0" vertical="center" wrapText="1"/>
    </xf>
    <xf borderId="20" fillId="6" fontId="1" numFmtId="0" xfId="0" applyAlignment="1" applyBorder="1" applyFont="1">
      <alignment shrinkToFit="0" vertical="center" wrapText="1"/>
    </xf>
    <xf borderId="8" fillId="6" fontId="8" numFmtId="3" xfId="0" applyAlignment="1" applyBorder="1" applyFont="1" applyNumberFormat="1">
      <alignment horizontal="right" shrinkToFit="0" vertical="center" wrapText="1"/>
    </xf>
    <xf borderId="8" fillId="6" fontId="8" numFmtId="166" xfId="0" applyAlignment="1" applyBorder="1" applyFont="1" applyNumberFormat="1">
      <alignment horizontal="righ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3" xfId="0" applyAlignment="1" applyFont="1" applyNumberFormat="1">
      <alignment shrinkToFit="0" vertical="center" wrapText="1"/>
    </xf>
    <xf borderId="8" fillId="0" fontId="1" numFmtId="166" xfId="0" applyAlignment="1" applyBorder="1" applyFont="1" applyNumberFormat="1">
      <alignment readingOrder="0" vertical="center"/>
    </xf>
    <xf borderId="0" fillId="0" fontId="1" numFmtId="164" xfId="0" applyAlignment="1" applyFont="1" applyNumberFormat="1">
      <alignment readingOrder="0" vertical="center"/>
    </xf>
    <xf borderId="17" fillId="7" fontId="9" numFmtId="0" xfId="0" applyAlignment="1" applyBorder="1" applyFill="1" applyFont="1">
      <alignment horizontal="left" shrinkToFit="0" vertical="center" wrapText="1"/>
    </xf>
    <xf borderId="20" fillId="7" fontId="9" numFmtId="0" xfId="0" applyAlignment="1" applyBorder="1" applyFont="1">
      <alignment horizontal="center" shrinkToFit="0" vertical="center" wrapText="1"/>
    </xf>
    <xf borderId="20" fillId="7" fontId="1" numFmtId="0" xfId="0" applyAlignment="1" applyBorder="1" applyFont="1">
      <alignment shrinkToFit="0" vertical="center" wrapText="1"/>
    </xf>
    <xf borderId="8" fillId="7" fontId="9" numFmtId="3" xfId="0" applyAlignment="1" applyBorder="1" applyFont="1" applyNumberFormat="1">
      <alignment horizontal="right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7" numFmtId="0" xfId="0" applyAlignment="1" applyFont="1">
      <alignment horizontal="left" shrinkToFit="0" vertical="center" wrapText="1"/>
    </xf>
    <xf borderId="8" fillId="0" fontId="8" numFmtId="166" xfId="0" applyAlignment="1" applyBorder="1" applyFont="1" applyNumberFormat="1">
      <alignment horizontal="right" shrinkToFit="0" vertical="center" wrapText="1"/>
    </xf>
    <xf borderId="8" fillId="8" fontId="2" numFmtId="2" xfId="0" applyAlignment="1" applyBorder="1" applyFill="1" applyFont="1" applyNumberFormat="1">
      <alignment horizontal="center" vertical="center"/>
    </xf>
    <xf borderId="8" fillId="8" fontId="1" numFmtId="166" xfId="0" applyAlignment="1" applyBorder="1" applyFont="1" applyNumberFormat="1">
      <alignment vertical="center"/>
    </xf>
    <xf borderId="8" fillId="8" fontId="1" numFmtId="0" xfId="0" applyAlignment="1" applyBorder="1" applyFont="1">
      <alignment vertical="center"/>
    </xf>
    <xf borderId="17" fillId="7" fontId="2" numFmtId="0" xfId="0" applyAlignment="1" applyBorder="1" applyFont="1">
      <alignment horizontal="left" shrinkToFit="0" vertical="center" wrapText="1"/>
    </xf>
    <xf borderId="20" fillId="7" fontId="2" numFmtId="0" xfId="0" applyAlignment="1" applyBorder="1" applyFont="1">
      <alignment horizontal="center" shrinkToFit="0" vertical="center" wrapText="1"/>
    </xf>
    <xf borderId="8" fillId="7" fontId="2" numFmtId="3" xfId="0" applyAlignment="1" applyBorder="1" applyFont="1" applyNumberFormat="1">
      <alignment horizontal="right" shrinkToFit="0" vertical="center" wrapText="1"/>
    </xf>
    <xf borderId="0" fillId="0" fontId="8" numFmtId="164" xfId="0" applyAlignment="1" applyFont="1" applyNumberFormat="1">
      <alignment shrinkToFit="0" vertical="center" wrapText="0"/>
    </xf>
    <xf borderId="0" fillId="0" fontId="8" numFmtId="164" xfId="0" applyAlignment="1" applyFont="1" applyNumberFormat="1">
      <alignment horizontal="right" readingOrder="0" shrinkToFit="0" vertical="center" wrapText="0"/>
    </xf>
    <xf borderId="0" fillId="0" fontId="8" numFmtId="164" xfId="0" applyAlignment="1" applyFont="1" applyNumberFormat="1">
      <alignment readingOrder="0" shrinkToFit="0" vertical="center" wrapText="0"/>
    </xf>
    <xf borderId="8" fillId="0" fontId="8" numFmtId="164" xfId="0" applyAlignment="1" applyBorder="1" applyFont="1" applyNumberFormat="1">
      <alignment horizontal="right" readingOrder="0" shrinkToFit="0" vertical="center" wrapText="0"/>
    </xf>
    <xf borderId="8" fillId="0" fontId="8" numFmtId="164" xfId="0" applyAlignment="1" applyBorder="1" applyFont="1" applyNumberFormat="1">
      <alignment shrinkToFit="0" vertical="center" wrapText="0"/>
    </xf>
    <xf borderId="0" fillId="0" fontId="8" numFmtId="0" xfId="0" applyAlignment="1" applyFont="1">
      <alignment shrinkToFit="0" vertical="center" wrapText="1"/>
    </xf>
    <xf borderId="8" fillId="0" fontId="18" numFmtId="0" xfId="0" applyAlignment="1" applyBorder="1" applyFont="1">
      <alignment horizontal="left" vertical="center"/>
    </xf>
    <xf borderId="0" fillId="0" fontId="19" numFmtId="164" xfId="0" applyFont="1" applyNumberFormat="1"/>
    <xf borderId="8" fillId="0" fontId="18" numFmtId="0" xfId="0" applyAlignment="1" applyBorder="1" applyFont="1">
      <alignment horizontal="center" vertical="center"/>
    </xf>
    <xf borderId="8" fillId="0" fontId="20" numFmtId="0" xfId="0" applyAlignment="1" applyBorder="1" applyFont="1">
      <alignment horizontal="center" vertical="center"/>
    </xf>
    <xf borderId="8" fillId="0" fontId="2" numFmtId="164" xfId="0" applyAlignment="1" applyBorder="1" applyFont="1" applyNumberFormat="1">
      <alignment horizontal="center" readingOrder="0" vertical="center"/>
    </xf>
    <xf borderId="8" fillId="0" fontId="20" numFmtId="0" xfId="0" applyAlignment="1" applyBorder="1" applyFont="1">
      <alignment horizontal="left" vertical="center"/>
    </xf>
    <xf borderId="5" fillId="0" fontId="21" numFmtId="3" xfId="0" applyAlignment="1" applyBorder="1" applyFont="1" applyNumberFormat="1">
      <alignment horizontal="center" vertical="center"/>
    </xf>
    <xf borderId="8" fillId="0" fontId="19" numFmtId="0" xfId="0" applyBorder="1" applyFont="1"/>
    <xf borderId="8" fillId="0" fontId="19" numFmtId="164" xfId="0" applyBorder="1" applyFont="1" applyNumberFormat="1"/>
    <xf quotePrefix="1" borderId="8" fillId="0" fontId="18" numFmtId="0" xfId="0" applyAlignment="1" applyBorder="1" applyFont="1">
      <alignment horizontal="center" vertical="center"/>
    </xf>
    <xf borderId="8" fillId="0" fontId="21" numFmtId="3" xfId="0" applyAlignment="1" applyBorder="1" applyFont="1" applyNumberFormat="1">
      <alignment vertical="center"/>
    </xf>
    <xf borderId="8" fillId="0" fontId="18" numFmtId="3" xfId="0" applyAlignment="1" applyBorder="1" applyFont="1" applyNumberFormat="1">
      <alignment vertical="center"/>
    </xf>
    <xf borderId="8" fillId="0" fontId="22" numFmtId="3" xfId="0" applyBorder="1" applyFont="1" applyNumberFormat="1"/>
    <xf borderId="8" fillId="0" fontId="19" numFmtId="3" xfId="0" applyBorder="1" applyFont="1" applyNumberFormat="1"/>
    <xf borderId="8" fillId="0" fontId="18" numFmtId="0" xfId="0" applyAlignment="1" applyBorder="1" applyFont="1">
      <alignment vertical="center"/>
    </xf>
    <xf borderId="5" fillId="0" fontId="23" numFmtId="0" xfId="0" applyAlignment="1" applyBorder="1" applyFont="1">
      <alignment horizontal="center" vertical="center"/>
    </xf>
    <xf borderId="8" fillId="0" fontId="18" numFmtId="167" xfId="0" applyAlignment="1" applyBorder="1" applyFont="1" applyNumberFormat="1">
      <alignment vertical="center"/>
    </xf>
    <xf borderId="8" fillId="0" fontId="18" numFmtId="167" xfId="0" applyAlignment="1" applyBorder="1" applyFont="1" applyNumberFormat="1">
      <alignment readingOrder="0" vertical="center"/>
    </xf>
    <xf borderId="4" fillId="0" fontId="23" numFmtId="0" xfId="0" applyAlignment="1" applyBorder="1" applyFont="1">
      <alignment horizontal="center" vertical="center"/>
    </xf>
    <xf borderId="8" fillId="0" fontId="24" numFmtId="0" xfId="0" applyAlignment="1" applyBorder="1" applyFont="1">
      <alignment vertical="center"/>
    </xf>
    <xf borderId="8" fillId="0" fontId="24" numFmtId="3" xfId="0" applyAlignment="1" applyBorder="1" applyFont="1" applyNumberFormat="1">
      <alignment horizontal="center" vertical="center"/>
    </xf>
    <xf borderId="8" fillId="0" fontId="24" numFmtId="3" xfId="0" applyAlignment="1" applyBorder="1" applyFont="1" applyNumberFormat="1">
      <alignment vertical="center"/>
    </xf>
    <xf borderId="8" fillId="0" fontId="23" numFmtId="168" xfId="0" applyAlignment="1" applyBorder="1" applyFont="1" applyNumberFormat="1">
      <alignment vertical="center"/>
    </xf>
    <xf borderId="0" fillId="0" fontId="19" numFmtId="164" xfId="0" applyAlignment="1" applyFont="1" applyNumberFormat="1">
      <alignment readingOrder="0"/>
    </xf>
    <xf borderId="8" fillId="0" fontId="25" numFmtId="0" xfId="0" applyBorder="1" applyFont="1"/>
    <xf borderId="8" fillId="0" fontId="26" numFmtId="0" xfId="0" applyAlignment="1" applyBorder="1" applyFont="1">
      <alignment readingOrder="0" shrinkToFit="0" vertical="bottom" wrapText="0"/>
    </xf>
    <xf borderId="8" fillId="0" fontId="27" numFmtId="3" xfId="0" applyAlignment="1" applyBorder="1" applyFont="1" applyNumberFormat="1">
      <alignment readingOrder="0"/>
    </xf>
    <xf borderId="8" fillId="0" fontId="19" numFmtId="0" xfId="0" applyAlignment="1" applyBorder="1" applyFont="1">
      <alignment readingOrder="0"/>
    </xf>
    <xf borderId="8" fillId="0" fontId="20" numFmtId="3" xfId="0" applyAlignment="1" applyBorder="1" applyFont="1" applyNumberFormat="1">
      <alignment horizontal="right" vertical="center"/>
    </xf>
    <xf borderId="8" fillId="0" fontId="20" numFmtId="3" xfId="0" applyAlignment="1" applyBorder="1" applyFont="1" applyNumberFormat="1">
      <alignment horizontal="right" readingOrder="0" vertical="center"/>
    </xf>
    <xf borderId="8" fillId="0" fontId="23" numFmtId="0" xfId="0" applyAlignment="1" applyBorder="1" applyFont="1">
      <alignment horizontal="left" vertical="center"/>
    </xf>
    <xf borderId="8" fillId="0" fontId="24" numFmtId="3" xfId="0" applyAlignment="1" applyBorder="1" applyFont="1" applyNumberFormat="1">
      <alignment horizontal="right" vertical="center"/>
    </xf>
    <xf borderId="8" fillId="0" fontId="26" numFmtId="0" xfId="0" applyAlignment="1" applyBorder="1" applyFont="1">
      <alignment shrinkToFit="0" vertical="bottom" wrapText="0"/>
    </xf>
    <xf borderId="8" fillId="0" fontId="28" numFmtId="167" xfId="0" applyAlignment="1" applyBorder="1" applyFont="1" applyNumberFormat="1">
      <alignment readingOrder="0" shrinkToFit="0" wrapText="0"/>
    </xf>
    <xf borderId="8" fillId="0" fontId="19" numFmtId="0" xfId="0" applyAlignment="1" applyBorder="1" applyFont="1">
      <alignment horizontal="center"/>
    </xf>
    <xf borderId="8" fillId="0" fontId="29" numFmtId="3" xfId="0" applyAlignment="1" applyBorder="1" applyFont="1" applyNumberFormat="1">
      <alignment readingOrder="0"/>
    </xf>
    <xf borderId="0" fillId="0" fontId="26" numFmtId="0" xfId="0" applyAlignment="1" applyFont="1">
      <alignment shrinkToFit="0" vertical="bottom" wrapText="0"/>
    </xf>
    <xf borderId="0" fillId="0" fontId="26" numFmtId="0" xfId="0" applyAlignment="1" applyFont="1">
      <alignment readingOrder="0" shrinkToFit="0" vertical="bottom" wrapText="0"/>
    </xf>
    <xf borderId="0" fillId="0" fontId="30" numFmtId="0" xfId="0" applyFont="1"/>
    <xf borderId="0" fillId="0" fontId="30" numFmtId="0" xfId="0" applyAlignment="1" applyFont="1">
      <alignment horizontal="right"/>
    </xf>
    <xf borderId="4" fillId="0" fontId="31" numFmtId="0" xfId="0" applyAlignment="1" applyBorder="1" applyFont="1">
      <alignment horizontal="center" vertical="center"/>
    </xf>
    <xf borderId="5" fillId="0" fontId="31" numFmtId="0" xfId="0" applyAlignment="1" applyBorder="1" applyFont="1">
      <alignment horizontal="center" vertical="center"/>
    </xf>
    <xf borderId="8" fillId="0" fontId="31" numFmtId="0" xfId="0" applyAlignment="1" applyBorder="1" applyFont="1">
      <alignment vertical="center"/>
    </xf>
    <xf borderId="0" fillId="0" fontId="30" numFmtId="0" xfId="0" applyAlignment="1" applyFont="1">
      <alignment horizontal="center" vertical="center"/>
    </xf>
    <xf borderId="8" fillId="0" fontId="31" numFmtId="0" xfId="0" applyAlignment="1" applyBorder="1" applyFont="1">
      <alignment horizontal="center" vertical="center"/>
    </xf>
    <xf borderId="8" fillId="0" fontId="32" numFmtId="0" xfId="0" applyAlignment="1" applyBorder="1" applyFont="1">
      <alignment horizontal="right" shrinkToFit="0" vertical="center" wrapText="1"/>
    </xf>
    <xf borderId="8" fillId="0" fontId="32" numFmtId="0" xfId="0" applyAlignment="1" applyBorder="1" applyFont="1">
      <alignment shrinkToFit="0" vertical="center" wrapText="1"/>
    </xf>
    <xf borderId="8" fillId="0" fontId="30" numFmtId="0" xfId="0" applyBorder="1" applyFont="1"/>
    <xf borderId="8" fillId="0" fontId="33" numFmtId="0" xfId="0" applyAlignment="1" applyBorder="1" applyFont="1">
      <alignment horizontal="right" shrinkToFit="0" vertical="center" wrapText="1"/>
    </xf>
    <xf borderId="8" fillId="0" fontId="33" numFmtId="0" xfId="0" applyAlignment="1" applyBorder="1" applyFont="1">
      <alignment shrinkToFit="0" vertical="center" wrapText="1"/>
    </xf>
    <xf borderId="8" fillId="0" fontId="34" numFmtId="0" xfId="0" applyAlignment="1" applyBorder="1" applyFont="1">
      <alignment shrinkToFit="0" vertical="center" wrapText="1"/>
    </xf>
    <xf borderId="8" fillId="0" fontId="31" numFmtId="0" xfId="0" applyAlignment="1" applyBorder="1" applyFont="1">
      <alignment horizontal="right" shrinkToFit="0" vertical="center" wrapText="1"/>
    </xf>
    <xf borderId="8" fillId="0" fontId="31" numFmtId="0" xfId="0" applyAlignment="1" applyBorder="1" applyFont="1">
      <alignment shrinkToFit="0" vertical="center" wrapText="1"/>
    </xf>
    <xf borderId="8" fillId="0" fontId="35" numFmtId="0" xfId="0" applyAlignment="1" applyBorder="1" applyFont="1">
      <alignment shrinkToFit="0" vertical="center" wrapText="1"/>
    </xf>
    <xf borderId="8" fillId="0" fontId="36" numFmtId="0" xfId="0" applyAlignment="1" applyBorder="1" applyFont="1">
      <alignment horizontal="right" shrinkToFit="0" vertical="center" wrapText="1"/>
    </xf>
    <xf borderId="8" fillId="0" fontId="36" numFmtId="0" xfId="0" applyAlignment="1" applyBorder="1" applyFont="1">
      <alignment shrinkToFit="0" vertical="center" wrapText="1"/>
    </xf>
    <xf borderId="8" fillId="0" fontId="30" numFmtId="3" xfId="0" applyBorder="1" applyFont="1" applyNumberFormat="1"/>
    <xf borderId="8" fillId="0" fontId="36" numFmtId="3" xfId="0" applyAlignment="1" applyBorder="1" applyFont="1" applyNumberFormat="1">
      <alignment shrinkToFit="0" vertical="center" wrapText="1"/>
    </xf>
    <xf borderId="8" fillId="0" fontId="37" numFmtId="3" xfId="0" applyAlignment="1" applyBorder="1" applyFont="1" applyNumberFormat="1">
      <alignment shrinkToFit="0" vertical="center" wrapText="1"/>
    </xf>
    <xf borderId="8" fillId="0" fontId="30" numFmtId="0" xfId="0" applyAlignment="1" applyBorder="1" applyFont="1">
      <alignment horizontal="right"/>
    </xf>
    <xf borderId="8" fillId="0" fontId="30" numFmtId="0" xfId="0" applyAlignment="1" applyBorder="1" applyFont="1">
      <alignment horizontal="left"/>
    </xf>
    <xf borderId="8" fillId="0" fontId="31" numFmtId="3" xfId="0" applyBorder="1" applyFont="1" applyNumberFormat="1"/>
    <xf borderId="8" fillId="0" fontId="31" numFmtId="0" xfId="0" applyAlignment="1" applyBorder="1" applyFont="1">
      <alignment horizontal="right"/>
    </xf>
    <xf borderId="8" fillId="0" fontId="31" numFmtId="0" xfId="0" applyAlignment="1" applyBorder="1" applyFont="1">
      <alignment horizontal="left"/>
    </xf>
    <xf borderId="8" fillId="0" fontId="30" numFmtId="3" xfId="0" applyAlignment="1" applyBorder="1" applyFont="1" applyNumberFormat="1">
      <alignment horizontal="right"/>
    </xf>
    <xf borderId="8" fillId="0" fontId="31" numFmtId="0" xfId="0" applyBorder="1" applyFont="1"/>
    <xf borderId="0" fillId="0" fontId="30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xSplit="9.0" ySplit="6.0" topLeftCell="J7" activePane="bottomRight" state="frozen"/>
      <selection activeCell="J1" sqref="J1" pane="topRight"/>
      <selection activeCell="A7" sqref="A7" pane="bottomLeft"/>
      <selection activeCell="J7" sqref="J7" pane="bottomRight"/>
    </sheetView>
  </sheetViews>
  <sheetFormatPr customHeight="1" defaultColWidth="14.43" defaultRowHeight="15.0"/>
  <cols>
    <col customWidth="1" min="1" max="1" width="2.43"/>
    <col customWidth="1" min="2" max="2" width="2.14"/>
    <col customWidth="1" min="3" max="3" width="6.14"/>
    <col customWidth="1" min="4" max="4" width="3.43"/>
    <col customWidth="1" min="5" max="5" width="16.43"/>
    <col customWidth="1" min="6" max="6" width="24.57"/>
    <col customWidth="1" min="7" max="7" width="4.86"/>
    <col customWidth="1" min="8" max="8" width="4.14"/>
    <col customWidth="1" min="9" max="9" width="10.86"/>
    <col customWidth="1" min="10" max="10" width="13.86"/>
    <col customWidth="1" min="11" max="11" width="9.43"/>
    <col customWidth="1" min="12" max="12" width="4.57"/>
    <col customWidth="1" min="13" max="13" width="11.14"/>
    <col customWidth="1" min="14" max="14" width="4.57"/>
    <col customWidth="1" min="15" max="15" width="12.43"/>
    <col customWidth="1" min="16" max="16" width="11.86"/>
    <col customWidth="1" min="17" max="17" width="12.0"/>
    <col customWidth="1" min="18" max="18" width="18.43"/>
    <col customWidth="1" min="19" max="26" width="8.71"/>
  </cols>
  <sheetData>
    <row r="1" ht="10.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3"/>
      <c r="L1" s="3"/>
      <c r="M1" s="3"/>
      <c r="N1" s="3"/>
      <c r="O1" s="4"/>
      <c r="P1" s="5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6"/>
      <c r="B2" s="7" t="s">
        <v>0</v>
      </c>
      <c r="C2" s="8"/>
      <c r="D2" s="7" t="s">
        <v>1</v>
      </c>
      <c r="E2" s="8"/>
      <c r="F2" s="9"/>
      <c r="G2" s="10" t="s">
        <v>2</v>
      </c>
      <c r="H2" s="10" t="s">
        <v>3</v>
      </c>
      <c r="I2" s="10" t="s">
        <v>4</v>
      </c>
      <c r="J2" s="10" t="s">
        <v>5</v>
      </c>
      <c r="K2" s="11" t="s">
        <v>6</v>
      </c>
      <c r="L2" s="12"/>
      <c r="M2" s="13"/>
      <c r="N2" s="14"/>
      <c r="O2" s="11" t="s">
        <v>7</v>
      </c>
      <c r="P2" s="13"/>
      <c r="Q2" s="6"/>
      <c r="R2" s="6"/>
      <c r="S2" s="6"/>
      <c r="T2" s="6"/>
      <c r="U2" s="6"/>
      <c r="V2" s="6"/>
      <c r="W2" s="6"/>
      <c r="X2" s="6"/>
      <c r="Y2" s="6"/>
      <c r="Z2" s="6"/>
    </row>
    <row r="3" ht="10.5" customHeight="1">
      <c r="A3" s="6"/>
      <c r="B3" s="15"/>
      <c r="C3" s="16"/>
      <c r="D3" s="15"/>
      <c r="E3" s="16"/>
      <c r="F3" s="17"/>
      <c r="G3" s="18"/>
      <c r="H3" s="18"/>
      <c r="I3" s="18"/>
      <c r="J3" s="18"/>
      <c r="K3" s="14" t="s">
        <v>8</v>
      </c>
      <c r="L3" s="19" t="s">
        <v>9</v>
      </c>
      <c r="M3" s="14" t="s">
        <v>10</v>
      </c>
      <c r="N3" s="19" t="s">
        <v>9</v>
      </c>
      <c r="O3" s="14" t="s">
        <v>8</v>
      </c>
      <c r="P3" s="14" t="s">
        <v>10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1"/>
      <c r="B4" s="20" t="s">
        <v>11</v>
      </c>
      <c r="C4" s="13"/>
      <c r="D4" s="20" t="s">
        <v>12</v>
      </c>
      <c r="E4" s="12"/>
      <c r="F4" s="13"/>
      <c r="G4" s="21"/>
      <c r="H4" s="22"/>
      <c r="I4" s="22"/>
      <c r="J4" s="23">
        <v>2.097544232E12</v>
      </c>
      <c r="K4" s="24"/>
      <c r="L4" s="24"/>
      <c r="M4" s="24"/>
      <c r="N4" s="24"/>
      <c r="O4" s="25"/>
      <c r="P4" s="26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27" t="s">
        <v>13</v>
      </c>
      <c r="C5" s="13"/>
      <c r="D5" s="27" t="s">
        <v>14</v>
      </c>
      <c r="E5" s="12"/>
      <c r="F5" s="13"/>
      <c r="G5" s="28"/>
      <c r="H5" s="22"/>
      <c r="I5" s="22"/>
      <c r="J5" s="29">
        <v>2.088632535E12</v>
      </c>
      <c r="K5" s="24"/>
      <c r="L5" s="24"/>
      <c r="M5" s="24"/>
      <c r="N5" s="24"/>
      <c r="O5" s="25"/>
      <c r="P5" s="26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30" t="s">
        <v>15</v>
      </c>
      <c r="C6" s="13"/>
      <c r="D6" s="30" t="s">
        <v>16</v>
      </c>
      <c r="E6" s="12"/>
      <c r="F6" s="13"/>
      <c r="G6" s="31"/>
      <c r="H6" s="31"/>
      <c r="I6" s="22"/>
      <c r="J6" s="32">
        <f t="shared" ref="J6:K6" si="1">J8+J152+J296+J440+J584+J728+J872+J1016</f>
        <v>21502843000</v>
      </c>
      <c r="K6" s="32">
        <f t="shared" si="1"/>
        <v>702852000</v>
      </c>
      <c r="L6" s="33">
        <f>(K6/J6)*100</f>
        <v>3.268646848</v>
      </c>
      <c r="M6" s="32">
        <f>M8+M152+M296+M440+M584+M728+M872+M1016</f>
        <v>1354727491</v>
      </c>
      <c r="N6" s="33">
        <f>(M6/J6)*100</f>
        <v>6.300225003</v>
      </c>
      <c r="O6" s="34">
        <f t="shared" ref="O6:P6" si="2">O8+O152+O296+O440+O584+O728+O872+O1016</f>
        <v>20799991000</v>
      </c>
      <c r="P6" s="34">
        <f t="shared" si="2"/>
        <v>20148115509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1"/>
      <c r="B7" s="22"/>
      <c r="C7" s="22"/>
      <c r="D7" s="35" t="s">
        <v>17</v>
      </c>
      <c r="E7" s="12"/>
      <c r="F7" s="13"/>
      <c r="G7" s="36"/>
      <c r="H7" s="31"/>
      <c r="I7" s="22"/>
      <c r="J7" s="22"/>
      <c r="K7" s="22"/>
      <c r="L7" s="22"/>
      <c r="M7" s="22"/>
      <c r="N7" s="22"/>
      <c r="O7" s="25"/>
      <c r="P7" s="25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37" t="s">
        <v>18</v>
      </c>
      <c r="C8" s="13"/>
      <c r="D8" s="37" t="s">
        <v>19</v>
      </c>
      <c r="E8" s="12"/>
      <c r="F8" s="13"/>
      <c r="G8" s="38"/>
      <c r="H8" s="38"/>
      <c r="I8" s="39"/>
      <c r="J8" s="40">
        <f t="shared" ref="J8:K8" si="3">J9+J23+J35+J48+J65+J74+J84+J89+J105+J119+J127+J135+J141</f>
        <v>2060121000</v>
      </c>
      <c r="K8" s="40">
        <f t="shared" si="3"/>
        <v>44809500</v>
      </c>
      <c r="L8" s="40"/>
      <c r="M8" s="40">
        <f>M9+M23+M35+M48+M65+M74+M84+M89+M105+M119+M127+M135+M141</f>
        <v>172139900</v>
      </c>
      <c r="N8" s="40"/>
      <c r="O8" s="24">
        <f t="shared" ref="O8:O1159" si="5">J8-K8</f>
        <v>2015311500</v>
      </c>
      <c r="P8" s="24">
        <f t="shared" ref="P8:P1159" si="6">J8-M8</f>
        <v>1887981100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41" t="s">
        <v>20</v>
      </c>
      <c r="C9" s="13"/>
      <c r="D9" s="41" t="s">
        <v>21</v>
      </c>
      <c r="E9" s="12"/>
      <c r="F9" s="13"/>
      <c r="G9" s="42"/>
      <c r="H9" s="22"/>
      <c r="I9" s="22"/>
      <c r="J9" s="43">
        <f t="shared" ref="J9:K9" si="4">J10+J19</f>
        <v>90140000</v>
      </c>
      <c r="K9" s="43">
        <f t="shared" si="4"/>
        <v>0</v>
      </c>
      <c r="L9" s="43"/>
      <c r="M9" s="43">
        <f>M10+M19</f>
        <v>10371000</v>
      </c>
      <c r="N9" s="43"/>
      <c r="O9" s="24">
        <f t="shared" si="5"/>
        <v>90140000</v>
      </c>
      <c r="P9" s="24">
        <f t="shared" si="6"/>
        <v>79769000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35">
        <v>521211.0</v>
      </c>
      <c r="C10" s="13"/>
      <c r="D10" s="44" t="s">
        <v>22</v>
      </c>
      <c r="E10" s="12"/>
      <c r="F10" s="13"/>
      <c r="G10" s="45"/>
      <c r="H10" s="22"/>
      <c r="I10" s="22"/>
      <c r="J10" s="46">
        <f t="shared" ref="J10:K10" si="7">SUM(J12:J18)</f>
        <v>82140000</v>
      </c>
      <c r="K10" s="46">
        <f t="shared" si="7"/>
        <v>0</v>
      </c>
      <c r="L10" s="46"/>
      <c r="M10" s="46">
        <f>SUM(M12:M18)</f>
        <v>6871000</v>
      </c>
      <c r="N10" s="46"/>
      <c r="O10" s="24">
        <f t="shared" si="5"/>
        <v>82140000</v>
      </c>
      <c r="P10" s="24">
        <f t="shared" si="6"/>
        <v>75269000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22"/>
      <c r="C11" s="22"/>
      <c r="D11" s="35" t="s">
        <v>23</v>
      </c>
      <c r="E11" s="12"/>
      <c r="F11" s="13"/>
      <c r="G11" s="36"/>
      <c r="H11" s="22"/>
      <c r="I11" s="22"/>
      <c r="J11" s="22"/>
      <c r="K11" s="22"/>
      <c r="L11" s="22"/>
      <c r="M11" s="22"/>
      <c r="N11" s="22"/>
      <c r="O11" s="24">
        <f t="shared" si="5"/>
        <v>0</v>
      </c>
      <c r="P11" s="24">
        <f t="shared" si="6"/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22"/>
      <c r="C12" s="22"/>
      <c r="D12" s="47" t="s">
        <v>24</v>
      </c>
      <c r="E12" s="35" t="s">
        <v>25</v>
      </c>
      <c r="F12" s="13"/>
      <c r="G12" s="36">
        <v>12.0</v>
      </c>
      <c r="H12" s="36" t="s">
        <v>26</v>
      </c>
      <c r="I12" s="48">
        <v>500000.0</v>
      </c>
      <c r="J12" s="46">
        <f t="shared" ref="J12:J18" si="8">G12*I12</f>
        <v>6000000</v>
      </c>
      <c r="K12" s="46"/>
      <c r="L12" s="46"/>
      <c r="M12" s="46"/>
      <c r="N12" s="46"/>
      <c r="O12" s="24">
        <f t="shared" si="5"/>
        <v>6000000</v>
      </c>
      <c r="P12" s="24">
        <f t="shared" si="6"/>
        <v>6000000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22"/>
      <c r="C13" s="22"/>
      <c r="D13" s="47" t="s">
        <v>24</v>
      </c>
      <c r="E13" s="35" t="s">
        <v>27</v>
      </c>
      <c r="F13" s="13"/>
      <c r="G13" s="36">
        <v>2.0</v>
      </c>
      <c r="H13" s="36" t="s">
        <v>26</v>
      </c>
      <c r="I13" s="48">
        <v>2000000.0</v>
      </c>
      <c r="J13" s="46">
        <f t="shared" si="8"/>
        <v>4000000</v>
      </c>
      <c r="K13" s="46"/>
      <c r="L13" s="46"/>
      <c r="M13" s="46"/>
      <c r="N13" s="46"/>
      <c r="O13" s="24">
        <f t="shared" si="5"/>
        <v>4000000</v>
      </c>
      <c r="P13" s="24">
        <f t="shared" si="6"/>
        <v>4000000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1"/>
      <c r="B14" s="22"/>
      <c r="C14" s="22"/>
      <c r="D14" s="47" t="s">
        <v>24</v>
      </c>
      <c r="E14" s="35" t="s">
        <v>28</v>
      </c>
      <c r="F14" s="13"/>
      <c r="G14" s="36">
        <v>10.0</v>
      </c>
      <c r="H14" s="36" t="s">
        <v>26</v>
      </c>
      <c r="I14" s="48">
        <v>500000.0</v>
      </c>
      <c r="J14" s="46">
        <f t="shared" si="8"/>
        <v>5000000</v>
      </c>
      <c r="K14" s="46"/>
      <c r="L14" s="46"/>
      <c r="M14" s="46"/>
      <c r="N14" s="46"/>
      <c r="O14" s="24">
        <f t="shared" si="5"/>
        <v>5000000</v>
      </c>
      <c r="P14" s="24">
        <f t="shared" si="6"/>
        <v>5000000</v>
      </c>
      <c r="Q14" s="49">
        <v>521211.0</v>
      </c>
      <c r="R14" s="49" t="s">
        <v>29</v>
      </c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22"/>
      <c r="C15" s="22"/>
      <c r="D15" s="47" t="s">
        <v>24</v>
      </c>
      <c r="E15" s="35" t="s">
        <v>30</v>
      </c>
      <c r="F15" s="13"/>
      <c r="G15" s="36">
        <v>100.0</v>
      </c>
      <c r="H15" s="36" t="s">
        <v>26</v>
      </c>
      <c r="I15" s="48">
        <v>25000.0</v>
      </c>
      <c r="J15" s="46">
        <f t="shared" si="8"/>
        <v>2500000</v>
      </c>
      <c r="K15" s="46"/>
      <c r="L15" s="46"/>
      <c r="M15" s="46">
        <v>725000.0</v>
      </c>
      <c r="N15" s="46"/>
      <c r="O15" s="24">
        <f t="shared" si="5"/>
        <v>2500000</v>
      </c>
      <c r="P15" s="24">
        <f t="shared" si="6"/>
        <v>1775000</v>
      </c>
      <c r="Q15" s="49">
        <v>521211.0</v>
      </c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22"/>
      <c r="C16" s="22"/>
      <c r="D16" s="47" t="s">
        <v>24</v>
      </c>
      <c r="E16" s="35" t="s">
        <v>31</v>
      </c>
      <c r="F16" s="13"/>
      <c r="G16" s="36">
        <v>320.0</v>
      </c>
      <c r="H16" s="36" t="s">
        <v>26</v>
      </c>
      <c r="I16" s="48">
        <v>53000.0</v>
      </c>
      <c r="J16" s="46">
        <f t="shared" si="8"/>
        <v>16960000</v>
      </c>
      <c r="K16" s="46"/>
      <c r="L16" s="46"/>
      <c r="M16" s="46">
        <v>3920000.0</v>
      </c>
      <c r="N16" s="46"/>
      <c r="O16" s="24">
        <f t="shared" si="5"/>
        <v>16960000</v>
      </c>
      <c r="P16" s="24">
        <f t="shared" si="6"/>
        <v>13040000</v>
      </c>
      <c r="Q16" s="49">
        <v>521211.0</v>
      </c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22"/>
      <c r="C17" s="22"/>
      <c r="D17" s="47" t="s">
        <v>24</v>
      </c>
      <c r="E17" s="35" t="s">
        <v>32</v>
      </c>
      <c r="F17" s="13"/>
      <c r="G17" s="36">
        <v>320.0</v>
      </c>
      <c r="H17" s="36" t="s">
        <v>26</v>
      </c>
      <c r="I17" s="48">
        <v>24000.0</v>
      </c>
      <c r="J17" s="46">
        <f t="shared" si="8"/>
        <v>7680000</v>
      </c>
      <c r="K17" s="46"/>
      <c r="L17" s="46"/>
      <c r="M17" s="46">
        <v>1600000.0</v>
      </c>
      <c r="N17" s="46"/>
      <c r="O17" s="24">
        <f t="shared" si="5"/>
        <v>7680000</v>
      </c>
      <c r="P17" s="24">
        <f t="shared" si="6"/>
        <v>6080000</v>
      </c>
      <c r="Q17" s="49">
        <v>521211.0</v>
      </c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22"/>
      <c r="C18" s="22"/>
      <c r="D18" s="47" t="s">
        <v>24</v>
      </c>
      <c r="E18" s="50" t="s">
        <v>33</v>
      </c>
      <c r="F18" s="13"/>
      <c r="G18" s="36">
        <v>50.0</v>
      </c>
      <c r="H18" s="36" t="s">
        <v>26</v>
      </c>
      <c r="I18" s="48">
        <v>800000.0</v>
      </c>
      <c r="J18" s="46">
        <f t="shared" si="8"/>
        <v>40000000</v>
      </c>
      <c r="K18" s="46"/>
      <c r="L18" s="46"/>
      <c r="M18" s="46">
        <v>626000.0</v>
      </c>
      <c r="N18" s="46"/>
      <c r="O18" s="24">
        <f t="shared" si="5"/>
        <v>40000000</v>
      </c>
      <c r="P18" s="24">
        <f t="shared" si="6"/>
        <v>39374000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35">
        <v>522151.0</v>
      </c>
      <c r="C19" s="13"/>
      <c r="D19" s="44" t="s">
        <v>34</v>
      </c>
      <c r="E19" s="12"/>
      <c r="F19" s="13"/>
      <c r="G19" s="45"/>
      <c r="H19" s="22"/>
      <c r="I19" s="22"/>
      <c r="J19" s="46">
        <f t="shared" ref="J19:K19" si="9">SUM(J21:J22)</f>
        <v>8000000</v>
      </c>
      <c r="K19" s="46">
        <f t="shared" si="9"/>
        <v>0</v>
      </c>
      <c r="L19" s="46"/>
      <c r="M19" s="46">
        <f>SUM(M21:M22)</f>
        <v>3500000</v>
      </c>
      <c r="N19" s="46"/>
      <c r="O19" s="24">
        <f t="shared" si="5"/>
        <v>8000000</v>
      </c>
      <c r="P19" s="24">
        <f t="shared" si="6"/>
        <v>4500000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22"/>
      <c r="C20" s="22"/>
      <c r="D20" s="35" t="s">
        <v>23</v>
      </c>
      <c r="E20" s="12"/>
      <c r="F20" s="13"/>
      <c r="G20" s="36"/>
      <c r="H20" s="22"/>
      <c r="I20" s="22"/>
      <c r="J20" s="22"/>
      <c r="K20" s="22"/>
      <c r="L20" s="22"/>
      <c r="M20" s="22"/>
      <c r="N20" s="22"/>
      <c r="O20" s="24">
        <f t="shared" si="5"/>
        <v>0</v>
      </c>
      <c r="P20" s="24">
        <f t="shared" si="6"/>
        <v>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22"/>
      <c r="C21" s="22"/>
      <c r="D21" s="47" t="s">
        <v>24</v>
      </c>
      <c r="E21" s="35" t="s">
        <v>35</v>
      </c>
      <c r="F21" s="13"/>
      <c r="G21" s="36">
        <v>8.0</v>
      </c>
      <c r="H21" s="36" t="s">
        <v>26</v>
      </c>
      <c r="I21" s="48">
        <v>500000.0</v>
      </c>
      <c r="J21" s="46">
        <f t="shared" ref="J21:J22" si="10">G21*I21</f>
        <v>4000000</v>
      </c>
      <c r="K21" s="46"/>
      <c r="L21" s="46"/>
      <c r="M21" s="46">
        <v>3500000.0</v>
      </c>
      <c r="N21" s="46"/>
      <c r="O21" s="24">
        <f t="shared" si="5"/>
        <v>4000000</v>
      </c>
      <c r="P21" s="24">
        <f t="shared" si="6"/>
        <v>500000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22"/>
      <c r="C22" s="22"/>
      <c r="D22" s="47" t="s">
        <v>24</v>
      </c>
      <c r="E22" s="35" t="s">
        <v>36</v>
      </c>
      <c r="F22" s="13"/>
      <c r="G22" s="36">
        <v>8.0</v>
      </c>
      <c r="H22" s="36" t="s">
        <v>26</v>
      </c>
      <c r="I22" s="48">
        <v>500000.0</v>
      </c>
      <c r="J22" s="46">
        <f t="shared" si="10"/>
        <v>4000000</v>
      </c>
      <c r="K22" s="46"/>
      <c r="L22" s="46"/>
      <c r="M22" s="46"/>
      <c r="N22" s="46"/>
      <c r="O22" s="24">
        <f t="shared" si="5"/>
        <v>4000000</v>
      </c>
      <c r="P22" s="24">
        <f t="shared" si="6"/>
        <v>4000000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41" t="s">
        <v>37</v>
      </c>
      <c r="C23" s="13"/>
      <c r="D23" s="41" t="s">
        <v>38</v>
      </c>
      <c r="E23" s="12"/>
      <c r="F23" s="13"/>
      <c r="G23" s="42"/>
      <c r="H23" s="22"/>
      <c r="I23" s="22"/>
      <c r="J23" s="43">
        <f t="shared" ref="J23:K23" si="11">J24+J29+J32</f>
        <v>13750000</v>
      </c>
      <c r="K23" s="43">
        <f t="shared" si="11"/>
        <v>0</v>
      </c>
      <c r="L23" s="43"/>
      <c r="M23" s="43">
        <f>M24+M29+M32</f>
        <v>0</v>
      </c>
      <c r="N23" s="43"/>
      <c r="O23" s="24">
        <f t="shared" si="5"/>
        <v>13750000</v>
      </c>
      <c r="P23" s="24">
        <f t="shared" si="6"/>
        <v>13750000</v>
      </c>
      <c r="Q23" s="49" t="s">
        <v>39</v>
      </c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35" t="s">
        <v>40</v>
      </c>
      <c r="C24" s="13"/>
      <c r="D24" s="44" t="s">
        <v>22</v>
      </c>
      <c r="E24" s="12"/>
      <c r="F24" s="13"/>
      <c r="G24" s="45"/>
      <c r="H24" s="22"/>
      <c r="I24" s="22"/>
      <c r="J24" s="46">
        <f t="shared" ref="J24:K24" si="12">SUM(J26:J28)</f>
        <v>3750000</v>
      </c>
      <c r="K24" s="46">
        <f t="shared" si="12"/>
        <v>0</v>
      </c>
      <c r="L24" s="46"/>
      <c r="M24" s="46">
        <f>SUM(M26:M28)</f>
        <v>0</v>
      </c>
      <c r="N24" s="46"/>
      <c r="O24" s="24">
        <f t="shared" si="5"/>
        <v>3750000</v>
      </c>
      <c r="P24" s="24">
        <f t="shared" si="6"/>
        <v>3750000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22"/>
      <c r="C25" s="22"/>
      <c r="D25" s="35" t="s">
        <v>23</v>
      </c>
      <c r="E25" s="12"/>
      <c r="F25" s="13"/>
      <c r="G25" s="36"/>
      <c r="H25" s="22"/>
      <c r="I25" s="22"/>
      <c r="J25" s="22"/>
      <c r="K25" s="22"/>
      <c r="L25" s="22"/>
      <c r="M25" s="22"/>
      <c r="N25" s="22"/>
      <c r="O25" s="24">
        <f t="shared" si="5"/>
        <v>0</v>
      </c>
      <c r="P25" s="24">
        <f t="shared" si="6"/>
        <v>0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2"/>
      <c r="C26" s="22"/>
      <c r="D26" s="47" t="s">
        <v>24</v>
      </c>
      <c r="E26" s="35" t="s">
        <v>41</v>
      </c>
      <c r="F26" s="13"/>
      <c r="G26" s="36">
        <v>50.0</v>
      </c>
      <c r="H26" s="36" t="s">
        <v>26</v>
      </c>
      <c r="I26" s="48">
        <v>53000.0</v>
      </c>
      <c r="J26" s="46">
        <f t="shared" ref="J26:J28" si="13">G26*I26</f>
        <v>2650000</v>
      </c>
      <c r="K26" s="46"/>
      <c r="L26" s="46"/>
      <c r="M26" s="46"/>
      <c r="N26" s="46"/>
      <c r="O26" s="24">
        <f t="shared" si="5"/>
        <v>2650000</v>
      </c>
      <c r="P26" s="24">
        <f t="shared" si="6"/>
        <v>2650000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22"/>
      <c r="C27" s="22"/>
      <c r="D27" s="47" t="s">
        <v>24</v>
      </c>
      <c r="E27" s="35" t="s">
        <v>42</v>
      </c>
      <c r="F27" s="13"/>
      <c r="G27" s="36">
        <v>2.0</v>
      </c>
      <c r="H27" s="36" t="s">
        <v>26</v>
      </c>
      <c r="I27" s="48">
        <v>250000.0</v>
      </c>
      <c r="J27" s="46">
        <f t="shared" si="13"/>
        <v>500000</v>
      </c>
      <c r="K27" s="46"/>
      <c r="L27" s="46"/>
      <c r="M27" s="46"/>
      <c r="N27" s="46"/>
      <c r="O27" s="24">
        <f t="shared" si="5"/>
        <v>500000</v>
      </c>
      <c r="P27" s="24">
        <f t="shared" si="6"/>
        <v>500000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22"/>
      <c r="C28" s="22"/>
      <c r="D28" s="47" t="s">
        <v>24</v>
      </c>
      <c r="E28" s="35" t="s">
        <v>43</v>
      </c>
      <c r="F28" s="13"/>
      <c r="G28" s="36">
        <v>2.0</v>
      </c>
      <c r="H28" s="36" t="s">
        <v>26</v>
      </c>
      <c r="I28" s="48">
        <v>300000.0</v>
      </c>
      <c r="J28" s="46">
        <f t="shared" si="13"/>
        <v>600000</v>
      </c>
      <c r="K28" s="46"/>
      <c r="L28" s="46"/>
      <c r="M28" s="46"/>
      <c r="N28" s="46"/>
      <c r="O28" s="24">
        <f t="shared" si="5"/>
        <v>600000</v>
      </c>
      <c r="P28" s="24">
        <f t="shared" si="6"/>
        <v>600000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35" t="s">
        <v>44</v>
      </c>
      <c r="C29" s="13"/>
      <c r="D29" s="44" t="s">
        <v>45</v>
      </c>
      <c r="E29" s="12"/>
      <c r="F29" s="13"/>
      <c r="G29" s="45"/>
      <c r="H29" s="22"/>
      <c r="I29" s="22"/>
      <c r="J29" s="46">
        <f>J31</f>
        <v>2000000</v>
      </c>
      <c r="K29" s="46"/>
      <c r="L29" s="46"/>
      <c r="M29" s="46"/>
      <c r="N29" s="46"/>
      <c r="O29" s="24">
        <f t="shared" si="5"/>
        <v>2000000</v>
      </c>
      <c r="P29" s="24">
        <f t="shared" si="6"/>
        <v>2000000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2"/>
      <c r="C30" s="22"/>
      <c r="D30" s="35" t="s">
        <v>23</v>
      </c>
      <c r="E30" s="12"/>
      <c r="F30" s="13"/>
      <c r="G30" s="36"/>
      <c r="H30" s="22"/>
      <c r="I30" s="22"/>
      <c r="J30" s="22"/>
      <c r="K30" s="22"/>
      <c r="L30" s="22"/>
      <c r="M30" s="22"/>
      <c r="N30" s="22"/>
      <c r="O30" s="24">
        <f t="shared" si="5"/>
        <v>0</v>
      </c>
      <c r="P30" s="24">
        <f t="shared" si="6"/>
        <v>0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2"/>
      <c r="C31" s="22"/>
      <c r="D31" s="47" t="s">
        <v>24</v>
      </c>
      <c r="E31" s="35" t="s">
        <v>46</v>
      </c>
      <c r="F31" s="13"/>
      <c r="G31" s="36">
        <v>4.0</v>
      </c>
      <c r="H31" s="36" t="s">
        <v>26</v>
      </c>
      <c r="I31" s="48">
        <v>500000.0</v>
      </c>
      <c r="J31" s="46">
        <f>G31*I31</f>
        <v>2000000</v>
      </c>
      <c r="K31" s="46"/>
      <c r="L31" s="46"/>
      <c r="M31" s="46"/>
      <c r="N31" s="46"/>
      <c r="O31" s="24">
        <f t="shared" si="5"/>
        <v>2000000</v>
      </c>
      <c r="P31" s="24">
        <f t="shared" si="6"/>
        <v>2000000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35" t="s">
        <v>47</v>
      </c>
      <c r="C32" s="13"/>
      <c r="D32" s="44" t="s">
        <v>48</v>
      </c>
      <c r="E32" s="12"/>
      <c r="F32" s="13"/>
      <c r="G32" s="45"/>
      <c r="H32" s="22"/>
      <c r="I32" s="22"/>
      <c r="J32" s="46">
        <f t="shared" ref="J32:K32" si="14">J34</f>
        <v>8000000</v>
      </c>
      <c r="K32" s="46" t="str">
        <f t="shared" si="14"/>
        <v/>
      </c>
      <c r="L32" s="46"/>
      <c r="M32" s="46" t="str">
        <f>M34</f>
        <v/>
      </c>
      <c r="N32" s="46"/>
      <c r="O32" s="24">
        <f t="shared" si="5"/>
        <v>8000000</v>
      </c>
      <c r="P32" s="24">
        <f t="shared" si="6"/>
        <v>8000000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2"/>
      <c r="C33" s="22"/>
      <c r="D33" s="35" t="s">
        <v>23</v>
      </c>
      <c r="E33" s="12"/>
      <c r="F33" s="13"/>
      <c r="G33" s="36"/>
      <c r="H33" s="22"/>
      <c r="I33" s="22"/>
      <c r="J33" s="22"/>
      <c r="K33" s="22"/>
      <c r="L33" s="22"/>
      <c r="M33" s="22"/>
      <c r="N33" s="22"/>
      <c r="O33" s="24">
        <f t="shared" si="5"/>
        <v>0</v>
      </c>
      <c r="P33" s="24">
        <f t="shared" si="6"/>
        <v>0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2"/>
      <c r="C34" s="22"/>
      <c r="D34" s="47" t="s">
        <v>24</v>
      </c>
      <c r="E34" s="35" t="s">
        <v>49</v>
      </c>
      <c r="F34" s="13"/>
      <c r="G34" s="36">
        <v>2.0</v>
      </c>
      <c r="H34" s="36" t="s">
        <v>26</v>
      </c>
      <c r="I34" s="48">
        <v>4000000.0</v>
      </c>
      <c r="J34" s="46">
        <f>G34*I34</f>
        <v>8000000</v>
      </c>
      <c r="K34" s="46"/>
      <c r="L34" s="46"/>
      <c r="M34" s="46"/>
      <c r="N34" s="46"/>
      <c r="O34" s="24">
        <f t="shared" si="5"/>
        <v>8000000</v>
      </c>
      <c r="P34" s="24">
        <f t="shared" si="6"/>
        <v>8000000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41" t="s">
        <v>50</v>
      </c>
      <c r="C35" s="13"/>
      <c r="D35" s="41" t="s">
        <v>51</v>
      </c>
      <c r="E35" s="12"/>
      <c r="F35" s="13"/>
      <c r="G35" s="42"/>
      <c r="H35" s="22"/>
      <c r="I35" s="22"/>
      <c r="J35" s="43">
        <f t="shared" ref="J35:K35" si="15">J36+J42+J45</f>
        <v>30400000</v>
      </c>
      <c r="K35" s="43">
        <f t="shared" si="15"/>
        <v>0</v>
      </c>
      <c r="L35" s="43"/>
      <c r="M35" s="43">
        <f>M36+M42+M45</f>
        <v>0</v>
      </c>
      <c r="N35" s="43"/>
      <c r="O35" s="24">
        <f t="shared" si="5"/>
        <v>30400000</v>
      </c>
      <c r="P35" s="24">
        <f t="shared" si="6"/>
        <v>30400000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35" t="s">
        <v>40</v>
      </c>
      <c r="C36" s="13"/>
      <c r="D36" s="44" t="s">
        <v>22</v>
      </c>
      <c r="E36" s="12"/>
      <c r="F36" s="13"/>
      <c r="G36" s="45"/>
      <c r="H36" s="22"/>
      <c r="I36" s="22"/>
      <c r="J36" s="46">
        <f t="shared" ref="J36:K36" si="16">SUM(J38:J41)</f>
        <v>20400000</v>
      </c>
      <c r="K36" s="46">
        <f t="shared" si="16"/>
        <v>0</v>
      </c>
      <c r="L36" s="46"/>
      <c r="M36" s="46">
        <f>SUM(M38:M41)</f>
        <v>0</v>
      </c>
      <c r="N36" s="46"/>
      <c r="O36" s="24">
        <f t="shared" si="5"/>
        <v>20400000</v>
      </c>
      <c r="P36" s="24">
        <f t="shared" si="6"/>
        <v>20400000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2"/>
      <c r="C37" s="22"/>
      <c r="D37" s="35" t="s">
        <v>23</v>
      </c>
      <c r="E37" s="12"/>
      <c r="F37" s="13"/>
      <c r="G37" s="36"/>
      <c r="H37" s="22"/>
      <c r="I37" s="22"/>
      <c r="J37" s="22"/>
      <c r="K37" s="22"/>
      <c r="L37" s="22"/>
      <c r="M37" s="22"/>
      <c r="N37" s="22"/>
      <c r="O37" s="24">
        <f t="shared" si="5"/>
        <v>0</v>
      </c>
      <c r="P37" s="24">
        <f t="shared" si="6"/>
        <v>0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2"/>
      <c r="C38" s="22"/>
      <c r="D38" s="47" t="s">
        <v>24</v>
      </c>
      <c r="E38" s="35" t="s">
        <v>52</v>
      </c>
      <c r="F38" s="13"/>
      <c r="G38" s="36">
        <v>50.0</v>
      </c>
      <c r="H38" s="36" t="s">
        <v>26</v>
      </c>
      <c r="I38" s="48">
        <v>53000.0</v>
      </c>
      <c r="J38" s="46">
        <f t="shared" ref="J38:J41" si="17">G38*I38</f>
        <v>2650000</v>
      </c>
      <c r="K38" s="46"/>
      <c r="L38" s="46"/>
      <c r="M38" s="46"/>
      <c r="N38" s="46"/>
      <c r="O38" s="24">
        <f t="shared" si="5"/>
        <v>2650000</v>
      </c>
      <c r="P38" s="24">
        <f t="shared" si="6"/>
        <v>2650000</v>
      </c>
      <c r="Q38" s="4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22"/>
      <c r="C39" s="22"/>
      <c r="D39" s="47" t="s">
        <v>24</v>
      </c>
      <c r="E39" s="35" t="s">
        <v>53</v>
      </c>
      <c r="F39" s="13"/>
      <c r="G39" s="36">
        <v>5.0</v>
      </c>
      <c r="H39" s="36" t="s">
        <v>26</v>
      </c>
      <c r="I39" s="48">
        <v>500000.0</v>
      </c>
      <c r="J39" s="46">
        <f t="shared" si="17"/>
        <v>2500000</v>
      </c>
      <c r="K39" s="46"/>
      <c r="L39" s="46"/>
      <c r="M39" s="46"/>
      <c r="N39" s="46"/>
      <c r="O39" s="24">
        <f t="shared" si="5"/>
        <v>2500000</v>
      </c>
      <c r="P39" s="24">
        <f t="shared" si="6"/>
        <v>2500000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2"/>
      <c r="C40" s="22"/>
      <c r="D40" s="47" t="s">
        <v>24</v>
      </c>
      <c r="E40" s="35" t="s">
        <v>54</v>
      </c>
      <c r="F40" s="13"/>
      <c r="G40" s="36">
        <v>1.0</v>
      </c>
      <c r="H40" s="36" t="s">
        <v>55</v>
      </c>
      <c r="I40" s="48">
        <v>250000.0</v>
      </c>
      <c r="J40" s="46">
        <f t="shared" si="17"/>
        <v>250000</v>
      </c>
      <c r="K40" s="46"/>
      <c r="L40" s="46"/>
      <c r="M40" s="46"/>
      <c r="N40" s="46"/>
      <c r="O40" s="24">
        <f t="shared" si="5"/>
        <v>250000</v>
      </c>
      <c r="P40" s="24">
        <f t="shared" si="6"/>
        <v>250000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2"/>
      <c r="C41" s="22"/>
      <c r="D41" s="47" t="s">
        <v>24</v>
      </c>
      <c r="E41" s="50" t="s">
        <v>56</v>
      </c>
      <c r="F41" s="13"/>
      <c r="G41" s="36">
        <v>50.0</v>
      </c>
      <c r="H41" s="36" t="s">
        <v>26</v>
      </c>
      <c r="I41" s="48">
        <v>300000.0</v>
      </c>
      <c r="J41" s="46">
        <f t="shared" si="17"/>
        <v>15000000</v>
      </c>
      <c r="K41" s="46"/>
      <c r="L41" s="46"/>
      <c r="M41" s="46"/>
      <c r="N41" s="46"/>
      <c r="O41" s="24">
        <f t="shared" si="5"/>
        <v>15000000</v>
      </c>
      <c r="P41" s="24">
        <f t="shared" si="6"/>
        <v>15000000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35" t="s">
        <v>47</v>
      </c>
      <c r="C42" s="13"/>
      <c r="D42" s="44" t="s">
        <v>48</v>
      </c>
      <c r="E42" s="12"/>
      <c r="F42" s="13"/>
      <c r="G42" s="45"/>
      <c r="H42" s="22"/>
      <c r="I42" s="22"/>
      <c r="J42" s="46">
        <f t="shared" ref="J42:K42" si="18">J44</f>
        <v>8000000</v>
      </c>
      <c r="K42" s="46" t="str">
        <f t="shared" si="18"/>
        <v/>
      </c>
      <c r="L42" s="46"/>
      <c r="M42" s="46" t="str">
        <f>M44</f>
        <v/>
      </c>
      <c r="N42" s="46"/>
      <c r="O42" s="24">
        <f t="shared" si="5"/>
        <v>8000000</v>
      </c>
      <c r="P42" s="24">
        <f t="shared" si="6"/>
        <v>8000000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22"/>
      <c r="C43" s="22"/>
      <c r="D43" s="35" t="s">
        <v>23</v>
      </c>
      <c r="E43" s="12"/>
      <c r="F43" s="13"/>
      <c r="G43" s="36"/>
      <c r="H43" s="22"/>
      <c r="I43" s="22"/>
      <c r="J43" s="22"/>
      <c r="K43" s="22"/>
      <c r="L43" s="22"/>
      <c r="M43" s="22"/>
      <c r="N43" s="22"/>
      <c r="O43" s="24">
        <f t="shared" si="5"/>
        <v>0</v>
      </c>
      <c r="P43" s="24">
        <f t="shared" si="6"/>
        <v>0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2"/>
      <c r="C44" s="22"/>
      <c r="D44" s="47" t="s">
        <v>24</v>
      </c>
      <c r="E44" s="35" t="s">
        <v>57</v>
      </c>
      <c r="F44" s="13"/>
      <c r="G44" s="36">
        <v>2.0</v>
      </c>
      <c r="H44" s="36" t="s">
        <v>26</v>
      </c>
      <c r="I44" s="48">
        <v>4000000.0</v>
      </c>
      <c r="J44" s="46">
        <f>G44*I44</f>
        <v>8000000</v>
      </c>
      <c r="K44" s="46"/>
      <c r="L44" s="46"/>
      <c r="M44" s="46"/>
      <c r="N44" s="46"/>
      <c r="O44" s="24">
        <f t="shared" si="5"/>
        <v>8000000</v>
      </c>
      <c r="P44" s="24">
        <f t="shared" si="6"/>
        <v>8000000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35" t="s">
        <v>58</v>
      </c>
      <c r="C45" s="13"/>
      <c r="D45" s="44" t="s">
        <v>34</v>
      </c>
      <c r="E45" s="12"/>
      <c r="F45" s="13"/>
      <c r="G45" s="45"/>
      <c r="H45" s="22"/>
      <c r="I45" s="22"/>
      <c r="J45" s="46">
        <f>J47</f>
        <v>2000000</v>
      </c>
      <c r="K45" s="46"/>
      <c r="L45" s="46"/>
      <c r="M45" s="46"/>
      <c r="N45" s="46"/>
      <c r="O45" s="24">
        <f t="shared" si="5"/>
        <v>2000000</v>
      </c>
      <c r="P45" s="24">
        <f t="shared" si="6"/>
        <v>2000000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2"/>
      <c r="C46" s="22"/>
      <c r="D46" s="35" t="s">
        <v>23</v>
      </c>
      <c r="E46" s="12"/>
      <c r="F46" s="13"/>
      <c r="G46" s="36"/>
      <c r="H46" s="22"/>
      <c r="I46" s="22"/>
      <c r="J46" s="22"/>
      <c r="K46" s="22"/>
      <c r="L46" s="22"/>
      <c r="M46" s="22"/>
      <c r="N46" s="22"/>
      <c r="O46" s="24">
        <f t="shared" si="5"/>
        <v>0</v>
      </c>
      <c r="P46" s="24">
        <f t="shared" si="6"/>
        <v>0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2"/>
      <c r="C47" s="22"/>
      <c r="D47" s="47" t="s">
        <v>24</v>
      </c>
      <c r="E47" s="35" t="s">
        <v>59</v>
      </c>
      <c r="F47" s="13"/>
      <c r="G47" s="36">
        <v>4.0</v>
      </c>
      <c r="H47" s="36" t="s">
        <v>26</v>
      </c>
      <c r="I47" s="48">
        <v>500000.0</v>
      </c>
      <c r="J47" s="46">
        <f>G47*I47</f>
        <v>2000000</v>
      </c>
      <c r="K47" s="46"/>
      <c r="L47" s="46"/>
      <c r="M47" s="46"/>
      <c r="N47" s="46"/>
      <c r="O47" s="24">
        <f t="shared" si="5"/>
        <v>2000000</v>
      </c>
      <c r="P47" s="24">
        <f t="shared" si="6"/>
        <v>2000000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41" t="s">
        <v>60</v>
      </c>
      <c r="C48" s="13"/>
      <c r="D48" s="41" t="s">
        <v>61</v>
      </c>
      <c r="E48" s="12"/>
      <c r="F48" s="13"/>
      <c r="G48" s="42"/>
      <c r="H48" s="22"/>
      <c r="I48" s="22"/>
      <c r="J48" s="43">
        <f t="shared" ref="J48:K48" si="19">J49+J52+J56+J59+J62</f>
        <v>186900000</v>
      </c>
      <c r="K48" s="43">
        <f t="shared" si="19"/>
        <v>0</v>
      </c>
      <c r="L48" s="43"/>
      <c r="M48" s="43">
        <f>M49+M52+M56+M59+M62</f>
        <v>0</v>
      </c>
      <c r="N48" s="43"/>
      <c r="O48" s="24">
        <f t="shared" si="5"/>
        <v>186900000</v>
      </c>
      <c r="P48" s="24">
        <f t="shared" si="6"/>
        <v>186900000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35" t="s">
        <v>40</v>
      </c>
      <c r="C49" s="13"/>
      <c r="D49" s="44" t="s">
        <v>22</v>
      </c>
      <c r="E49" s="12"/>
      <c r="F49" s="13"/>
      <c r="G49" s="45"/>
      <c r="H49" s="22"/>
      <c r="I49" s="22"/>
      <c r="J49" s="46">
        <f t="shared" ref="J49:K49" si="20">J51</f>
        <v>15900000</v>
      </c>
      <c r="K49" s="46" t="str">
        <f t="shared" si="20"/>
        <v/>
      </c>
      <c r="L49" s="46"/>
      <c r="M49" s="46" t="str">
        <f>M51</f>
        <v/>
      </c>
      <c r="N49" s="46"/>
      <c r="O49" s="24">
        <f t="shared" si="5"/>
        <v>15900000</v>
      </c>
      <c r="P49" s="24">
        <f t="shared" si="6"/>
        <v>15900000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2"/>
      <c r="C50" s="22"/>
      <c r="D50" s="35" t="s">
        <v>23</v>
      </c>
      <c r="E50" s="12"/>
      <c r="F50" s="13"/>
      <c r="G50" s="36"/>
      <c r="H50" s="22"/>
      <c r="I50" s="22"/>
      <c r="J50" s="22"/>
      <c r="K50" s="22"/>
      <c r="L50" s="22"/>
      <c r="M50" s="22"/>
      <c r="N50" s="22"/>
      <c r="O50" s="24">
        <f t="shared" si="5"/>
        <v>0</v>
      </c>
      <c r="P50" s="24">
        <f t="shared" si="6"/>
        <v>0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22"/>
      <c r="C51" s="22"/>
      <c r="D51" s="47" t="s">
        <v>24</v>
      </c>
      <c r="E51" s="35" t="s">
        <v>62</v>
      </c>
      <c r="F51" s="13"/>
      <c r="G51" s="36">
        <v>300.0</v>
      </c>
      <c r="H51" s="36" t="s">
        <v>26</v>
      </c>
      <c r="I51" s="48">
        <v>53000.0</v>
      </c>
      <c r="J51" s="46">
        <f>G51*I51</f>
        <v>15900000</v>
      </c>
      <c r="K51" s="46"/>
      <c r="L51" s="46"/>
      <c r="M51" s="46"/>
      <c r="N51" s="46"/>
      <c r="O51" s="24">
        <f t="shared" si="5"/>
        <v>15900000</v>
      </c>
      <c r="P51" s="24">
        <f t="shared" si="6"/>
        <v>15900000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35" t="s">
        <v>63</v>
      </c>
      <c r="C52" s="13"/>
      <c r="D52" s="44" t="s">
        <v>64</v>
      </c>
      <c r="E52" s="12"/>
      <c r="F52" s="13"/>
      <c r="G52" s="45"/>
      <c r="H52" s="22"/>
      <c r="I52" s="22"/>
      <c r="J52" s="46">
        <f t="shared" ref="J52:K52" si="21">SUM(J54:J55)</f>
        <v>105000000</v>
      </c>
      <c r="K52" s="46">
        <f t="shared" si="21"/>
        <v>0</v>
      </c>
      <c r="L52" s="46"/>
      <c r="M52" s="46">
        <f>SUM(M54:M55)</f>
        <v>0</v>
      </c>
      <c r="N52" s="46"/>
      <c r="O52" s="24">
        <f t="shared" si="5"/>
        <v>105000000</v>
      </c>
      <c r="P52" s="24">
        <f t="shared" si="6"/>
        <v>105000000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2"/>
      <c r="C53" s="22"/>
      <c r="D53" s="35" t="s">
        <v>23</v>
      </c>
      <c r="E53" s="12"/>
      <c r="F53" s="13"/>
      <c r="G53" s="36"/>
      <c r="H53" s="22"/>
      <c r="I53" s="22"/>
      <c r="J53" s="22"/>
      <c r="K53" s="22"/>
      <c r="L53" s="22"/>
      <c r="M53" s="22"/>
      <c r="N53" s="22"/>
      <c r="O53" s="24">
        <f t="shared" si="5"/>
        <v>0</v>
      </c>
      <c r="P53" s="24">
        <f t="shared" si="6"/>
        <v>0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22"/>
      <c r="C54" s="22"/>
      <c r="D54" s="47" t="s">
        <v>24</v>
      </c>
      <c r="E54" s="50" t="s">
        <v>65</v>
      </c>
      <c r="F54" s="13"/>
      <c r="G54" s="36">
        <v>1.0</v>
      </c>
      <c r="H54" s="36" t="s">
        <v>66</v>
      </c>
      <c r="I54" s="48">
        <v>9.5E7</v>
      </c>
      <c r="J54" s="46">
        <f t="shared" ref="J54:J55" si="22">G54*I54</f>
        <v>95000000</v>
      </c>
      <c r="K54" s="46"/>
      <c r="L54" s="46"/>
      <c r="M54" s="46"/>
      <c r="N54" s="46"/>
      <c r="O54" s="24">
        <f t="shared" si="5"/>
        <v>95000000</v>
      </c>
      <c r="P54" s="24">
        <f t="shared" si="6"/>
        <v>95000000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2"/>
      <c r="C55" s="22"/>
      <c r="D55" s="47" t="s">
        <v>24</v>
      </c>
      <c r="E55" s="35" t="s">
        <v>67</v>
      </c>
      <c r="F55" s="13"/>
      <c r="G55" s="36">
        <v>50.0</v>
      </c>
      <c r="H55" s="36" t="s">
        <v>26</v>
      </c>
      <c r="I55" s="48">
        <v>200000.0</v>
      </c>
      <c r="J55" s="46">
        <f t="shared" si="22"/>
        <v>10000000</v>
      </c>
      <c r="K55" s="46"/>
      <c r="L55" s="46"/>
      <c r="M55" s="46"/>
      <c r="N55" s="46"/>
      <c r="O55" s="24">
        <f t="shared" si="5"/>
        <v>10000000</v>
      </c>
      <c r="P55" s="24">
        <f t="shared" si="6"/>
        <v>10000000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35" t="s">
        <v>68</v>
      </c>
      <c r="C56" s="13"/>
      <c r="D56" s="44" t="s">
        <v>69</v>
      </c>
      <c r="E56" s="12"/>
      <c r="F56" s="13"/>
      <c r="G56" s="45"/>
      <c r="H56" s="22"/>
      <c r="I56" s="22"/>
      <c r="J56" s="46">
        <f t="shared" ref="J56:K56" si="23">J58</f>
        <v>10000000</v>
      </c>
      <c r="K56" s="46" t="str">
        <f t="shared" si="23"/>
        <v/>
      </c>
      <c r="L56" s="46"/>
      <c r="M56" s="46" t="str">
        <f>M58</f>
        <v/>
      </c>
      <c r="N56" s="46"/>
      <c r="O56" s="24">
        <f t="shared" si="5"/>
        <v>10000000</v>
      </c>
      <c r="P56" s="24">
        <f t="shared" si="6"/>
        <v>10000000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2"/>
      <c r="C57" s="22"/>
      <c r="D57" s="35" t="s">
        <v>23</v>
      </c>
      <c r="E57" s="12"/>
      <c r="F57" s="13"/>
      <c r="G57" s="36"/>
      <c r="H57" s="22"/>
      <c r="I57" s="22"/>
      <c r="J57" s="22"/>
      <c r="K57" s="22"/>
      <c r="L57" s="22"/>
      <c r="M57" s="22"/>
      <c r="N57" s="22"/>
      <c r="O57" s="24">
        <f t="shared" si="5"/>
        <v>0</v>
      </c>
      <c r="P57" s="24">
        <f t="shared" si="6"/>
        <v>0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2"/>
      <c r="C58" s="22"/>
      <c r="D58" s="47" t="s">
        <v>24</v>
      </c>
      <c r="E58" s="50" t="s">
        <v>70</v>
      </c>
      <c r="F58" s="13"/>
      <c r="G58" s="36">
        <v>20.0</v>
      </c>
      <c r="H58" s="36" t="s">
        <v>26</v>
      </c>
      <c r="I58" s="48">
        <v>500000.0</v>
      </c>
      <c r="J58" s="46">
        <f>G58*I58</f>
        <v>10000000</v>
      </c>
      <c r="K58" s="46"/>
      <c r="L58" s="46"/>
      <c r="M58" s="46"/>
      <c r="N58" s="46"/>
      <c r="O58" s="24">
        <f t="shared" si="5"/>
        <v>10000000</v>
      </c>
      <c r="P58" s="24">
        <f t="shared" si="6"/>
        <v>10000000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35" t="s">
        <v>47</v>
      </c>
      <c r="C59" s="13"/>
      <c r="D59" s="44" t="s">
        <v>48</v>
      </c>
      <c r="E59" s="12"/>
      <c r="F59" s="13"/>
      <c r="G59" s="45"/>
      <c r="H59" s="22"/>
      <c r="I59" s="22"/>
      <c r="J59" s="46">
        <f t="shared" ref="J59:K59" si="24">J61</f>
        <v>8000000</v>
      </c>
      <c r="K59" s="46" t="str">
        <f t="shared" si="24"/>
        <v/>
      </c>
      <c r="L59" s="46"/>
      <c r="M59" s="46" t="str">
        <f>M61</f>
        <v/>
      </c>
      <c r="N59" s="46"/>
      <c r="O59" s="24">
        <f t="shared" si="5"/>
        <v>8000000</v>
      </c>
      <c r="P59" s="24">
        <f t="shared" si="6"/>
        <v>8000000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2"/>
      <c r="C60" s="22"/>
      <c r="D60" s="35" t="s">
        <v>23</v>
      </c>
      <c r="E60" s="12"/>
      <c r="F60" s="13"/>
      <c r="G60" s="36"/>
      <c r="H60" s="22"/>
      <c r="I60" s="22"/>
      <c r="J60" s="22"/>
      <c r="K60" s="22"/>
      <c r="L60" s="22"/>
      <c r="M60" s="22"/>
      <c r="N60" s="22"/>
      <c r="O60" s="24">
        <f t="shared" si="5"/>
        <v>0</v>
      </c>
      <c r="P60" s="24">
        <f t="shared" si="6"/>
        <v>0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2"/>
      <c r="C61" s="22"/>
      <c r="D61" s="47" t="s">
        <v>24</v>
      </c>
      <c r="E61" s="35" t="s">
        <v>57</v>
      </c>
      <c r="F61" s="13"/>
      <c r="G61" s="36">
        <v>2.0</v>
      </c>
      <c r="H61" s="36" t="s">
        <v>26</v>
      </c>
      <c r="I61" s="48">
        <v>4000000.0</v>
      </c>
      <c r="J61" s="46">
        <f>G61*I61</f>
        <v>8000000</v>
      </c>
      <c r="K61" s="46"/>
      <c r="L61" s="46"/>
      <c r="M61" s="46"/>
      <c r="N61" s="46"/>
      <c r="O61" s="24">
        <f t="shared" si="5"/>
        <v>8000000</v>
      </c>
      <c r="P61" s="24">
        <f t="shared" si="6"/>
        <v>8000000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35" t="s">
        <v>58</v>
      </c>
      <c r="C62" s="13"/>
      <c r="D62" s="44" t="s">
        <v>34</v>
      </c>
      <c r="E62" s="12"/>
      <c r="F62" s="13"/>
      <c r="G62" s="45"/>
      <c r="H62" s="22"/>
      <c r="I62" s="22"/>
      <c r="J62" s="46">
        <f t="shared" ref="J62:K62" si="25">J64</f>
        <v>48000000</v>
      </c>
      <c r="K62" s="46" t="str">
        <f t="shared" si="25"/>
        <v/>
      </c>
      <c r="L62" s="46"/>
      <c r="M62" s="46" t="str">
        <f>M64</f>
        <v/>
      </c>
      <c r="N62" s="46"/>
      <c r="O62" s="24">
        <f t="shared" si="5"/>
        <v>48000000</v>
      </c>
      <c r="P62" s="24">
        <f t="shared" si="6"/>
        <v>48000000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2"/>
      <c r="C63" s="22"/>
      <c r="D63" s="35" t="s">
        <v>23</v>
      </c>
      <c r="E63" s="12"/>
      <c r="F63" s="13"/>
      <c r="G63" s="36"/>
      <c r="H63" s="22"/>
      <c r="I63" s="22"/>
      <c r="J63" s="22"/>
      <c r="K63" s="22"/>
      <c r="L63" s="22"/>
      <c r="M63" s="22"/>
      <c r="N63" s="22"/>
      <c r="O63" s="24">
        <f t="shared" si="5"/>
        <v>0</v>
      </c>
      <c r="P63" s="24">
        <f t="shared" si="6"/>
        <v>0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22"/>
      <c r="C64" s="22"/>
      <c r="D64" s="47" t="s">
        <v>24</v>
      </c>
      <c r="E64" s="35" t="s">
        <v>71</v>
      </c>
      <c r="F64" s="13"/>
      <c r="G64" s="36">
        <v>96.0</v>
      </c>
      <c r="H64" s="36" t="s">
        <v>26</v>
      </c>
      <c r="I64" s="48">
        <v>500000.0</v>
      </c>
      <c r="J64" s="46">
        <f>G64*I64</f>
        <v>48000000</v>
      </c>
      <c r="K64" s="46"/>
      <c r="L64" s="46"/>
      <c r="M64" s="46"/>
      <c r="N64" s="46"/>
      <c r="O64" s="24">
        <f t="shared" si="5"/>
        <v>48000000</v>
      </c>
      <c r="P64" s="24">
        <f t="shared" si="6"/>
        <v>48000000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41" t="s">
        <v>72</v>
      </c>
      <c r="C65" s="13"/>
      <c r="D65" s="41" t="s">
        <v>73</v>
      </c>
      <c r="E65" s="12"/>
      <c r="F65" s="13"/>
      <c r="G65" s="42"/>
      <c r="H65" s="22"/>
      <c r="I65" s="22"/>
      <c r="J65" s="43">
        <f t="shared" ref="J65:K65" si="26">J66+J71</f>
        <v>151200000</v>
      </c>
      <c r="K65" s="43">
        <f t="shared" si="26"/>
        <v>0</v>
      </c>
      <c r="L65" s="43"/>
      <c r="M65" s="43">
        <f>M66+M71</f>
        <v>0</v>
      </c>
      <c r="N65" s="43"/>
      <c r="O65" s="24">
        <f t="shared" si="5"/>
        <v>151200000</v>
      </c>
      <c r="P65" s="24">
        <f t="shared" si="6"/>
        <v>151200000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35" t="s">
        <v>74</v>
      </c>
      <c r="C66" s="13"/>
      <c r="D66" s="44" t="s">
        <v>75</v>
      </c>
      <c r="E66" s="12"/>
      <c r="F66" s="13"/>
      <c r="G66" s="45"/>
      <c r="H66" s="22"/>
      <c r="I66" s="22"/>
      <c r="J66" s="46">
        <f t="shared" ref="J66:K66" si="27">SUM(J68:J70)</f>
        <v>142700000</v>
      </c>
      <c r="K66" s="46">
        <f t="shared" si="27"/>
        <v>0</v>
      </c>
      <c r="L66" s="46"/>
      <c r="M66" s="46">
        <f>SUM(M68:M70)</f>
        <v>0</v>
      </c>
      <c r="N66" s="46"/>
      <c r="O66" s="24">
        <f t="shared" si="5"/>
        <v>142700000</v>
      </c>
      <c r="P66" s="24">
        <f t="shared" si="6"/>
        <v>142700000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2"/>
      <c r="C67" s="22"/>
      <c r="D67" s="35" t="s">
        <v>23</v>
      </c>
      <c r="E67" s="12"/>
      <c r="F67" s="13"/>
      <c r="G67" s="36"/>
      <c r="H67" s="22"/>
      <c r="I67" s="22"/>
      <c r="J67" s="22"/>
      <c r="K67" s="22"/>
      <c r="L67" s="22"/>
      <c r="M67" s="22"/>
      <c r="N67" s="22"/>
      <c r="O67" s="24">
        <f t="shared" si="5"/>
        <v>0</v>
      </c>
      <c r="P67" s="24">
        <f t="shared" si="6"/>
        <v>0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2"/>
      <c r="C68" s="22"/>
      <c r="D68" s="47" t="s">
        <v>24</v>
      </c>
      <c r="E68" s="35" t="s">
        <v>76</v>
      </c>
      <c r="F68" s="13"/>
      <c r="G68" s="36">
        <v>20.0</v>
      </c>
      <c r="H68" s="36" t="s">
        <v>26</v>
      </c>
      <c r="I68" s="48">
        <v>5000000.0</v>
      </c>
      <c r="J68" s="46">
        <f t="shared" ref="J68:J70" si="28">G68*I68</f>
        <v>100000000</v>
      </c>
      <c r="K68" s="46"/>
      <c r="L68" s="46"/>
      <c r="M68" s="46"/>
      <c r="N68" s="46"/>
      <c r="O68" s="24">
        <f t="shared" si="5"/>
        <v>100000000</v>
      </c>
      <c r="P68" s="24">
        <f t="shared" si="6"/>
        <v>100000000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22"/>
      <c r="C69" s="22"/>
      <c r="D69" s="47" t="s">
        <v>24</v>
      </c>
      <c r="E69" s="35" t="s">
        <v>77</v>
      </c>
      <c r="F69" s="13"/>
      <c r="G69" s="36">
        <v>30.0</v>
      </c>
      <c r="H69" s="36" t="s">
        <v>26</v>
      </c>
      <c r="I69" s="48">
        <v>850000.0</v>
      </c>
      <c r="J69" s="46">
        <f t="shared" si="28"/>
        <v>25500000</v>
      </c>
      <c r="K69" s="46"/>
      <c r="L69" s="46"/>
      <c r="M69" s="46"/>
      <c r="N69" s="46"/>
      <c r="O69" s="24">
        <f t="shared" si="5"/>
        <v>25500000</v>
      </c>
      <c r="P69" s="24">
        <f t="shared" si="6"/>
        <v>25500000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2"/>
      <c r="C70" s="22"/>
      <c r="D70" s="47" t="s">
        <v>24</v>
      </c>
      <c r="E70" s="35" t="s">
        <v>78</v>
      </c>
      <c r="F70" s="13"/>
      <c r="G70" s="36">
        <v>40.0</v>
      </c>
      <c r="H70" s="36" t="s">
        <v>26</v>
      </c>
      <c r="I70" s="48">
        <v>430000.0</v>
      </c>
      <c r="J70" s="46">
        <f t="shared" si="28"/>
        <v>17200000</v>
      </c>
      <c r="K70" s="46"/>
      <c r="L70" s="46"/>
      <c r="M70" s="46"/>
      <c r="N70" s="46"/>
      <c r="O70" s="24">
        <f t="shared" si="5"/>
        <v>17200000</v>
      </c>
      <c r="P70" s="24">
        <f t="shared" si="6"/>
        <v>17200000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35" t="s">
        <v>79</v>
      </c>
      <c r="C71" s="13"/>
      <c r="D71" s="44" t="s">
        <v>80</v>
      </c>
      <c r="E71" s="12"/>
      <c r="F71" s="13"/>
      <c r="G71" s="45"/>
      <c r="H71" s="22"/>
      <c r="I71" s="22"/>
      <c r="J71" s="46">
        <f t="shared" ref="J71:K71" si="29">J73</f>
        <v>8500000</v>
      </c>
      <c r="K71" s="46" t="str">
        <f t="shared" si="29"/>
        <v/>
      </c>
      <c r="L71" s="46"/>
      <c r="M71" s="46" t="str">
        <f>M73</f>
        <v/>
      </c>
      <c r="N71" s="46"/>
      <c r="O71" s="24">
        <f t="shared" si="5"/>
        <v>8500000</v>
      </c>
      <c r="P71" s="24">
        <f t="shared" si="6"/>
        <v>8500000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2"/>
      <c r="C72" s="22"/>
      <c r="D72" s="35" t="s">
        <v>23</v>
      </c>
      <c r="E72" s="12"/>
      <c r="F72" s="13"/>
      <c r="G72" s="36"/>
      <c r="H72" s="22"/>
      <c r="I72" s="22"/>
      <c r="J72" s="22"/>
      <c r="K72" s="22"/>
      <c r="L72" s="22"/>
      <c r="M72" s="22"/>
      <c r="N72" s="22"/>
      <c r="O72" s="24">
        <f t="shared" si="5"/>
        <v>0</v>
      </c>
      <c r="P72" s="24">
        <f t="shared" si="6"/>
        <v>0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2"/>
      <c r="C73" s="22"/>
      <c r="D73" s="47" t="s">
        <v>24</v>
      </c>
      <c r="E73" s="35" t="s">
        <v>81</v>
      </c>
      <c r="F73" s="13"/>
      <c r="G73" s="36">
        <v>50.0</v>
      </c>
      <c r="H73" s="36" t="s">
        <v>26</v>
      </c>
      <c r="I73" s="48">
        <v>170000.0</v>
      </c>
      <c r="J73" s="46">
        <f>G73*I73</f>
        <v>8500000</v>
      </c>
      <c r="K73" s="46"/>
      <c r="L73" s="46"/>
      <c r="M73" s="46"/>
      <c r="N73" s="46"/>
      <c r="O73" s="24">
        <f t="shared" si="5"/>
        <v>8500000</v>
      </c>
      <c r="P73" s="24">
        <f t="shared" si="6"/>
        <v>8500000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41" t="s">
        <v>82</v>
      </c>
      <c r="C74" s="13"/>
      <c r="D74" s="41" t="s">
        <v>83</v>
      </c>
      <c r="E74" s="12"/>
      <c r="F74" s="13"/>
      <c r="G74" s="42"/>
      <c r="H74" s="22"/>
      <c r="I74" s="22"/>
      <c r="J74" s="43">
        <f t="shared" ref="J74:K74" si="30">J75+J80</f>
        <v>874500000</v>
      </c>
      <c r="K74" s="43">
        <f t="shared" si="30"/>
        <v>41749500</v>
      </c>
      <c r="L74" s="43"/>
      <c r="M74" s="43">
        <f>M75+M80</f>
        <v>75499500</v>
      </c>
      <c r="N74" s="43"/>
      <c r="O74" s="24">
        <f t="shared" si="5"/>
        <v>832750500</v>
      </c>
      <c r="P74" s="24">
        <f t="shared" si="6"/>
        <v>799000500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35" t="s">
        <v>84</v>
      </c>
      <c r="C75" s="13"/>
      <c r="D75" s="44" t="s">
        <v>85</v>
      </c>
      <c r="E75" s="12"/>
      <c r="F75" s="13"/>
      <c r="G75" s="45"/>
      <c r="H75" s="22"/>
      <c r="I75" s="22"/>
      <c r="J75" s="46">
        <f t="shared" ref="J75:K75" si="31">SUM(J77:J79)</f>
        <v>772500000</v>
      </c>
      <c r="K75" s="46">
        <f t="shared" si="31"/>
        <v>41625000</v>
      </c>
      <c r="L75" s="46"/>
      <c r="M75" s="46">
        <f>SUM(M77:M79)</f>
        <v>75375000</v>
      </c>
      <c r="N75" s="46"/>
      <c r="O75" s="24">
        <f t="shared" si="5"/>
        <v>730875000</v>
      </c>
      <c r="P75" s="24">
        <f t="shared" si="6"/>
        <v>697125000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2"/>
      <c r="C76" s="22"/>
      <c r="D76" s="35" t="s">
        <v>23</v>
      </c>
      <c r="E76" s="12"/>
      <c r="F76" s="13"/>
      <c r="G76" s="36"/>
      <c r="H76" s="22"/>
      <c r="I76" s="22"/>
      <c r="J76" s="22"/>
      <c r="K76" s="22"/>
      <c r="L76" s="22"/>
      <c r="M76" s="22"/>
      <c r="N76" s="22"/>
      <c r="O76" s="24">
        <f t="shared" si="5"/>
        <v>0</v>
      </c>
      <c r="P76" s="24">
        <f t="shared" si="6"/>
        <v>0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2"/>
      <c r="C77" s="22"/>
      <c r="D77" s="47" t="s">
        <v>24</v>
      </c>
      <c r="E77" s="35" t="s">
        <v>86</v>
      </c>
      <c r="F77" s="13"/>
      <c r="G77" s="36">
        <v>27375.0</v>
      </c>
      <c r="H77" s="36" t="s">
        <v>87</v>
      </c>
      <c r="I77" s="48">
        <v>15000.0</v>
      </c>
      <c r="J77" s="46">
        <f t="shared" ref="J77:J79" si="32">G77*I77</f>
        <v>410625000</v>
      </c>
      <c r="K77" s="46">
        <v>3.1125E7</v>
      </c>
      <c r="L77" s="46"/>
      <c r="M77" s="46">
        <v>5.4375E7</v>
      </c>
      <c r="N77" s="46"/>
      <c r="O77" s="24">
        <f t="shared" si="5"/>
        <v>379500000</v>
      </c>
      <c r="P77" s="24">
        <f t="shared" si="6"/>
        <v>356250000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2"/>
      <c r="C78" s="22"/>
      <c r="D78" s="47" t="s">
        <v>24</v>
      </c>
      <c r="E78" s="35" t="s">
        <v>88</v>
      </c>
      <c r="F78" s="13"/>
      <c r="G78" s="36">
        <v>9000.0</v>
      </c>
      <c r="H78" s="36" t="s">
        <v>87</v>
      </c>
      <c r="I78" s="48">
        <v>25000.0</v>
      </c>
      <c r="J78" s="46">
        <f t="shared" si="32"/>
        <v>225000000</v>
      </c>
      <c r="K78" s="46"/>
      <c r="L78" s="46"/>
      <c r="M78" s="46"/>
      <c r="N78" s="46"/>
      <c r="O78" s="24">
        <f t="shared" si="5"/>
        <v>225000000</v>
      </c>
      <c r="P78" s="24">
        <f t="shared" si="6"/>
        <v>225000000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2"/>
      <c r="C79" s="22"/>
      <c r="D79" s="47" t="s">
        <v>24</v>
      </c>
      <c r="E79" s="35" t="s">
        <v>89</v>
      </c>
      <c r="F79" s="13"/>
      <c r="G79" s="36">
        <v>18250.0</v>
      </c>
      <c r="H79" s="36" t="s">
        <v>87</v>
      </c>
      <c r="I79" s="48">
        <v>7500.0</v>
      </c>
      <c r="J79" s="46">
        <f t="shared" si="32"/>
        <v>136875000</v>
      </c>
      <c r="K79" s="46">
        <v>1.05E7</v>
      </c>
      <c r="L79" s="46"/>
      <c r="M79" s="46">
        <v>2.1E7</v>
      </c>
      <c r="N79" s="46"/>
      <c r="O79" s="24">
        <f t="shared" si="5"/>
        <v>126375000</v>
      </c>
      <c r="P79" s="24">
        <f t="shared" si="6"/>
        <v>115875000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35" t="s">
        <v>63</v>
      </c>
      <c r="C80" s="13"/>
      <c r="D80" s="44" t="s">
        <v>64</v>
      </c>
      <c r="E80" s="12"/>
      <c r="F80" s="13"/>
      <c r="G80" s="45"/>
      <c r="H80" s="22"/>
      <c r="I80" s="22"/>
      <c r="J80" s="46">
        <f t="shared" ref="J80:K80" si="33">SUM(J82:J83)</f>
        <v>102000000</v>
      </c>
      <c r="K80" s="46">
        <f t="shared" si="33"/>
        <v>124500</v>
      </c>
      <c r="L80" s="46"/>
      <c r="M80" s="46">
        <f>SUM(M82:M83)</f>
        <v>124500</v>
      </c>
      <c r="N80" s="46"/>
      <c r="O80" s="24">
        <f t="shared" si="5"/>
        <v>101875500</v>
      </c>
      <c r="P80" s="24">
        <f t="shared" si="6"/>
        <v>101875500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2"/>
      <c r="C81" s="22"/>
      <c r="D81" s="35" t="s">
        <v>23</v>
      </c>
      <c r="E81" s="12"/>
      <c r="F81" s="13"/>
      <c r="G81" s="36"/>
      <c r="H81" s="22"/>
      <c r="I81" s="22"/>
      <c r="J81" s="22"/>
      <c r="K81" s="22"/>
      <c r="L81" s="22"/>
      <c r="M81" s="22"/>
      <c r="N81" s="22"/>
      <c r="O81" s="24">
        <f t="shared" si="5"/>
        <v>0</v>
      </c>
      <c r="P81" s="24">
        <f t="shared" si="6"/>
        <v>0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22"/>
      <c r="C82" s="22"/>
      <c r="D82" s="47" t="s">
        <v>24</v>
      </c>
      <c r="E82" s="35" t="s">
        <v>90</v>
      </c>
      <c r="F82" s="13"/>
      <c r="G82" s="36">
        <v>180.0</v>
      </c>
      <c r="H82" s="36" t="s">
        <v>87</v>
      </c>
      <c r="I82" s="48">
        <v>500000.0</v>
      </c>
      <c r="J82" s="46">
        <f t="shared" ref="J82:J83" si="34">G82*I82</f>
        <v>90000000</v>
      </c>
      <c r="K82" s="46">
        <v>124500.0</v>
      </c>
      <c r="L82" s="46"/>
      <c r="M82" s="46">
        <v>124500.0</v>
      </c>
      <c r="N82" s="46"/>
      <c r="O82" s="24">
        <f t="shared" si="5"/>
        <v>89875500</v>
      </c>
      <c r="P82" s="24">
        <f t="shared" si="6"/>
        <v>89875500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2"/>
      <c r="C83" s="22"/>
      <c r="D83" s="47" t="s">
        <v>24</v>
      </c>
      <c r="E83" s="35" t="s">
        <v>91</v>
      </c>
      <c r="F83" s="13"/>
      <c r="G83" s="36">
        <v>300.0</v>
      </c>
      <c r="H83" s="36" t="s">
        <v>87</v>
      </c>
      <c r="I83" s="48">
        <v>40000.0</v>
      </c>
      <c r="J83" s="46">
        <f t="shared" si="34"/>
        <v>12000000</v>
      </c>
      <c r="K83" s="46"/>
      <c r="L83" s="46"/>
      <c r="M83" s="46"/>
      <c r="N83" s="46"/>
      <c r="O83" s="24">
        <f t="shared" si="5"/>
        <v>12000000</v>
      </c>
      <c r="P83" s="24">
        <f t="shared" si="6"/>
        <v>12000000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41" t="s">
        <v>92</v>
      </c>
      <c r="C84" s="13"/>
      <c r="D84" s="41" t="s">
        <v>93</v>
      </c>
      <c r="E84" s="12"/>
      <c r="F84" s="13"/>
      <c r="G84" s="42"/>
      <c r="H84" s="22"/>
      <c r="I84" s="22"/>
      <c r="J84" s="43">
        <f t="shared" ref="J84:K84" si="35">J85</f>
        <v>40936000</v>
      </c>
      <c r="K84" s="43">
        <f t="shared" si="35"/>
        <v>0</v>
      </c>
      <c r="L84" s="43"/>
      <c r="M84" s="43">
        <f>M85</f>
        <v>4609000</v>
      </c>
      <c r="N84" s="43"/>
      <c r="O84" s="24">
        <f t="shared" si="5"/>
        <v>40936000</v>
      </c>
      <c r="P84" s="24">
        <f t="shared" si="6"/>
        <v>36327000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35" t="s">
        <v>68</v>
      </c>
      <c r="C85" s="13"/>
      <c r="D85" s="44" t="s">
        <v>69</v>
      </c>
      <c r="E85" s="12"/>
      <c r="F85" s="13"/>
      <c r="G85" s="45"/>
      <c r="H85" s="22"/>
      <c r="I85" s="22"/>
      <c r="J85" s="46">
        <f t="shared" ref="J85:K85" si="36">SUM(J87:J88)</f>
        <v>40936000</v>
      </c>
      <c r="K85" s="46">
        <f t="shared" si="36"/>
        <v>0</v>
      </c>
      <c r="L85" s="46"/>
      <c r="M85" s="46">
        <f>SUM(M87:M88)</f>
        <v>4609000</v>
      </c>
      <c r="N85" s="46"/>
      <c r="O85" s="24">
        <f t="shared" si="5"/>
        <v>40936000</v>
      </c>
      <c r="P85" s="24">
        <f t="shared" si="6"/>
        <v>36327000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2"/>
      <c r="C86" s="22"/>
      <c r="D86" s="35" t="s">
        <v>23</v>
      </c>
      <c r="E86" s="12"/>
      <c r="F86" s="13"/>
      <c r="G86" s="36"/>
      <c r="H86" s="22"/>
      <c r="I86" s="22"/>
      <c r="J86" s="22"/>
      <c r="K86" s="22"/>
      <c r="L86" s="22"/>
      <c r="M86" s="22"/>
      <c r="N86" s="22"/>
      <c r="O86" s="24">
        <f t="shared" si="5"/>
        <v>0</v>
      </c>
      <c r="P86" s="24">
        <f t="shared" si="6"/>
        <v>0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2"/>
      <c r="C87" s="22"/>
      <c r="D87" s="47" t="s">
        <v>24</v>
      </c>
      <c r="E87" s="35" t="s">
        <v>94</v>
      </c>
      <c r="F87" s="13"/>
      <c r="G87" s="36">
        <v>12.0</v>
      </c>
      <c r="H87" s="36" t="s">
        <v>95</v>
      </c>
      <c r="I87" s="48">
        <v>2500000.0</v>
      </c>
      <c r="J87" s="46">
        <f t="shared" ref="J87:J88" si="37">G87*I87</f>
        <v>30000000</v>
      </c>
      <c r="K87" s="46"/>
      <c r="L87" s="46"/>
      <c r="M87" s="46">
        <v>1998000.0</v>
      </c>
      <c r="N87" s="46"/>
      <c r="O87" s="24">
        <f t="shared" si="5"/>
        <v>30000000</v>
      </c>
      <c r="P87" s="24">
        <f t="shared" si="6"/>
        <v>28002000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2"/>
      <c r="C88" s="22"/>
      <c r="D88" s="47" t="s">
        <v>24</v>
      </c>
      <c r="E88" s="35" t="s">
        <v>96</v>
      </c>
      <c r="F88" s="13"/>
      <c r="G88" s="36">
        <v>1.0</v>
      </c>
      <c r="H88" s="36" t="s">
        <v>97</v>
      </c>
      <c r="I88" s="48">
        <v>1.0936E7</v>
      </c>
      <c r="J88" s="46">
        <f t="shared" si="37"/>
        <v>10936000</v>
      </c>
      <c r="K88" s="46"/>
      <c r="L88" s="46"/>
      <c r="M88" s="46">
        <v>2611000.0</v>
      </c>
      <c r="N88" s="46"/>
      <c r="O88" s="24">
        <f t="shared" si="5"/>
        <v>10936000</v>
      </c>
      <c r="P88" s="24">
        <f t="shared" si="6"/>
        <v>8325000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41" t="s">
        <v>98</v>
      </c>
      <c r="C89" s="13"/>
      <c r="D89" s="41" t="s">
        <v>99</v>
      </c>
      <c r="E89" s="12"/>
      <c r="F89" s="13"/>
      <c r="G89" s="42"/>
      <c r="H89" s="22"/>
      <c r="I89" s="22"/>
      <c r="J89" s="43">
        <f t="shared" ref="J89:K89" si="38">J90+J99</f>
        <v>6760000</v>
      </c>
      <c r="K89" s="43">
        <f t="shared" si="38"/>
        <v>0</v>
      </c>
      <c r="L89" s="43"/>
      <c r="M89" s="43">
        <f>M90+M99</f>
        <v>0</v>
      </c>
      <c r="N89" s="43"/>
      <c r="O89" s="24">
        <f t="shared" si="5"/>
        <v>6760000</v>
      </c>
      <c r="P89" s="24">
        <f t="shared" si="6"/>
        <v>6760000</v>
      </c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35" t="s">
        <v>100</v>
      </c>
      <c r="C90" s="13"/>
      <c r="D90" s="44" t="s">
        <v>101</v>
      </c>
      <c r="E90" s="12"/>
      <c r="F90" s="13"/>
      <c r="G90" s="45"/>
      <c r="H90" s="22"/>
      <c r="I90" s="22"/>
      <c r="J90" s="46">
        <f t="shared" ref="J90:K90" si="39">SUM(J92:J98)</f>
        <v>5600000</v>
      </c>
      <c r="K90" s="46">
        <f t="shared" si="39"/>
        <v>0</v>
      </c>
      <c r="L90" s="46"/>
      <c r="M90" s="46">
        <f>SUM(M92:M98)</f>
        <v>0</v>
      </c>
      <c r="N90" s="46"/>
      <c r="O90" s="24">
        <f t="shared" si="5"/>
        <v>5600000</v>
      </c>
      <c r="P90" s="24">
        <f t="shared" si="6"/>
        <v>5600000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2"/>
      <c r="C91" s="22"/>
      <c r="D91" s="35" t="s">
        <v>23</v>
      </c>
      <c r="E91" s="12"/>
      <c r="F91" s="13"/>
      <c r="G91" s="36"/>
      <c r="H91" s="22"/>
      <c r="I91" s="22"/>
      <c r="J91" s="22"/>
      <c r="K91" s="22"/>
      <c r="L91" s="22"/>
      <c r="M91" s="22"/>
      <c r="N91" s="22"/>
      <c r="O91" s="24">
        <f t="shared" si="5"/>
        <v>0</v>
      </c>
      <c r="P91" s="24">
        <f t="shared" si="6"/>
        <v>0</v>
      </c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2"/>
      <c r="C92" s="22"/>
      <c r="D92" s="47" t="s">
        <v>24</v>
      </c>
      <c r="E92" s="35" t="s">
        <v>102</v>
      </c>
      <c r="F92" s="13"/>
      <c r="G92" s="36">
        <v>2.0</v>
      </c>
      <c r="H92" s="36" t="s">
        <v>95</v>
      </c>
      <c r="I92" s="48">
        <v>350000.0</v>
      </c>
      <c r="J92" s="46">
        <f t="shared" ref="J92:J98" si="40">G92*I92</f>
        <v>700000</v>
      </c>
      <c r="K92" s="46"/>
      <c r="L92" s="46"/>
      <c r="M92" s="46"/>
      <c r="N92" s="46"/>
      <c r="O92" s="24">
        <f t="shared" si="5"/>
        <v>700000</v>
      </c>
      <c r="P92" s="24">
        <f t="shared" si="6"/>
        <v>700000</v>
      </c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2"/>
      <c r="C93" s="22"/>
      <c r="D93" s="47" t="s">
        <v>24</v>
      </c>
      <c r="E93" s="35" t="s">
        <v>103</v>
      </c>
      <c r="F93" s="13"/>
      <c r="G93" s="36">
        <v>2.0</v>
      </c>
      <c r="H93" s="36" t="s">
        <v>95</v>
      </c>
      <c r="I93" s="48">
        <v>225000.0</v>
      </c>
      <c r="J93" s="46">
        <f t="shared" si="40"/>
        <v>450000</v>
      </c>
      <c r="K93" s="46"/>
      <c r="L93" s="46"/>
      <c r="M93" s="46"/>
      <c r="N93" s="46"/>
      <c r="O93" s="24">
        <f t="shared" si="5"/>
        <v>450000</v>
      </c>
      <c r="P93" s="24">
        <f t="shared" si="6"/>
        <v>450000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2"/>
      <c r="C94" s="22"/>
      <c r="D94" s="47" t="s">
        <v>24</v>
      </c>
      <c r="E94" s="35" t="s">
        <v>104</v>
      </c>
      <c r="F94" s="13"/>
      <c r="G94" s="36">
        <v>2.0</v>
      </c>
      <c r="H94" s="36" t="s">
        <v>95</v>
      </c>
      <c r="I94" s="48">
        <v>450000.0</v>
      </c>
      <c r="J94" s="46">
        <f t="shared" si="40"/>
        <v>900000</v>
      </c>
      <c r="K94" s="46"/>
      <c r="L94" s="46"/>
      <c r="M94" s="46"/>
      <c r="N94" s="46"/>
      <c r="O94" s="24">
        <f t="shared" si="5"/>
        <v>900000</v>
      </c>
      <c r="P94" s="24">
        <f t="shared" si="6"/>
        <v>900000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2"/>
      <c r="C95" s="22"/>
      <c r="D95" s="47" t="s">
        <v>24</v>
      </c>
      <c r="E95" s="35" t="s">
        <v>105</v>
      </c>
      <c r="F95" s="13"/>
      <c r="G95" s="36">
        <v>2.0</v>
      </c>
      <c r="H95" s="36" t="s">
        <v>95</v>
      </c>
      <c r="I95" s="48">
        <v>250000.0</v>
      </c>
      <c r="J95" s="46">
        <f t="shared" si="40"/>
        <v>500000</v>
      </c>
      <c r="K95" s="46"/>
      <c r="L95" s="46"/>
      <c r="M95" s="46"/>
      <c r="N95" s="46"/>
      <c r="O95" s="24">
        <f t="shared" si="5"/>
        <v>500000</v>
      </c>
      <c r="P95" s="24">
        <f t="shared" si="6"/>
        <v>500000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2"/>
      <c r="C96" s="22"/>
      <c r="D96" s="47" t="s">
        <v>24</v>
      </c>
      <c r="E96" s="35" t="s">
        <v>106</v>
      </c>
      <c r="F96" s="13"/>
      <c r="G96" s="36">
        <v>2.0</v>
      </c>
      <c r="H96" s="36" t="s">
        <v>95</v>
      </c>
      <c r="I96" s="48">
        <v>100000.0</v>
      </c>
      <c r="J96" s="46">
        <f t="shared" si="40"/>
        <v>200000</v>
      </c>
      <c r="K96" s="46"/>
      <c r="L96" s="46"/>
      <c r="M96" s="46"/>
      <c r="N96" s="46"/>
      <c r="O96" s="24">
        <f t="shared" si="5"/>
        <v>200000</v>
      </c>
      <c r="P96" s="24">
        <f t="shared" si="6"/>
        <v>200000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2"/>
      <c r="C97" s="22"/>
      <c r="D97" s="47" t="s">
        <v>24</v>
      </c>
      <c r="E97" s="35" t="s">
        <v>107</v>
      </c>
      <c r="F97" s="13"/>
      <c r="G97" s="36">
        <v>2.0</v>
      </c>
      <c r="H97" s="36" t="s">
        <v>95</v>
      </c>
      <c r="I97" s="48">
        <v>725000.0</v>
      </c>
      <c r="J97" s="46">
        <f t="shared" si="40"/>
        <v>1450000</v>
      </c>
      <c r="K97" s="46"/>
      <c r="L97" s="46"/>
      <c r="M97" s="46"/>
      <c r="N97" s="46"/>
      <c r="O97" s="24">
        <f t="shared" si="5"/>
        <v>1450000</v>
      </c>
      <c r="P97" s="24">
        <f t="shared" si="6"/>
        <v>1450000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2"/>
      <c r="C98" s="22"/>
      <c r="D98" s="47" t="s">
        <v>24</v>
      </c>
      <c r="E98" s="35" t="s">
        <v>108</v>
      </c>
      <c r="F98" s="13"/>
      <c r="G98" s="36">
        <v>2.0</v>
      </c>
      <c r="H98" s="36" t="s">
        <v>95</v>
      </c>
      <c r="I98" s="48">
        <v>700000.0</v>
      </c>
      <c r="J98" s="46">
        <f t="shared" si="40"/>
        <v>1400000</v>
      </c>
      <c r="K98" s="46"/>
      <c r="L98" s="46"/>
      <c r="M98" s="46"/>
      <c r="N98" s="46"/>
      <c r="O98" s="24">
        <f t="shared" si="5"/>
        <v>1400000</v>
      </c>
      <c r="P98" s="24">
        <f t="shared" si="6"/>
        <v>1400000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35" t="s">
        <v>68</v>
      </c>
      <c r="C99" s="13"/>
      <c r="D99" s="44" t="s">
        <v>69</v>
      </c>
      <c r="E99" s="12"/>
      <c r="F99" s="13"/>
      <c r="G99" s="45"/>
      <c r="H99" s="22"/>
      <c r="I99" s="22"/>
      <c r="J99" s="46">
        <f t="shared" ref="J99:K99" si="41">SUM(J101:J104)</f>
        <v>1160000</v>
      </c>
      <c r="K99" s="46">
        <f t="shared" si="41"/>
        <v>0</v>
      </c>
      <c r="L99" s="46"/>
      <c r="M99" s="46">
        <f>SUM(M101:M104)</f>
        <v>0</v>
      </c>
      <c r="N99" s="46"/>
      <c r="O99" s="24">
        <f t="shared" si="5"/>
        <v>1160000</v>
      </c>
      <c r="P99" s="24">
        <f t="shared" si="6"/>
        <v>1160000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2"/>
      <c r="C100" s="22"/>
      <c r="D100" s="35" t="s">
        <v>23</v>
      </c>
      <c r="E100" s="12"/>
      <c r="F100" s="13"/>
      <c r="G100" s="36"/>
      <c r="H100" s="22"/>
      <c r="I100" s="22"/>
      <c r="J100" s="22"/>
      <c r="K100" s="22"/>
      <c r="L100" s="22"/>
      <c r="M100" s="22"/>
      <c r="N100" s="22"/>
      <c r="O100" s="24">
        <f t="shared" si="5"/>
        <v>0</v>
      </c>
      <c r="P100" s="24">
        <f t="shared" si="6"/>
        <v>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2"/>
      <c r="C101" s="22"/>
      <c r="D101" s="47" t="s">
        <v>24</v>
      </c>
      <c r="E101" s="35" t="s">
        <v>109</v>
      </c>
      <c r="F101" s="13"/>
      <c r="G101" s="36">
        <v>10.0</v>
      </c>
      <c r="H101" s="36" t="s">
        <v>95</v>
      </c>
      <c r="I101" s="48">
        <v>50000.0</v>
      </c>
      <c r="J101" s="46">
        <f t="shared" ref="J101:J104" si="42">G101*I101</f>
        <v>500000</v>
      </c>
      <c r="K101" s="46"/>
      <c r="L101" s="46"/>
      <c r="M101" s="46"/>
      <c r="N101" s="46"/>
      <c r="O101" s="24">
        <f t="shared" si="5"/>
        <v>500000</v>
      </c>
      <c r="P101" s="24">
        <f t="shared" si="6"/>
        <v>500000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2"/>
      <c r="C102" s="22"/>
      <c r="D102" s="47" t="s">
        <v>24</v>
      </c>
      <c r="E102" s="35" t="s">
        <v>110</v>
      </c>
      <c r="F102" s="13"/>
      <c r="G102" s="36">
        <v>2.0</v>
      </c>
      <c r="H102" s="36" t="s">
        <v>95</v>
      </c>
      <c r="I102" s="48">
        <v>100000.0</v>
      </c>
      <c r="J102" s="46">
        <f t="shared" si="42"/>
        <v>200000</v>
      </c>
      <c r="K102" s="46"/>
      <c r="L102" s="46"/>
      <c r="M102" s="46"/>
      <c r="N102" s="46"/>
      <c r="O102" s="24">
        <f t="shared" si="5"/>
        <v>200000</v>
      </c>
      <c r="P102" s="24">
        <f t="shared" si="6"/>
        <v>200000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2"/>
      <c r="C103" s="22"/>
      <c r="D103" s="47" t="s">
        <v>24</v>
      </c>
      <c r="E103" s="35" t="s">
        <v>111</v>
      </c>
      <c r="F103" s="13"/>
      <c r="G103" s="36">
        <v>2.0</v>
      </c>
      <c r="H103" s="36" t="s">
        <v>95</v>
      </c>
      <c r="I103" s="48">
        <v>200000.0</v>
      </c>
      <c r="J103" s="46">
        <f t="shared" si="42"/>
        <v>400000</v>
      </c>
      <c r="K103" s="46"/>
      <c r="L103" s="46"/>
      <c r="M103" s="46"/>
      <c r="N103" s="46"/>
      <c r="O103" s="24">
        <f t="shared" si="5"/>
        <v>400000</v>
      </c>
      <c r="P103" s="24">
        <f t="shared" si="6"/>
        <v>400000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2"/>
      <c r="C104" s="22"/>
      <c r="D104" s="47" t="s">
        <v>24</v>
      </c>
      <c r="E104" s="35" t="s">
        <v>112</v>
      </c>
      <c r="F104" s="13"/>
      <c r="G104" s="36">
        <v>2.0</v>
      </c>
      <c r="H104" s="36" t="s">
        <v>95</v>
      </c>
      <c r="I104" s="48">
        <v>30000.0</v>
      </c>
      <c r="J104" s="46">
        <f t="shared" si="42"/>
        <v>60000</v>
      </c>
      <c r="K104" s="46"/>
      <c r="L104" s="46"/>
      <c r="M104" s="46"/>
      <c r="N104" s="46"/>
      <c r="O104" s="24">
        <f t="shared" si="5"/>
        <v>60000</v>
      </c>
      <c r="P104" s="24">
        <f t="shared" si="6"/>
        <v>60000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41" t="s">
        <v>113</v>
      </c>
      <c r="C105" s="13"/>
      <c r="D105" s="41" t="s">
        <v>114</v>
      </c>
      <c r="E105" s="12"/>
      <c r="F105" s="13"/>
      <c r="G105" s="42"/>
      <c r="H105" s="22"/>
      <c r="I105" s="22"/>
      <c r="J105" s="43">
        <f t="shared" ref="J105:K105" si="43">J106</f>
        <v>205375000</v>
      </c>
      <c r="K105" s="43">
        <f t="shared" si="43"/>
        <v>0</v>
      </c>
      <c r="L105" s="43"/>
      <c r="M105" s="43">
        <f>M106</f>
        <v>74850400</v>
      </c>
      <c r="N105" s="43"/>
      <c r="O105" s="24">
        <f t="shared" si="5"/>
        <v>205375000</v>
      </c>
      <c r="P105" s="24">
        <f t="shared" si="6"/>
        <v>130524600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35" t="s">
        <v>68</v>
      </c>
      <c r="C106" s="13"/>
      <c r="D106" s="44" t="s">
        <v>69</v>
      </c>
      <c r="E106" s="12"/>
      <c r="F106" s="13"/>
      <c r="G106" s="45"/>
      <c r="H106" s="22"/>
      <c r="I106" s="22"/>
      <c r="J106" s="46">
        <f t="shared" ref="J106:K106" si="44">SUM(J108:J118)</f>
        <v>205375000</v>
      </c>
      <c r="K106" s="46">
        <f t="shared" si="44"/>
        <v>0</v>
      </c>
      <c r="L106" s="46"/>
      <c r="M106" s="46">
        <f>SUM(M108:M118)</f>
        <v>74850400</v>
      </c>
      <c r="N106" s="46"/>
      <c r="O106" s="24">
        <f t="shared" si="5"/>
        <v>205375000</v>
      </c>
      <c r="P106" s="24">
        <f t="shared" si="6"/>
        <v>130524600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2"/>
      <c r="C107" s="22"/>
      <c r="D107" s="35" t="s">
        <v>23</v>
      </c>
      <c r="E107" s="12"/>
      <c r="F107" s="13"/>
      <c r="G107" s="36"/>
      <c r="H107" s="22"/>
      <c r="I107" s="22"/>
      <c r="J107" s="22"/>
      <c r="K107" s="22"/>
      <c r="L107" s="22"/>
      <c r="M107" s="22"/>
      <c r="N107" s="22"/>
      <c r="O107" s="24">
        <f t="shared" si="5"/>
        <v>0</v>
      </c>
      <c r="P107" s="24">
        <f t="shared" si="6"/>
        <v>0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2"/>
      <c r="C108" s="22"/>
      <c r="D108" s="47" t="s">
        <v>24</v>
      </c>
      <c r="E108" s="35" t="s">
        <v>115</v>
      </c>
      <c r="F108" s="13"/>
      <c r="G108" s="36">
        <v>50.0</v>
      </c>
      <c r="H108" s="36" t="s">
        <v>95</v>
      </c>
      <c r="I108" s="48">
        <v>110000.0</v>
      </c>
      <c r="J108" s="46">
        <f t="shared" ref="J108:J118" si="45">G108*I108</f>
        <v>5500000</v>
      </c>
      <c r="K108" s="46"/>
      <c r="L108" s="46"/>
      <c r="M108" s="46"/>
      <c r="N108" s="46"/>
      <c r="O108" s="24">
        <f t="shared" si="5"/>
        <v>5500000</v>
      </c>
      <c r="P108" s="24">
        <f t="shared" si="6"/>
        <v>5500000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2"/>
      <c r="C109" s="22"/>
      <c r="D109" s="47" t="s">
        <v>24</v>
      </c>
      <c r="E109" s="35" t="s">
        <v>116</v>
      </c>
      <c r="F109" s="13"/>
      <c r="G109" s="36">
        <v>50.0</v>
      </c>
      <c r="H109" s="36" t="s">
        <v>95</v>
      </c>
      <c r="I109" s="48">
        <v>120000.0</v>
      </c>
      <c r="J109" s="46">
        <f t="shared" si="45"/>
        <v>6000000</v>
      </c>
      <c r="K109" s="46"/>
      <c r="L109" s="46"/>
      <c r="M109" s="46"/>
      <c r="N109" s="46"/>
      <c r="O109" s="24">
        <f t="shared" si="5"/>
        <v>6000000</v>
      </c>
      <c r="P109" s="24">
        <f t="shared" si="6"/>
        <v>6000000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2"/>
      <c r="C110" s="22"/>
      <c r="D110" s="47" t="s">
        <v>24</v>
      </c>
      <c r="E110" s="35" t="s">
        <v>117</v>
      </c>
      <c r="F110" s="13"/>
      <c r="G110" s="36">
        <v>50.0</v>
      </c>
      <c r="H110" s="36" t="s">
        <v>95</v>
      </c>
      <c r="I110" s="48">
        <v>150000.0</v>
      </c>
      <c r="J110" s="46">
        <f t="shared" si="45"/>
        <v>7500000</v>
      </c>
      <c r="K110" s="46"/>
      <c r="L110" s="46"/>
      <c r="M110" s="46"/>
      <c r="N110" s="46"/>
      <c r="O110" s="24">
        <f t="shared" si="5"/>
        <v>7500000</v>
      </c>
      <c r="P110" s="24">
        <f t="shared" si="6"/>
        <v>7500000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2"/>
      <c r="C111" s="22"/>
      <c r="D111" s="47" t="s">
        <v>24</v>
      </c>
      <c r="E111" s="35" t="s">
        <v>118</v>
      </c>
      <c r="F111" s="13"/>
      <c r="G111" s="36">
        <v>50.0</v>
      </c>
      <c r="H111" s="36" t="s">
        <v>95</v>
      </c>
      <c r="I111" s="48">
        <v>100000.0</v>
      </c>
      <c r="J111" s="46">
        <f t="shared" si="45"/>
        <v>5000000</v>
      </c>
      <c r="K111" s="46"/>
      <c r="L111" s="46"/>
      <c r="M111" s="46"/>
      <c r="N111" s="46"/>
      <c r="O111" s="24">
        <f t="shared" si="5"/>
        <v>5000000</v>
      </c>
      <c r="P111" s="24">
        <f t="shared" si="6"/>
        <v>5000000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2"/>
      <c r="C112" s="22"/>
      <c r="D112" s="47" t="s">
        <v>24</v>
      </c>
      <c r="E112" s="35" t="s">
        <v>119</v>
      </c>
      <c r="F112" s="13"/>
      <c r="G112" s="36">
        <v>50.0</v>
      </c>
      <c r="H112" s="36" t="s">
        <v>95</v>
      </c>
      <c r="I112" s="48">
        <v>350000.0</v>
      </c>
      <c r="J112" s="46">
        <f t="shared" si="45"/>
        <v>17500000</v>
      </c>
      <c r="K112" s="46"/>
      <c r="L112" s="46"/>
      <c r="M112" s="46"/>
      <c r="N112" s="46"/>
      <c r="O112" s="24">
        <f t="shared" si="5"/>
        <v>17500000</v>
      </c>
      <c r="P112" s="24">
        <f t="shared" si="6"/>
        <v>17500000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2"/>
      <c r="C113" s="22"/>
      <c r="D113" s="47" t="s">
        <v>24</v>
      </c>
      <c r="E113" s="35" t="s">
        <v>120</v>
      </c>
      <c r="F113" s="13"/>
      <c r="G113" s="36">
        <v>25.0</v>
      </c>
      <c r="H113" s="36" t="s">
        <v>95</v>
      </c>
      <c r="I113" s="48">
        <v>175000.0</v>
      </c>
      <c r="J113" s="46">
        <f t="shared" si="45"/>
        <v>4375000</v>
      </c>
      <c r="K113" s="46"/>
      <c r="L113" s="46"/>
      <c r="M113" s="46"/>
      <c r="N113" s="46"/>
      <c r="O113" s="24">
        <f t="shared" si="5"/>
        <v>4375000</v>
      </c>
      <c r="P113" s="24">
        <f t="shared" si="6"/>
        <v>4375000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2"/>
      <c r="C114" s="22"/>
      <c r="D114" s="47" t="s">
        <v>24</v>
      </c>
      <c r="E114" s="35" t="s">
        <v>121</v>
      </c>
      <c r="F114" s="13"/>
      <c r="G114" s="36">
        <v>175.0</v>
      </c>
      <c r="H114" s="36" t="s">
        <v>95</v>
      </c>
      <c r="I114" s="48">
        <v>150000.0</v>
      </c>
      <c r="J114" s="46">
        <f t="shared" si="45"/>
        <v>26250000</v>
      </c>
      <c r="K114" s="46"/>
      <c r="L114" s="46"/>
      <c r="M114" s="46"/>
      <c r="N114" s="46"/>
      <c r="O114" s="24">
        <f t="shared" si="5"/>
        <v>26250000</v>
      </c>
      <c r="P114" s="24">
        <f t="shared" si="6"/>
        <v>26250000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2"/>
      <c r="C115" s="22"/>
      <c r="D115" s="47" t="s">
        <v>24</v>
      </c>
      <c r="E115" s="35" t="s">
        <v>122</v>
      </c>
      <c r="F115" s="13"/>
      <c r="G115" s="36">
        <v>175.0</v>
      </c>
      <c r="H115" s="36" t="s">
        <v>95</v>
      </c>
      <c r="I115" s="48">
        <v>200000.0</v>
      </c>
      <c r="J115" s="46">
        <f t="shared" si="45"/>
        <v>35000000</v>
      </c>
      <c r="K115" s="46"/>
      <c r="L115" s="46"/>
      <c r="M115" s="46"/>
      <c r="N115" s="46"/>
      <c r="O115" s="24">
        <f t="shared" si="5"/>
        <v>35000000</v>
      </c>
      <c r="P115" s="24">
        <f t="shared" si="6"/>
        <v>35000000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22"/>
      <c r="C116" s="22"/>
      <c r="D116" s="47" t="s">
        <v>24</v>
      </c>
      <c r="E116" s="35" t="s">
        <v>123</v>
      </c>
      <c r="F116" s="13"/>
      <c r="G116" s="36">
        <v>300.0</v>
      </c>
      <c r="H116" s="36" t="s">
        <v>95</v>
      </c>
      <c r="I116" s="48">
        <v>250000.0</v>
      </c>
      <c r="J116" s="46">
        <f t="shared" si="45"/>
        <v>75000000</v>
      </c>
      <c r="K116" s="46"/>
      <c r="L116" s="46"/>
      <c r="M116" s="46">
        <v>7.45402E7</v>
      </c>
      <c r="N116" s="46"/>
      <c r="O116" s="24">
        <f t="shared" si="5"/>
        <v>75000000</v>
      </c>
      <c r="P116" s="24">
        <f t="shared" si="6"/>
        <v>459800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2"/>
      <c r="C117" s="22"/>
      <c r="D117" s="47" t="s">
        <v>24</v>
      </c>
      <c r="E117" s="35" t="s">
        <v>124</v>
      </c>
      <c r="F117" s="13"/>
      <c r="G117" s="36">
        <v>180.0</v>
      </c>
      <c r="H117" s="36" t="s">
        <v>95</v>
      </c>
      <c r="I117" s="48">
        <v>100000.0</v>
      </c>
      <c r="J117" s="46">
        <f t="shared" si="45"/>
        <v>18000000</v>
      </c>
      <c r="K117" s="46"/>
      <c r="L117" s="46"/>
      <c r="M117" s="46">
        <v>310200.0</v>
      </c>
      <c r="N117" s="46"/>
      <c r="O117" s="24">
        <f t="shared" si="5"/>
        <v>18000000</v>
      </c>
      <c r="P117" s="24">
        <f t="shared" si="6"/>
        <v>17689800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2"/>
      <c r="C118" s="22"/>
      <c r="D118" s="47" t="s">
        <v>24</v>
      </c>
      <c r="E118" s="35" t="s">
        <v>125</v>
      </c>
      <c r="F118" s="13"/>
      <c r="G118" s="36">
        <v>105.0</v>
      </c>
      <c r="H118" s="36" t="s">
        <v>95</v>
      </c>
      <c r="I118" s="48">
        <v>50000.0</v>
      </c>
      <c r="J118" s="46">
        <f t="shared" si="45"/>
        <v>5250000</v>
      </c>
      <c r="K118" s="46"/>
      <c r="L118" s="46"/>
      <c r="M118" s="46"/>
      <c r="N118" s="46"/>
      <c r="O118" s="24">
        <f t="shared" si="5"/>
        <v>5250000</v>
      </c>
      <c r="P118" s="24">
        <f t="shared" si="6"/>
        <v>5250000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41" t="s">
        <v>126</v>
      </c>
      <c r="C119" s="13"/>
      <c r="D119" s="41" t="s">
        <v>127</v>
      </c>
      <c r="E119" s="12"/>
      <c r="F119" s="13"/>
      <c r="G119" s="42"/>
      <c r="H119" s="22"/>
      <c r="I119" s="22"/>
      <c r="J119" s="43">
        <f t="shared" ref="J119:K119" si="46">J120</f>
        <v>190740000</v>
      </c>
      <c r="K119" s="43">
        <f t="shared" si="46"/>
        <v>0</v>
      </c>
      <c r="L119" s="43"/>
      <c r="M119" s="43">
        <f>M120</f>
        <v>0</v>
      </c>
      <c r="N119" s="43"/>
      <c r="O119" s="24">
        <f t="shared" si="5"/>
        <v>190740000</v>
      </c>
      <c r="P119" s="24">
        <f t="shared" si="6"/>
        <v>190740000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35" t="s">
        <v>68</v>
      </c>
      <c r="C120" s="13"/>
      <c r="D120" s="44" t="s">
        <v>69</v>
      </c>
      <c r="E120" s="12"/>
      <c r="F120" s="13"/>
      <c r="G120" s="45"/>
      <c r="H120" s="22"/>
      <c r="I120" s="22"/>
      <c r="J120" s="46">
        <f t="shared" ref="J120:K120" si="47">SUM(J122:J126)</f>
        <v>190740000</v>
      </c>
      <c r="K120" s="46">
        <f t="shared" si="47"/>
        <v>0</v>
      </c>
      <c r="L120" s="46"/>
      <c r="M120" s="46">
        <f>SUM(M122:M126)</f>
        <v>0</v>
      </c>
      <c r="N120" s="46"/>
      <c r="O120" s="24">
        <f t="shared" si="5"/>
        <v>190740000</v>
      </c>
      <c r="P120" s="24">
        <f t="shared" si="6"/>
        <v>190740000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2"/>
      <c r="C121" s="22"/>
      <c r="D121" s="35" t="s">
        <v>23</v>
      </c>
      <c r="E121" s="12"/>
      <c r="F121" s="13"/>
      <c r="G121" s="36"/>
      <c r="H121" s="22"/>
      <c r="I121" s="22"/>
      <c r="J121" s="22"/>
      <c r="K121" s="22"/>
      <c r="L121" s="22"/>
      <c r="M121" s="22"/>
      <c r="N121" s="22"/>
      <c r="O121" s="24">
        <f t="shared" si="5"/>
        <v>0</v>
      </c>
      <c r="P121" s="24">
        <f t="shared" si="6"/>
        <v>0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2"/>
      <c r="C122" s="22"/>
      <c r="D122" s="47" t="s">
        <v>24</v>
      </c>
      <c r="E122" s="35" t="s">
        <v>128</v>
      </c>
      <c r="F122" s="13"/>
      <c r="G122" s="36">
        <v>88.0</v>
      </c>
      <c r="H122" s="36" t="s">
        <v>129</v>
      </c>
      <c r="I122" s="48">
        <v>110000.0</v>
      </c>
      <c r="J122" s="46">
        <f t="shared" ref="J122:J126" si="48">G122*I122</f>
        <v>9680000</v>
      </c>
      <c r="K122" s="46"/>
      <c r="L122" s="46"/>
      <c r="M122" s="46"/>
      <c r="N122" s="46"/>
      <c r="O122" s="24">
        <f t="shared" si="5"/>
        <v>9680000</v>
      </c>
      <c r="P122" s="24">
        <f t="shared" si="6"/>
        <v>9680000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2"/>
      <c r="C123" s="22"/>
      <c r="D123" s="47" t="s">
        <v>24</v>
      </c>
      <c r="E123" s="35" t="s">
        <v>130</v>
      </c>
      <c r="F123" s="13"/>
      <c r="G123" s="36">
        <v>88.0</v>
      </c>
      <c r="H123" s="36" t="s">
        <v>129</v>
      </c>
      <c r="I123" s="48">
        <v>120000.0</v>
      </c>
      <c r="J123" s="46">
        <f t="shared" si="48"/>
        <v>10560000</v>
      </c>
      <c r="K123" s="46"/>
      <c r="L123" s="46"/>
      <c r="M123" s="46"/>
      <c r="N123" s="46"/>
      <c r="O123" s="24">
        <f t="shared" si="5"/>
        <v>10560000</v>
      </c>
      <c r="P123" s="24">
        <f t="shared" si="6"/>
        <v>10560000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22"/>
      <c r="C124" s="22"/>
      <c r="D124" s="47" t="s">
        <v>24</v>
      </c>
      <c r="E124" s="35" t="s">
        <v>131</v>
      </c>
      <c r="F124" s="13"/>
      <c r="G124" s="36">
        <v>88.0</v>
      </c>
      <c r="H124" s="36" t="s">
        <v>129</v>
      </c>
      <c r="I124" s="48">
        <v>350000.0</v>
      </c>
      <c r="J124" s="46">
        <f t="shared" si="48"/>
        <v>30800000</v>
      </c>
      <c r="K124" s="46"/>
      <c r="L124" s="46"/>
      <c r="M124" s="46"/>
      <c r="N124" s="46"/>
      <c r="O124" s="24">
        <f t="shared" si="5"/>
        <v>30800000</v>
      </c>
      <c r="P124" s="24">
        <f t="shared" si="6"/>
        <v>30800000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2"/>
      <c r="C125" s="22"/>
      <c r="D125" s="47" t="s">
        <v>24</v>
      </c>
      <c r="E125" s="35" t="s">
        <v>132</v>
      </c>
      <c r="F125" s="13"/>
      <c r="G125" s="36">
        <v>44.0</v>
      </c>
      <c r="H125" s="36" t="s">
        <v>129</v>
      </c>
      <c r="I125" s="48">
        <v>175000.0</v>
      </c>
      <c r="J125" s="46">
        <f t="shared" si="48"/>
        <v>7700000</v>
      </c>
      <c r="K125" s="46"/>
      <c r="L125" s="46"/>
      <c r="M125" s="46"/>
      <c r="N125" s="46"/>
      <c r="O125" s="24">
        <f t="shared" si="5"/>
        <v>7700000</v>
      </c>
      <c r="P125" s="24">
        <f t="shared" si="6"/>
        <v>7700000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22"/>
      <c r="C126" s="22"/>
      <c r="D126" s="47" t="s">
        <v>24</v>
      </c>
      <c r="E126" s="35" t="s">
        <v>133</v>
      </c>
      <c r="F126" s="13"/>
      <c r="G126" s="36">
        <v>528.0</v>
      </c>
      <c r="H126" s="36" t="s">
        <v>129</v>
      </c>
      <c r="I126" s="48">
        <v>250000.0</v>
      </c>
      <c r="J126" s="46">
        <f t="shared" si="48"/>
        <v>132000000</v>
      </c>
      <c r="K126" s="46"/>
      <c r="L126" s="46"/>
      <c r="M126" s="46"/>
      <c r="N126" s="46"/>
      <c r="O126" s="24">
        <f t="shared" si="5"/>
        <v>132000000</v>
      </c>
      <c r="P126" s="24">
        <f t="shared" si="6"/>
        <v>132000000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41" t="s">
        <v>134</v>
      </c>
      <c r="C127" s="13"/>
      <c r="D127" s="41" t="s">
        <v>135</v>
      </c>
      <c r="E127" s="12"/>
      <c r="F127" s="13"/>
      <c r="G127" s="42"/>
      <c r="H127" s="22"/>
      <c r="I127" s="22"/>
      <c r="J127" s="43">
        <f t="shared" ref="J127:K127" si="49">J128</f>
        <v>10370000</v>
      </c>
      <c r="K127" s="43">
        <f t="shared" si="49"/>
        <v>0</v>
      </c>
      <c r="L127" s="43"/>
      <c r="M127" s="43">
        <f>M128</f>
        <v>0</v>
      </c>
      <c r="N127" s="43"/>
      <c r="O127" s="24">
        <f t="shared" si="5"/>
        <v>10370000</v>
      </c>
      <c r="P127" s="24">
        <f t="shared" si="6"/>
        <v>10370000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35" t="s">
        <v>68</v>
      </c>
      <c r="C128" s="13"/>
      <c r="D128" s="44" t="s">
        <v>69</v>
      </c>
      <c r="E128" s="12"/>
      <c r="F128" s="13"/>
      <c r="G128" s="45"/>
      <c r="H128" s="22"/>
      <c r="I128" s="22"/>
      <c r="J128" s="46">
        <f t="shared" ref="J128:K128" si="50">SUM(J130:J134)</f>
        <v>10370000</v>
      </c>
      <c r="K128" s="46">
        <f t="shared" si="50"/>
        <v>0</v>
      </c>
      <c r="L128" s="46"/>
      <c r="M128" s="46">
        <f>SUM(M130:M134)</f>
        <v>0</v>
      </c>
      <c r="N128" s="46"/>
      <c r="O128" s="24">
        <f t="shared" si="5"/>
        <v>10370000</v>
      </c>
      <c r="P128" s="24">
        <f t="shared" si="6"/>
        <v>10370000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2"/>
      <c r="C129" s="22"/>
      <c r="D129" s="35" t="s">
        <v>23</v>
      </c>
      <c r="E129" s="12"/>
      <c r="F129" s="13"/>
      <c r="G129" s="36"/>
      <c r="H129" s="22"/>
      <c r="I129" s="22"/>
      <c r="J129" s="22"/>
      <c r="K129" s="22"/>
      <c r="L129" s="22"/>
      <c r="M129" s="22"/>
      <c r="N129" s="22"/>
      <c r="O129" s="24">
        <f t="shared" si="5"/>
        <v>0</v>
      </c>
      <c r="P129" s="24">
        <f t="shared" si="6"/>
        <v>0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2"/>
      <c r="C130" s="22"/>
      <c r="D130" s="47" t="s">
        <v>24</v>
      </c>
      <c r="E130" s="35" t="s">
        <v>136</v>
      </c>
      <c r="F130" s="13"/>
      <c r="G130" s="36">
        <v>75.0</v>
      </c>
      <c r="H130" s="36" t="s">
        <v>95</v>
      </c>
      <c r="I130" s="48">
        <v>75000.0</v>
      </c>
      <c r="J130" s="46">
        <f t="shared" ref="J130:J134" si="51">G130*I130</f>
        <v>5625000</v>
      </c>
      <c r="K130" s="46"/>
      <c r="L130" s="46"/>
      <c r="M130" s="46"/>
      <c r="N130" s="46"/>
      <c r="O130" s="24">
        <f t="shared" si="5"/>
        <v>5625000</v>
      </c>
      <c r="P130" s="24">
        <f t="shared" si="6"/>
        <v>5625000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22"/>
      <c r="C131" s="22"/>
      <c r="D131" s="47" t="s">
        <v>24</v>
      </c>
      <c r="E131" s="35" t="s">
        <v>137</v>
      </c>
      <c r="F131" s="13"/>
      <c r="G131" s="36">
        <v>2.0</v>
      </c>
      <c r="H131" s="36" t="s">
        <v>95</v>
      </c>
      <c r="I131" s="48">
        <v>360000.0</v>
      </c>
      <c r="J131" s="46">
        <f t="shared" si="51"/>
        <v>720000</v>
      </c>
      <c r="K131" s="46"/>
      <c r="L131" s="46"/>
      <c r="M131" s="46"/>
      <c r="N131" s="46"/>
      <c r="O131" s="24">
        <f t="shared" si="5"/>
        <v>720000</v>
      </c>
      <c r="P131" s="24">
        <f t="shared" si="6"/>
        <v>720000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22"/>
      <c r="C132" s="22"/>
      <c r="D132" s="47" t="s">
        <v>24</v>
      </c>
      <c r="E132" s="35" t="s">
        <v>138</v>
      </c>
      <c r="F132" s="13"/>
      <c r="G132" s="36">
        <v>25.0</v>
      </c>
      <c r="H132" s="36" t="s">
        <v>95</v>
      </c>
      <c r="I132" s="48">
        <v>93000.0</v>
      </c>
      <c r="J132" s="46">
        <f t="shared" si="51"/>
        <v>2325000</v>
      </c>
      <c r="K132" s="46"/>
      <c r="L132" s="46"/>
      <c r="M132" s="46"/>
      <c r="N132" s="46"/>
      <c r="O132" s="24">
        <f t="shared" si="5"/>
        <v>2325000</v>
      </c>
      <c r="P132" s="24">
        <f t="shared" si="6"/>
        <v>2325000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2"/>
      <c r="C133" s="22"/>
      <c r="D133" s="47" t="s">
        <v>24</v>
      </c>
      <c r="E133" s="35" t="s">
        <v>139</v>
      </c>
      <c r="F133" s="13"/>
      <c r="G133" s="36">
        <v>25.0</v>
      </c>
      <c r="H133" s="36" t="s">
        <v>95</v>
      </c>
      <c r="I133" s="48">
        <v>53000.0</v>
      </c>
      <c r="J133" s="46">
        <f t="shared" si="51"/>
        <v>1325000</v>
      </c>
      <c r="K133" s="46"/>
      <c r="L133" s="46"/>
      <c r="M133" s="46"/>
      <c r="N133" s="46"/>
      <c r="O133" s="24">
        <f t="shared" si="5"/>
        <v>1325000</v>
      </c>
      <c r="P133" s="24">
        <f t="shared" si="6"/>
        <v>1325000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2"/>
      <c r="C134" s="22"/>
      <c r="D134" s="47" t="s">
        <v>24</v>
      </c>
      <c r="E134" s="35" t="s">
        <v>140</v>
      </c>
      <c r="F134" s="13"/>
      <c r="G134" s="36">
        <v>25.0</v>
      </c>
      <c r="H134" s="36" t="s">
        <v>95</v>
      </c>
      <c r="I134" s="48">
        <v>15000.0</v>
      </c>
      <c r="J134" s="46">
        <f t="shared" si="51"/>
        <v>375000</v>
      </c>
      <c r="K134" s="46"/>
      <c r="L134" s="46"/>
      <c r="M134" s="46"/>
      <c r="N134" s="46"/>
      <c r="O134" s="24">
        <f t="shared" si="5"/>
        <v>375000</v>
      </c>
      <c r="P134" s="24">
        <f t="shared" si="6"/>
        <v>375000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41" t="s">
        <v>141</v>
      </c>
      <c r="C135" s="13"/>
      <c r="D135" s="41" t="s">
        <v>142</v>
      </c>
      <c r="E135" s="12"/>
      <c r="F135" s="13"/>
      <c r="G135" s="42"/>
      <c r="H135" s="22"/>
      <c r="I135" s="22"/>
      <c r="J135" s="43">
        <f t="shared" ref="J135:K135" si="52">J136</f>
        <v>76750000</v>
      </c>
      <c r="K135" s="43">
        <f t="shared" si="52"/>
        <v>0</v>
      </c>
      <c r="L135" s="43"/>
      <c r="M135" s="43">
        <f>M136</f>
        <v>0</v>
      </c>
      <c r="N135" s="43"/>
      <c r="O135" s="24">
        <f t="shared" si="5"/>
        <v>76750000</v>
      </c>
      <c r="P135" s="24">
        <f t="shared" si="6"/>
        <v>76750000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35" t="s">
        <v>68</v>
      </c>
      <c r="C136" s="13"/>
      <c r="D136" s="44" t="s">
        <v>69</v>
      </c>
      <c r="E136" s="12"/>
      <c r="F136" s="13"/>
      <c r="G136" s="45"/>
      <c r="H136" s="22"/>
      <c r="I136" s="22"/>
      <c r="J136" s="46">
        <f t="shared" ref="J136:K136" si="53">SUM(J138:J140)</f>
        <v>76750000</v>
      </c>
      <c r="K136" s="46">
        <f t="shared" si="53"/>
        <v>0</v>
      </c>
      <c r="L136" s="46"/>
      <c r="M136" s="46">
        <f>SUM(M138:M140)</f>
        <v>0</v>
      </c>
      <c r="N136" s="46"/>
      <c r="O136" s="24">
        <f t="shared" si="5"/>
        <v>76750000</v>
      </c>
      <c r="P136" s="24">
        <f t="shared" si="6"/>
        <v>76750000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2"/>
      <c r="C137" s="22"/>
      <c r="D137" s="35" t="s">
        <v>23</v>
      </c>
      <c r="E137" s="12"/>
      <c r="F137" s="13"/>
      <c r="G137" s="36"/>
      <c r="H137" s="22"/>
      <c r="I137" s="22"/>
      <c r="J137" s="22"/>
      <c r="K137" s="22"/>
      <c r="L137" s="22"/>
      <c r="M137" s="22"/>
      <c r="N137" s="22"/>
      <c r="O137" s="24">
        <f t="shared" si="5"/>
        <v>0</v>
      </c>
      <c r="P137" s="24">
        <f t="shared" si="6"/>
        <v>0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22"/>
      <c r="C138" s="22"/>
      <c r="D138" s="47" t="s">
        <v>24</v>
      </c>
      <c r="E138" s="35" t="s">
        <v>143</v>
      </c>
      <c r="F138" s="13"/>
      <c r="G138" s="36">
        <v>25.0</v>
      </c>
      <c r="H138" s="36" t="s">
        <v>95</v>
      </c>
      <c r="I138" s="48">
        <v>2000000.0</v>
      </c>
      <c r="J138" s="46">
        <f t="shared" ref="J138:J140" si="54">G138*I138</f>
        <v>50000000</v>
      </c>
      <c r="K138" s="46"/>
      <c r="L138" s="46"/>
      <c r="M138" s="46"/>
      <c r="N138" s="46"/>
      <c r="O138" s="24">
        <f t="shared" si="5"/>
        <v>50000000</v>
      </c>
      <c r="P138" s="24">
        <f t="shared" si="6"/>
        <v>50000000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22"/>
      <c r="C139" s="22"/>
      <c r="D139" s="47" t="s">
        <v>24</v>
      </c>
      <c r="E139" s="35" t="s">
        <v>144</v>
      </c>
      <c r="F139" s="13"/>
      <c r="G139" s="36">
        <v>25.0</v>
      </c>
      <c r="H139" s="36" t="s">
        <v>95</v>
      </c>
      <c r="I139" s="48">
        <v>750000.0</v>
      </c>
      <c r="J139" s="46">
        <f t="shared" si="54"/>
        <v>18750000</v>
      </c>
      <c r="K139" s="46"/>
      <c r="L139" s="46"/>
      <c r="M139" s="46"/>
      <c r="N139" s="46"/>
      <c r="O139" s="24">
        <f t="shared" si="5"/>
        <v>18750000</v>
      </c>
      <c r="P139" s="24">
        <f t="shared" si="6"/>
        <v>18750000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22"/>
      <c r="C140" s="22"/>
      <c r="D140" s="47" t="s">
        <v>24</v>
      </c>
      <c r="E140" s="35" t="s">
        <v>145</v>
      </c>
      <c r="F140" s="13"/>
      <c r="G140" s="36">
        <v>4.0</v>
      </c>
      <c r="H140" s="36" t="s">
        <v>95</v>
      </c>
      <c r="I140" s="48">
        <v>2000000.0</v>
      </c>
      <c r="J140" s="46">
        <f t="shared" si="54"/>
        <v>8000000</v>
      </c>
      <c r="K140" s="46"/>
      <c r="L140" s="46"/>
      <c r="M140" s="46"/>
      <c r="N140" s="46"/>
      <c r="O140" s="24">
        <f t="shared" si="5"/>
        <v>8000000</v>
      </c>
      <c r="P140" s="24">
        <f t="shared" si="6"/>
        <v>8000000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41" t="s">
        <v>146</v>
      </c>
      <c r="C141" s="13"/>
      <c r="D141" s="41" t="s">
        <v>147</v>
      </c>
      <c r="E141" s="12"/>
      <c r="F141" s="13"/>
      <c r="G141" s="42"/>
      <c r="H141" s="22"/>
      <c r="I141" s="22"/>
      <c r="J141" s="43">
        <f t="shared" ref="J141:K141" si="55">J142+J149</f>
        <v>182300000</v>
      </c>
      <c r="K141" s="43">
        <f t="shared" si="55"/>
        <v>3060000</v>
      </c>
      <c r="L141" s="43"/>
      <c r="M141" s="43">
        <f>M142+M149</f>
        <v>6810000</v>
      </c>
      <c r="N141" s="43"/>
      <c r="O141" s="24">
        <f t="shared" si="5"/>
        <v>179240000</v>
      </c>
      <c r="P141" s="24">
        <f t="shared" si="6"/>
        <v>175490000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35" t="s">
        <v>74</v>
      </c>
      <c r="C142" s="13"/>
      <c r="D142" s="44" t="s">
        <v>75</v>
      </c>
      <c r="E142" s="12"/>
      <c r="F142" s="13"/>
      <c r="G142" s="45"/>
      <c r="H142" s="22"/>
      <c r="I142" s="22"/>
      <c r="J142" s="46">
        <f t="shared" ref="J142:K142" si="56">SUM(J144:J148)</f>
        <v>158300000</v>
      </c>
      <c r="K142" s="46">
        <f t="shared" si="56"/>
        <v>0</v>
      </c>
      <c r="L142" s="46"/>
      <c r="M142" s="46">
        <f>SUM(M144:M148)</f>
        <v>0</v>
      </c>
      <c r="N142" s="46"/>
      <c r="O142" s="24">
        <f t="shared" si="5"/>
        <v>158300000</v>
      </c>
      <c r="P142" s="24">
        <f t="shared" si="6"/>
        <v>158300000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22"/>
      <c r="C143" s="22"/>
      <c r="D143" s="35" t="s">
        <v>23</v>
      </c>
      <c r="E143" s="12"/>
      <c r="F143" s="13"/>
      <c r="G143" s="36"/>
      <c r="H143" s="22"/>
      <c r="I143" s="22"/>
      <c r="J143" s="22"/>
      <c r="K143" s="22"/>
      <c r="L143" s="22"/>
      <c r="M143" s="22"/>
      <c r="N143" s="22"/>
      <c r="O143" s="24">
        <f t="shared" si="5"/>
        <v>0</v>
      </c>
      <c r="P143" s="24">
        <f t="shared" si="6"/>
        <v>0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2"/>
      <c r="C144" s="22"/>
      <c r="D144" s="47" t="s">
        <v>24</v>
      </c>
      <c r="E144" s="35" t="s">
        <v>148</v>
      </c>
      <c r="F144" s="13"/>
      <c r="G144" s="36">
        <v>75.0</v>
      </c>
      <c r="H144" s="36" t="s">
        <v>26</v>
      </c>
      <c r="I144" s="48">
        <v>430000.0</v>
      </c>
      <c r="J144" s="46">
        <f t="shared" ref="J144:J148" si="57">G144*I144</f>
        <v>32250000</v>
      </c>
      <c r="K144" s="46"/>
      <c r="L144" s="46"/>
      <c r="M144" s="46"/>
      <c r="N144" s="46"/>
      <c r="O144" s="24">
        <f t="shared" si="5"/>
        <v>32250000</v>
      </c>
      <c r="P144" s="24">
        <f t="shared" si="6"/>
        <v>32250000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22"/>
      <c r="C145" s="22"/>
      <c r="D145" s="47" t="s">
        <v>24</v>
      </c>
      <c r="E145" s="35" t="s">
        <v>149</v>
      </c>
      <c r="F145" s="13"/>
      <c r="G145" s="36">
        <v>50.0</v>
      </c>
      <c r="H145" s="36" t="s">
        <v>26</v>
      </c>
      <c r="I145" s="48">
        <v>891000.0</v>
      </c>
      <c r="J145" s="46">
        <f t="shared" si="57"/>
        <v>44550000</v>
      </c>
      <c r="K145" s="46"/>
      <c r="L145" s="46"/>
      <c r="M145" s="46"/>
      <c r="N145" s="46"/>
      <c r="O145" s="24">
        <f t="shared" si="5"/>
        <v>44550000</v>
      </c>
      <c r="P145" s="24">
        <f t="shared" si="6"/>
        <v>44550000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2"/>
      <c r="C146" s="22"/>
      <c r="D146" s="47" t="s">
        <v>24</v>
      </c>
      <c r="E146" s="35" t="s">
        <v>150</v>
      </c>
      <c r="F146" s="13"/>
      <c r="G146" s="36">
        <v>25.0</v>
      </c>
      <c r="H146" s="36" t="s">
        <v>26</v>
      </c>
      <c r="I146" s="48">
        <v>910000.0</v>
      </c>
      <c r="J146" s="46">
        <f t="shared" si="57"/>
        <v>22750000</v>
      </c>
      <c r="K146" s="46"/>
      <c r="L146" s="46"/>
      <c r="M146" s="46"/>
      <c r="N146" s="46"/>
      <c r="O146" s="24">
        <f t="shared" si="5"/>
        <v>22750000</v>
      </c>
      <c r="P146" s="24">
        <f t="shared" si="6"/>
        <v>22750000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22"/>
      <c r="C147" s="22"/>
      <c r="D147" s="47" t="s">
        <v>24</v>
      </c>
      <c r="E147" s="35" t="s">
        <v>151</v>
      </c>
      <c r="F147" s="13"/>
      <c r="G147" s="36">
        <v>50.0</v>
      </c>
      <c r="H147" s="36" t="s">
        <v>26</v>
      </c>
      <c r="I147" s="48">
        <v>500000.0</v>
      </c>
      <c r="J147" s="46">
        <f t="shared" si="57"/>
        <v>25000000</v>
      </c>
      <c r="K147" s="46"/>
      <c r="L147" s="46"/>
      <c r="M147" s="46"/>
      <c r="N147" s="46"/>
      <c r="O147" s="24">
        <f t="shared" si="5"/>
        <v>25000000</v>
      </c>
      <c r="P147" s="24">
        <f t="shared" si="6"/>
        <v>25000000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22"/>
      <c r="C148" s="22"/>
      <c r="D148" s="47" t="s">
        <v>24</v>
      </c>
      <c r="E148" s="35" t="s">
        <v>152</v>
      </c>
      <c r="F148" s="13"/>
      <c r="G148" s="36">
        <v>75.0</v>
      </c>
      <c r="H148" s="36" t="s">
        <v>26</v>
      </c>
      <c r="I148" s="48">
        <v>450000.0</v>
      </c>
      <c r="J148" s="46">
        <f t="shared" si="57"/>
        <v>33750000</v>
      </c>
      <c r="K148" s="46"/>
      <c r="L148" s="46"/>
      <c r="M148" s="46"/>
      <c r="N148" s="46"/>
      <c r="O148" s="24">
        <f t="shared" si="5"/>
        <v>33750000</v>
      </c>
      <c r="P148" s="24">
        <f t="shared" si="6"/>
        <v>33750000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35" t="s">
        <v>79</v>
      </c>
      <c r="C149" s="13"/>
      <c r="D149" s="44" t="s">
        <v>80</v>
      </c>
      <c r="E149" s="12"/>
      <c r="F149" s="13"/>
      <c r="G149" s="45"/>
      <c r="H149" s="22"/>
      <c r="I149" s="22"/>
      <c r="J149" s="46">
        <f t="shared" ref="J149:K149" si="58">J151</f>
        <v>24000000</v>
      </c>
      <c r="K149" s="46">
        <f t="shared" si="58"/>
        <v>3060000</v>
      </c>
      <c r="L149" s="46"/>
      <c r="M149" s="46">
        <f>M151</f>
        <v>6810000</v>
      </c>
      <c r="N149" s="46"/>
      <c r="O149" s="24">
        <f t="shared" si="5"/>
        <v>20940000</v>
      </c>
      <c r="P149" s="24">
        <f t="shared" si="6"/>
        <v>17190000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2"/>
      <c r="C150" s="22"/>
      <c r="D150" s="35" t="s">
        <v>23</v>
      </c>
      <c r="E150" s="12"/>
      <c r="F150" s="13"/>
      <c r="G150" s="36"/>
      <c r="H150" s="22"/>
      <c r="I150" s="22"/>
      <c r="J150" s="22"/>
      <c r="K150" s="22"/>
      <c r="L150" s="22"/>
      <c r="M150" s="22"/>
      <c r="N150" s="22"/>
      <c r="O150" s="24">
        <f t="shared" si="5"/>
        <v>0</v>
      </c>
      <c r="P150" s="24">
        <f t="shared" si="6"/>
        <v>0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2"/>
      <c r="C151" s="22"/>
      <c r="D151" s="47" t="s">
        <v>24</v>
      </c>
      <c r="E151" s="35" t="s">
        <v>153</v>
      </c>
      <c r="F151" s="13"/>
      <c r="G151" s="36">
        <v>160.0</v>
      </c>
      <c r="H151" s="36" t="s">
        <v>26</v>
      </c>
      <c r="I151" s="48">
        <v>150000.0</v>
      </c>
      <c r="J151" s="46">
        <f>G151*I151</f>
        <v>24000000</v>
      </c>
      <c r="K151" s="46">
        <v>3060000.0</v>
      </c>
      <c r="L151" s="46"/>
      <c r="M151" s="46">
        <v>6810000.0</v>
      </c>
      <c r="N151" s="46"/>
      <c r="O151" s="24">
        <f t="shared" si="5"/>
        <v>20940000</v>
      </c>
      <c r="P151" s="24">
        <f t="shared" si="6"/>
        <v>17190000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37" t="s">
        <v>154</v>
      </c>
      <c r="C152" s="13"/>
      <c r="D152" s="37" t="s">
        <v>155</v>
      </c>
      <c r="E152" s="12"/>
      <c r="F152" s="13"/>
      <c r="G152" s="38"/>
      <c r="H152" s="38"/>
      <c r="I152" s="39"/>
      <c r="J152" s="40">
        <f t="shared" ref="J152:K152" si="59">J153+J167+J179+J192+J209+J218+J228+J233+J249+J263+J271+J279+J285</f>
        <v>3064496000</v>
      </c>
      <c r="K152" s="40">
        <f t="shared" si="59"/>
        <v>53112000</v>
      </c>
      <c r="L152" s="40"/>
      <c r="M152" s="40">
        <f>M153+M167+M179+M192+M209+M218+M228+M233+M249+M263+M271+M279+M285</f>
        <v>137854831</v>
      </c>
      <c r="N152" s="40"/>
      <c r="O152" s="24">
        <f t="shared" si="5"/>
        <v>3011384000</v>
      </c>
      <c r="P152" s="24">
        <f t="shared" si="6"/>
        <v>2926641169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41" t="s">
        <v>20</v>
      </c>
      <c r="C153" s="13"/>
      <c r="D153" s="41" t="s">
        <v>21</v>
      </c>
      <c r="E153" s="12"/>
      <c r="F153" s="13"/>
      <c r="G153" s="42"/>
      <c r="H153" s="22"/>
      <c r="I153" s="22"/>
      <c r="J153" s="43">
        <f t="shared" ref="J153:K153" si="60">J154+J163</f>
        <v>142640000</v>
      </c>
      <c r="K153" s="43">
        <f t="shared" si="60"/>
        <v>0</v>
      </c>
      <c r="L153" s="43"/>
      <c r="M153" s="43">
        <f>M154+M163</f>
        <v>2143000</v>
      </c>
      <c r="N153" s="43"/>
      <c r="O153" s="24">
        <f t="shared" si="5"/>
        <v>142640000</v>
      </c>
      <c r="P153" s="24">
        <f t="shared" si="6"/>
        <v>140497000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35" t="s">
        <v>40</v>
      </c>
      <c r="C154" s="13"/>
      <c r="D154" s="44" t="s">
        <v>22</v>
      </c>
      <c r="E154" s="12"/>
      <c r="F154" s="13"/>
      <c r="G154" s="45"/>
      <c r="H154" s="22"/>
      <c r="I154" s="22"/>
      <c r="J154" s="46">
        <f t="shared" ref="J154:K154" si="61">SUM(J156:J162)</f>
        <v>130640000</v>
      </c>
      <c r="K154" s="46">
        <f t="shared" si="61"/>
        <v>0</v>
      </c>
      <c r="L154" s="46"/>
      <c r="M154" s="46">
        <f>SUM(M156:M162)</f>
        <v>2143000</v>
      </c>
      <c r="N154" s="46"/>
      <c r="O154" s="24">
        <f t="shared" si="5"/>
        <v>130640000</v>
      </c>
      <c r="P154" s="24">
        <f t="shared" si="6"/>
        <v>128497000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2"/>
      <c r="C155" s="22"/>
      <c r="D155" s="35" t="s">
        <v>23</v>
      </c>
      <c r="E155" s="12"/>
      <c r="F155" s="13"/>
      <c r="G155" s="36"/>
      <c r="H155" s="22"/>
      <c r="I155" s="22"/>
      <c r="J155" s="22"/>
      <c r="K155" s="22"/>
      <c r="L155" s="22"/>
      <c r="M155" s="22"/>
      <c r="N155" s="22"/>
      <c r="O155" s="24">
        <f t="shared" si="5"/>
        <v>0</v>
      </c>
      <c r="P155" s="24">
        <f t="shared" si="6"/>
        <v>0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2"/>
      <c r="C156" s="22"/>
      <c r="D156" s="47" t="s">
        <v>24</v>
      </c>
      <c r="E156" s="35" t="s">
        <v>156</v>
      </c>
      <c r="F156" s="13"/>
      <c r="G156" s="36">
        <v>24.0</v>
      </c>
      <c r="H156" s="36" t="s">
        <v>26</v>
      </c>
      <c r="I156" s="48">
        <v>500000.0</v>
      </c>
      <c r="J156" s="46">
        <f t="shared" ref="J156:J162" si="62">G156*I156</f>
        <v>12000000</v>
      </c>
      <c r="K156" s="46"/>
      <c r="L156" s="46"/>
      <c r="M156" s="46">
        <v>996000.0</v>
      </c>
      <c r="N156" s="46"/>
      <c r="O156" s="24">
        <f t="shared" si="5"/>
        <v>12000000</v>
      </c>
      <c r="P156" s="24">
        <f t="shared" si="6"/>
        <v>11004000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2"/>
      <c r="C157" s="22"/>
      <c r="D157" s="47" t="s">
        <v>24</v>
      </c>
      <c r="E157" s="35" t="s">
        <v>27</v>
      </c>
      <c r="F157" s="13"/>
      <c r="G157" s="36">
        <v>2.0</v>
      </c>
      <c r="H157" s="36" t="s">
        <v>26</v>
      </c>
      <c r="I157" s="48">
        <v>2000000.0</v>
      </c>
      <c r="J157" s="46">
        <f t="shared" si="62"/>
        <v>4000000</v>
      </c>
      <c r="K157" s="46"/>
      <c r="L157" s="46"/>
      <c r="M157" s="46"/>
      <c r="N157" s="46"/>
      <c r="O157" s="24">
        <f t="shared" si="5"/>
        <v>4000000</v>
      </c>
      <c r="P157" s="24">
        <f t="shared" si="6"/>
        <v>4000000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22"/>
      <c r="C158" s="22"/>
      <c r="D158" s="47" t="s">
        <v>24</v>
      </c>
      <c r="E158" s="35" t="s">
        <v>28</v>
      </c>
      <c r="F158" s="13"/>
      <c r="G158" s="36">
        <v>10.0</v>
      </c>
      <c r="H158" s="36" t="s">
        <v>26</v>
      </c>
      <c r="I158" s="48">
        <v>500000.0</v>
      </c>
      <c r="J158" s="46">
        <f t="shared" si="62"/>
        <v>5000000</v>
      </c>
      <c r="K158" s="46"/>
      <c r="L158" s="46"/>
      <c r="M158" s="46"/>
      <c r="N158" s="46"/>
      <c r="O158" s="24">
        <f t="shared" si="5"/>
        <v>5000000</v>
      </c>
      <c r="P158" s="24">
        <f t="shared" si="6"/>
        <v>5000000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2"/>
      <c r="C159" s="22"/>
      <c r="D159" s="47" t="s">
        <v>24</v>
      </c>
      <c r="E159" s="35" t="s">
        <v>157</v>
      </c>
      <c r="F159" s="13"/>
      <c r="G159" s="36">
        <v>200.0</v>
      </c>
      <c r="H159" s="36" t="s">
        <v>26</v>
      </c>
      <c r="I159" s="48">
        <v>25000.0</v>
      </c>
      <c r="J159" s="46">
        <f t="shared" si="62"/>
        <v>5000000</v>
      </c>
      <c r="K159" s="46"/>
      <c r="L159" s="46"/>
      <c r="M159" s="46"/>
      <c r="N159" s="46"/>
      <c r="O159" s="24">
        <f t="shared" si="5"/>
        <v>5000000</v>
      </c>
      <c r="P159" s="24">
        <f t="shared" si="6"/>
        <v>5000000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22"/>
      <c r="C160" s="22"/>
      <c r="D160" s="47" t="s">
        <v>24</v>
      </c>
      <c r="E160" s="35" t="s">
        <v>31</v>
      </c>
      <c r="F160" s="13"/>
      <c r="G160" s="36">
        <v>320.0</v>
      </c>
      <c r="H160" s="36" t="s">
        <v>26</v>
      </c>
      <c r="I160" s="48">
        <v>53000.0</v>
      </c>
      <c r="J160" s="46">
        <f t="shared" si="62"/>
        <v>16960000</v>
      </c>
      <c r="K160" s="46"/>
      <c r="L160" s="46"/>
      <c r="M160" s="46"/>
      <c r="N160" s="46"/>
      <c r="O160" s="24">
        <f t="shared" si="5"/>
        <v>16960000</v>
      </c>
      <c r="P160" s="24">
        <f t="shared" si="6"/>
        <v>16960000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22"/>
      <c r="C161" s="22"/>
      <c r="D161" s="47" t="s">
        <v>24</v>
      </c>
      <c r="E161" s="35" t="s">
        <v>32</v>
      </c>
      <c r="F161" s="13"/>
      <c r="G161" s="36">
        <v>320.0</v>
      </c>
      <c r="H161" s="36" t="s">
        <v>26</v>
      </c>
      <c r="I161" s="48">
        <v>24000.0</v>
      </c>
      <c r="J161" s="46">
        <f t="shared" si="62"/>
        <v>7680000</v>
      </c>
      <c r="K161" s="46"/>
      <c r="L161" s="46"/>
      <c r="M161" s="46"/>
      <c r="N161" s="46"/>
      <c r="O161" s="24">
        <f t="shared" si="5"/>
        <v>7680000</v>
      </c>
      <c r="P161" s="24">
        <f t="shared" si="6"/>
        <v>7680000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22"/>
      <c r="C162" s="22"/>
      <c r="D162" s="47" t="s">
        <v>24</v>
      </c>
      <c r="E162" s="35" t="s">
        <v>158</v>
      </c>
      <c r="F162" s="13"/>
      <c r="G162" s="36">
        <v>100.0</v>
      </c>
      <c r="H162" s="36" t="s">
        <v>26</v>
      </c>
      <c r="I162" s="48">
        <v>800000.0</v>
      </c>
      <c r="J162" s="46">
        <f t="shared" si="62"/>
        <v>80000000</v>
      </c>
      <c r="K162" s="46"/>
      <c r="L162" s="46"/>
      <c r="M162" s="46">
        <v>1147000.0</v>
      </c>
      <c r="N162" s="46"/>
      <c r="O162" s="24">
        <f t="shared" si="5"/>
        <v>80000000</v>
      </c>
      <c r="P162" s="24">
        <f t="shared" si="6"/>
        <v>78853000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35" t="s">
        <v>58</v>
      </c>
      <c r="C163" s="13"/>
      <c r="D163" s="44" t="s">
        <v>34</v>
      </c>
      <c r="E163" s="12"/>
      <c r="F163" s="13"/>
      <c r="G163" s="45"/>
      <c r="H163" s="22"/>
      <c r="I163" s="22"/>
      <c r="J163" s="46">
        <f t="shared" ref="J163:K163" si="63">SUM(J165:J166)</f>
        <v>12000000</v>
      </c>
      <c r="K163" s="46">
        <f t="shared" si="63"/>
        <v>0</v>
      </c>
      <c r="L163" s="46"/>
      <c r="M163" s="46">
        <f>SUM(M165:M166)</f>
        <v>0</v>
      </c>
      <c r="N163" s="46"/>
      <c r="O163" s="24">
        <f t="shared" si="5"/>
        <v>12000000</v>
      </c>
      <c r="P163" s="24">
        <f t="shared" si="6"/>
        <v>12000000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22"/>
      <c r="C164" s="22"/>
      <c r="D164" s="35" t="s">
        <v>23</v>
      </c>
      <c r="E164" s="12"/>
      <c r="F164" s="13"/>
      <c r="G164" s="36"/>
      <c r="H164" s="22"/>
      <c r="I164" s="22"/>
      <c r="J164" s="22"/>
      <c r="K164" s="22"/>
      <c r="L164" s="22"/>
      <c r="M164" s="22"/>
      <c r="N164" s="22"/>
      <c r="O164" s="24">
        <f t="shared" si="5"/>
        <v>0</v>
      </c>
      <c r="P164" s="24">
        <f t="shared" si="6"/>
        <v>0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2"/>
      <c r="C165" s="22"/>
      <c r="D165" s="47" t="s">
        <v>24</v>
      </c>
      <c r="E165" s="35" t="s">
        <v>159</v>
      </c>
      <c r="F165" s="13"/>
      <c r="G165" s="36">
        <v>16.0</v>
      </c>
      <c r="H165" s="36" t="s">
        <v>26</v>
      </c>
      <c r="I165" s="48">
        <v>500000.0</v>
      </c>
      <c r="J165" s="46">
        <f t="shared" ref="J165:J166" si="64">G165*I165</f>
        <v>8000000</v>
      </c>
      <c r="K165" s="46"/>
      <c r="L165" s="46"/>
      <c r="M165" s="46"/>
      <c r="N165" s="46"/>
      <c r="O165" s="24">
        <f t="shared" si="5"/>
        <v>8000000</v>
      </c>
      <c r="P165" s="24">
        <f t="shared" si="6"/>
        <v>8000000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2"/>
      <c r="C166" s="22"/>
      <c r="D166" s="47" t="s">
        <v>24</v>
      </c>
      <c r="E166" s="35" t="s">
        <v>36</v>
      </c>
      <c r="F166" s="13"/>
      <c r="G166" s="36">
        <v>8.0</v>
      </c>
      <c r="H166" s="36" t="s">
        <v>26</v>
      </c>
      <c r="I166" s="48">
        <v>500000.0</v>
      </c>
      <c r="J166" s="46">
        <f t="shared" si="64"/>
        <v>4000000</v>
      </c>
      <c r="K166" s="46"/>
      <c r="L166" s="46"/>
      <c r="M166" s="46"/>
      <c r="N166" s="46"/>
      <c r="O166" s="24">
        <f t="shared" si="5"/>
        <v>4000000</v>
      </c>
      <c r="P166" s="24">
        <f t="shared" si="6"/>
        <v>4000000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41" t="s">
        <v>37</v>
      </c>
      <c r="C167" s="13"/>
      <c r="D167" s="41" t="s">
        <v>38</v>
      </c>
      <c r="E167" s="12"/>
      <c r="F167" s="13"/>
      <c r="G167" s="42"/>
      <c r="H167" s="22"/>
      <c r="I167" s="22"/>
      <c r="J167" s="43">
        <f t="shared" ref="J167:K167" si="65">J168+J173+J176</f>
        <v>24400000</v>
      </c>
      <c r="K167" s="43">
        <f t="shared" si="65"/>
        <v>0</v>
      </c>
      <c r="L167" s="43"/>
      <c r="M167" s="43">
        <f>M168+M173+M176</f>
        <v>0</v>
      </c>
      <c r="N167" s="43"/>
      <c r="O167" s="24">
        <f t="shared" si="5"/>
        <v>24400000</v>
      </c>
      <c r="P167" s="24">
        <f t="shared" si="6"/>
        <v>24400000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35" t="s">
        <v>40</v>
      </c>
      <c r="C168" s="13"/>
      <c r="D168" s="44" t="s">
        <v>22</v>
      </c>
      <c r="E168" s="12"/>
      <c r="F168" s="13"/>
      <c r="G168" s="45"/>
      <c r="H168" s="22"/>
      <c r="I168" s="22"/>
      <c r="J168" s="46">
        <f t="shared" ref="J168:K168" si="66">SUM(J170:J172)</f>
        <v>6400000</v>
      </c>
      <c r="K168" s="46">
        <f t="shared" si="66"/>
        <v>0</v>
      </c>
      <c r="L168" s="46"/>
      <c r="M168" s="46">
        <f>SUM(M170:M172)</f>
        <v>0</v>
      </c>
      <c r="N168" s="46"/>
      <c r="O168" s="24">
        <f t="shared" si="5"/>
        <v>6400000</v>
      </c>
      <c r="P168" s="24">
        <f t="shared" si="6"/>
        <v>6400000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2"/>
      <c r="C169" s="22"/>
      <c r="D169" s="35" t="s">
        <v>23</v>
      </c>
      <c r="E169" s="12"/>
      <c r="F169" s="13"/>
      <c r="G169" s="36"/>
      <c r="H169" s="22"/>
      <c r="I169" s="22"/>
      <c r="J169" s="22"/>
      <c r="K169" s="22"/>
      <c r="L169" s="22"/>
      <c r="M169" s="22"/>
      <c r="N169" s="22"/>
      <c r="O169" s="24">
        <f t="shared" si="5"/>
        <v>0</v>
      </c>
      <c r="P169" s="24">
        <f t="shared" si="6"/>
        <v>0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2"/>
      <c r="C170" s="22"/>
      <c r="D170" s="47" t="s">
        <v>24</v>
      </c>
      <c r="E170" s="35" t="s">
        <v>160</v>
      </c>
      <c r="F170" s="13"/>
      <c r="G170" s="36">
        <v>100.0</v>
      </c>
      <c r="H170" s="36" t="s">
        <v>26</v>
      </c>
      <c r="I170" s="48">
        <v>53000.0</v>
      </c>
      <c r="J170" s="46">
        <f t="shared" ref="J170:J172" si="67">G170*I170</f>
        <v>5300000</v>
      </c>
      <c r="K170" s="46"/>
      <c r="L170" s="46"/>
      <c r="M170" s="46"/>
      <c r="N170" s="46"/>
      <c r="O170" s="24">
        <f t="shared" si="5"/>
        <v>5300000</v>
      </c>
      <c r="P170" s="24">
        <f t="shared" si="6"/>
        <v>5300000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22"/>
      <c r="C171" s="22"/>
      <c r="D171" s="47" t="s">
        <v>24</v>
      </c>
      <c r="E171" s="35" t="s">
        <v>42</v>
      </c>
      <c r="F171" s="13"/>
      <c r="G171" s="36">
        <v>2.0</v>
      </c>
      <c r="H171" s="36" t="s">
        <v>26</v>
      </c>
      <c r="I171" s="48">
        <v>250000.0</v>
      </c>
      <c r="J171" s="46">
        <f t="shared" si="67"/>
        <v>500000</v>
      </c>
      <c r="K171" s="46"/>
      <c r="L171" s="46"/>
      <c r="M171" s="46"/>
      <c r="N171" s="46"/>
      <c r="O171" s="24">
        <f t="shared" si="5"/>
        <v>500000</v>
      </c>
      <c r="P171" s="24">
        <f t="shared" si="6"/>
        <v>500000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2"/>
      <c r="C172" s="22"/>
      <c r="D172" s="47" t="s">
        <v>24</v>
      </c>
      <c r="E172" s="35" t="s">
        <v>43</v>
      </c>
      <c r="F172" s="13"/>
      <c r="G172" s="36">
        <v>2.0</v>
      </c>
      <c r="H172" s="36" t="s">
        <v>26</v>
      </c>
      <c r="I172" s="48">
        <v>300000.0</v>
      </c>
      <c r="J172" s="46">
        <f t="shared" si="67"/>
        <v>600000</v>
      </c>
      <c r="K172" s="46"/>
      <c r="L172" s="46"/>
      <c r="M172" s="46"/>
      <c r="N172" s="46"/>
      <c r="O172" s="24">
        <f t="shared" si="5"/>
        <v>600000</v>
      </c>
      <c r="P172" s="24">
        <f t="shared" si="6"/>
        <v>600000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35" t="s">
        <v>44</v>
      </c>
      <c r="C173" s="13"/>
      <c r="D173" s="44" t="s">
        <v>45</v>
      </c>
      <c r="E173" s="12"/>
      <c r="F173" s="13"/>
      <c r="G173" s="45"/>
      <c r="H173" s="22"/>
      <c r="I173" s="22"/>
      <c r="J173" s="46">
        <f t="shared" ref="J173:K173" si="68">J175</f>
        <v>2000000</v>
      </c>
      <c r="K173" s="46" t="str">
        <f t="shared" si="68"/>
        <v/>
      </c>
      <c r="L173" s="46"/>
      <c r="M173" s="46" t="str">
        <f>M175</f>
        <v/>
      </c>
      <c r="N173" s="46"/>
      <c r="O173" s="24">
        <f t="shared" si="5"/>
        <v>2000000</v>
      </c>
      <c r="P173" s="24">
        <f t="shared" si="6"/>
        <v>2000000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22"/>
      <c r="C174" s="22"/>
      <c r="D174" s="35" t="s">
        <v>23</v>
      </c>
      <c r="E174" s="12"/>
      <c r="F174" s="13"/>
      <c r="G174" s="36"/>
      <c r="H174" s="22"/>
      <c r="I174" s="22"/>
      <c r="J174" s="22"/>
      <c r="K174" s="22"/>
      <c r="L174" s="22"/>
      <c r="M174" s="22"/>
      <c r="N174" s="22"/>
      <c r="O174" s="24">
        <f t="shared" si="5"/>
        <v>0</v>
      </c>
      <c r="P174" s="24">
        <f t="shared" si="6"/>
        <v>0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2"/>
      <c r="C175" s="22"/>
      <c r="D175" s="47" t="s">
        <v>24</v>
      </c>
      <c r="E175" s="35" t="s">
        <v>161</v>
      </c>
      <c r="F175" s="13"/>
      <c r="G175" s="36">
        <v>4.0</v>
      </c>
      <c r="H175" s="36" t="s">
        <v>26</v>
      </c>
      <c r="I175" s="48">
        <v>500000.0</v>
      </c>
      <c r="J175" s="46">
        <f>G175*I175</f>
        <v>2000000</v>
      </c>
      <c r="K175" s="46"/>
      <c r="L175" s="46"/>
      <c r="M175" s="46"/>
      <c r="N175" s="46"/>
      <c r="O175" s="24">
        <f t="shared" si="5"/>
        <v>2000000</v>
      </c>
      <c r="P175" s="24">
        <f t="shared" si="6"/>
        <v>2000000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35" t="s">
        <v>47</v>
      </c>
      <c r="C176" s="13"/>
      <c r="D176" s="44" t="s">
        <v>48</v>
      </c>
      <c r="E176" s="12"/>
      <c r="F176" s="13"/>
      <c r="G176" s="45"/>
      <c r="H176" s="22"/>
      <c r="I176" s="22"/>
      <c r="J176" s="46">
        <f t="shared" ref="J176:K176" si="69">J178</f>
        <v>16000000</v>
      </c>
      <c r="K176" s="46" t="str">
        <f t="shared" si="69"/>
        <v/>
      </c>
      <c r="L176" s="46"/>
      <c r="M176" s="46" t="str">
        <f>M178</f>
        <v/>
      </c>
      <c r="N176" s="46"/>
      <c r="O176" s="24">
        <f t="shared" si="5"/>
        <v>16000000</v>
      </c>
      <c r="P176" s="24">
        <f t="shared" si="6"/>
        <v>16000000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2"/>
      <c r="C177" s="22"/>
      <c r="D177" s="35" t="s">
        <v>23</v>
      </c>
      <c r="E177" s="12"/>
      <c r="F177" s="13"/>
      <c r="G177" s="36"/>
      <c r="H177" s="22"/>
      <c r="I177" s="22"/>
      <c r="J177" s="22"/>
      <c r="K177" s="22"/>
      <c r="L177" s="22"/>
      <c r="M177" s="22"/>
      <c r="N177" s="22"/>
      <c r="O177" s="24">
        <f t="shared" si="5"/>
        <v>0</v>
      </c>
      <c r="P177" s="24">
        <f t="shared" si="6"/>
        <v>0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22"/>
      <c r="C178" s="22"/>
      <c r="D178" s="47" t="s">
        <v>24</v>
      </c>
      <c r="E178" s="35" t="s">
        <v>162</v>
      </c>
      <c r="F178" s="13"/>
      <c r="G178" s="36">
        <v>4.0</v>
      </c>
      <c r="H178" s="36" t="s">
        <v>26</v>
      </c>
      <c r="I178" s="48">
        <v>4000000.0</v>
      </c>
      <c r="J178" s="46">
        <f>G178*I178</f>
        <v>16000000</v>
      </c>
      <c r="K178" s="46"/>
      <c r="L178" s="46"/>
      <c r="M178" s="46"/>
      <c r="N178" s="46"/>
      <c r="O178" s="24">
        <f t="shared" si="5"/>
        <v>16000000</v>
      </c>
      <c r="P178" s="24">
        <f t="shared" si="6"/>
        <v>16000000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41" t="s">
        <v>50</v>
      </c>
      <c r="C179" s="13"/>
      <c r="D179" s="41" t="s">
        <v>51</v>
      </c>
      <c r="E179" s="12"/>
      <c r="F179" s="13"/>
      <c r="G179" s="42"/>
      <c r="H179" s="22"/>
      <c r="I179" s="22"/>
      <c r="J179" s="43">
        <f t="shared" ref="J179:K179" si="70">J180+J186+J189</f>
        <v>56050000</v>
      </c>
      <c r="K179" s="43">
        <f t="shared" si="70"/>
        <v>0</v>
      </c>
      <c r="L179" s="43"/>
      <c r="M179" s="43">
        <f>M180+M186+M189</f>
        <v>0</v>
      </c>
      <c r="N179" s="43"/>
      <c r="O179" s="24">
        <f t="shared" si="5"/>
        <v>56050000</v>
      </c>
      <c r="P179" s="24">
        <f t="shared" si="6"/>
        <v>56050000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35" t="s">
        <v>40</v>
      </c>
      <c r="C180" s="13"/>
      <c r="D180" s="44" t="s">
        <v>22</v>
      </c>
      <c r="E180" s="12"/>
      <c r="F180" s="13"/>
      <c r="G180" s="45"/>
      <c r="H180" s="22"/>
      <c r="I180" s="22"/>
      <c r="J180" s="46">
        <f t="shared" ref="J180:K180" si="71">SUM(J182:J185)</f>
        <v>38050000</v>
      </c>
      <c r="K180" s="46">
        <f t="shared" si="71"/>
        <v>0</v>
      </c>
      <c r="L180" s="46"/>
      <c r="M180" s="46">
        <f>SUM(M182:M185)</f>
        <v>0</v>
      </c>
      <c r="N180" s="46"/>
      <c r="O180" s="24">
        <f t="shared" si="5"/>
        <v>38050000</v>
      </c>
      <c r="P180" s="24">
        <f t="shared" si="6"/>
        <v>38050000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2"/>
      <c r="C181" s="22"/>
      <c r="D181" s="35" t="s">
        <v>23</v>
      </c>
      <c r="E181" s="12"/>
      <c r="F181" s="13"/>
      <c r="G181" s="36"/>
      <c r="H181" s="22"/>
      <c r="I181" s="22"/>
      <c r="J181" s="22"/>
      <c r="K181" s="22"/>
      <c r="L181" s="22"/>
      <c r="M181" s="22"/>
      <c r="N181" s="22"/>
      <c r="O181" s="24">
        <f t="shared" si="5"/>
        <v>0</v>
      </c>
      <c r="P181" s="24">
        <f t="shared" si="6"/>
        <v>0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2"/>
      <c r="C182" s="22"/>
      <c r="D182" s="47" t="s">
        <v>24</v>
      </c>
      <c r="E182" s="35" t="s">
        <v>163</v>
      </c>
      <c r="F182" s="13"/>
      <c r="G182" s="36">
        <v>100.0</v>
      </c>
      <c r="H182" s="36" t="s">
        <v>26</v>
      </c>
      <c r="I182" s="48">
        <v>53000.0</v>
      </c>
      <c r="J182" s="46">
        <f t="shared" ref="J182:J185" si="72">G182*I182</f>
        <v>5300000</v>
      </c>
      <c r="K182" s="46"/>
      <c r="L182" s="46"/>
      <c r="M182" s="46"/>
      <c r="N182" s="46"/>
      <c r="O182" s="24">
        <f t="shared" si="5"/>
        <v>5300000</v>
      </c>
      <c r="P182" s="24">
        <f t="shared" si="6"/>
        <v>5300000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22"/>
      <c r="C183" s="22"/>
      <c r="D183" s="47" t="s">
        <v>24</v>
      </c>
      <c r="E183" s="35" t="s">
        <v>53</v>
      </c>
      <c r="F183" s="13"/>
      <c r="G183" s="36">
        <v>5.0</v>
      </c>
      <c r="H183" s="36" t="s">
        <v>26</v>
      </c>
      <c r="I183" s="48">
        <v>500000.0</v>
      </c>
      <c r="J183" s="46">
        <f t="shared" si="72"/>
        <v>2500000</v>
      </c>
      <c r="K183" s="46"/>
      <c r="L183" s="46"/>
      <c r="M183" s="46"/>
      <c r="N183" s="46"/>
      <c r="O183" s="24">
        <f t="shared" si="5"/>
        <v>2500000</v>
      </c>
      <c r="P183" s="24">
        <f t="shared" si="6"/>
        <v>2500000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22"/>
      <c r="C184" s="22"/>
      <c r="D184" s="47" t="s">
        <v>24</v>
      </c>
      <c r="E184" s="35" t="s">
        <v>54</v>
      </c>
      <c r="F184" s="13"/>
      <c r="G184" s="36">
        <v>1.0</v>
      </c>
      <c r="H184" s="36" t="s">
        <v>55</v>
      </c>
      <c r="I184" s="48">
        <v>250000.0</v>
      </c>
      <c r="J184" s="46">
        <f t="shared" si="72"/>
        <v>250000</v>
      </c>
      <c r="K184" s="46"/>
      <c r="L184" s="46"/>
      <c r="M184" s="46"/>
      <c r="N184" s="46"/>
      <c r="O184" s="24">
        <f t="shared" si="5"/>
        <v>250000</v>
      </c>
      <c r="P184" s="24">
        <f t="shared" si="6"/>
        <v>250000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2"/>
      <c r="C185" s="22"/>
      <c r="D185" s="47" t="s">
        <v>24</v>
      </c>
      <c r="E185" s="35" t="s">
        <v>164</v>
      </c>
      <c r="F185" s="13"/>
      <c r="G185" s="36">
        <v>100.0</v>
      </c>
      <c r="H185" s="36" t="s">
        <v>26</v>
      </c>
      <c r="I185" s="48">
        <v>300000.0</v>
      </c>
      <c r="J185" s="46">
        <f t="shared" si="72"/>
        <v>30000000</v>
      </c>
      <c r="K185" s="46"/>
      <c r="L185" s="46"/>
      <c r="M185" s="46"/>
      <c r="N185" s="46"/>
      <c r="O185" s="24">
        <f t="shared" si="5"/>
        <v>30000000</v>
      </c>
      <c r="P185" s="24">
        <f t="shared" si="6"/>
        <v>30000000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35" t="s">
        <v>47</v>
      </c>
      <c r="C186" s="13"/>
      <c r="D186" s="44" t="s">
        <v>48</v>
      </c>
      <c r="E186" s="12"/>
      <c r="F186" s="13"/>
      <c r="G186" s="45"/>
      <c r="H186" s="22"/>
      <c r="I186" s="22"/>
      <c r="J186" s="46">
        <f t="shared" ref="J186:K186" si="73">J188</f>
        <v>16000000</v>
      </c>
      <c r="K186" s="46" t="str">
        <f t="shared" si="73"/>
        <v/>
      </c>
      <c r="L186" s="46"/>
      <c r="M186" s="46" t="str">
        <f>M188</f>
        <v/>
      </c>
      <c r="N186" s="46"/>
      <c r="O186" s="24">
        <f t="shared" si="5"/>
        <v>16000000</v>
      </c>
      <c r="P186" s="24">
        <f t="shared" si="6"/>
        <v>16000000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2"/>
      <c r="C187" s="22"/>
      <c r="D187" s="35" t="s">
        <v>23</v>
      </c>
      <c r="E187" s="12"/>
      <c r="F187" s="13"/>
      <c r="G187" s="36"/>
      <c r="H187" s="22"/>
      <c r="I187" s="22"/>
      <c r="J187" s="22"/>
      <c r="K187" s="22"/>
      <c r="L187" s="22"/>
      <c r="M187" s="22"/>
      <c r="N187" s="22"/>
      <c r="O187" s="24">
        <f t="shared" si="5"/>
        <v>0</v>
      </c>
      <c r="P187" s="24">
        <f t="shared" si="6"/>
        <v>0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2"/>
      <c r="C188" s="22"/>
      <c r="D188" s="47" t="s">
        <v>24</v>
      </c>
      <c r="E188" s="35" t="s">
        <v>165</v>
      </c>
      <c r="F188" s="13"/>
      <c r="G188" s="36">
        <v>4.0</v>
      </c>
      <c r="H188" s="36" t="s">
        <v>26</v>
      </c>
      <c r="I188" s="48">
        <v>4000000.0</v>
      </c>
      <c r="J188" s="46">
        <f>G188*I188</f>
        <v>16000000</v>
      </c>
      <c r="K188" s="46"/>
      <c r="L188" s="46"/>
      <c r="M188" s="46"/>
      <c r="N188" s="46"/>
      <c r="O188" s="24">
        <f t="shared" si="5"/>
        <v>16000000</v>
      </c>
      <c r="P188" s="24">
        <f t="shared" si="6"/>
        <v>16000000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35" t="s">
        <v>58</v>
      </c>
      <c r="C189" s="13"/>
      <c r="D189" s="44" t="s">
        <v>34</v>
      </c>
      <c r="E189" s="12"/>
      <c r="F189" s="13"/>
      <c r="G189" s="45"/>
      <c r="H189" s="22"/>
      <c r="I189" s="22"/>
      <c r="J189" s="46">
        <f t="shared" ref="J189:K189" si="74">J191</f>
        <v>2000000</v>
      </c>
      <c r="K189" s="46" t="str">
        <f t="shared" si="74"/>
        <v/>
      </c>
      <c r="L189" s="46"/>
      <c r="M189" s="46" t="str">
        <f>M191</f>
        <v/>
      </c>
      <c r="N189" s="46"/>
      <c r="O189" s="24">
        <f t="shared" si="5"/>
        <v>2000000</v>
      </c>
      <c r="P189" s="24">
        <f t="shared" si="6"/>
        <v>2000000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2"/>
      <c r="C190" s="22"/>
      <c r="D190" s="35" t="s">
        <v>23</v>
      </c>
      <c r="E190" s="12"/>
      <c r="F190" s="13"/>
      <c r="G190" s="36"/>
      <c r="H190" s="22"/>
      <c r="I190" s="22"/>
      <c r="J190" s="22"/>
      <c r="K190" s="22"/>
      <c r="L190" s="22"/>
      <c r="M190" s="22"/>
      <c r="N190" s="22"/>
      <c r="O190" s="24">
        <f t="shared" si="5"/>
        <v>0</v>
      </c>
      <c r="P190" s="24">
        <f t="shared" si="6"/>
        <v>0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2"/>
      <c r="C191" s="22"/>
      <c r="D191" s="47" t="s">
        <v>24</v>
      </c>
      <c r="E191" s="35" t="s">
        <v>59</v>
      </c>
      <c r="F191" s="13"/>
      <c r="G191" s="36">
        <v>4.0</v>
      </c>
      <c r="H191" s="36" t="s">
        <v>26</v>
      </c>
      <c r="I191" s="48">
        <v>500000.0</v>
      </c>
      <c r="J191" s="46">
        <f>G191*I191</f>
        <v>2000000</v>
      </c>
      <c r="K191" s="46"/>
      <c r="L191" s="46"/>
      <c r="M191" s="46"/>
      <c r="N191" s="46"/>
      <c r="O191" s="24">
        <f t="shared" si="5"/>
        <v>2000000</v>
      </c>
      <c r="P191" s="24">
        <f t="shared" si="6"/>
        <v>2000000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41" t="s">
        <v>60</v>
      </c>
      <c r="C192" s="13"/>
      <c r="D192" s="41" t="s">
        <v>61</v>
      </c>
      <c r="E192" s="12"/>
      <c r="F192" s="13"/>
      <c r="G192" s="42"/>
      <c r="H192" s="22"/>
      <c r="I192" s="22"/>
      <c r="J192" s="43">
        <f t="shared" ref="J192:K192" si="75">J193+J196+J200+J203+J206</f>
        <v>220800000</v>
      </c>
      <c r="K192" s="43">
        <f t="shared" si="75"/>
        <v>0</v>
      </c>
      <c r="L192" s="43"/>
      <c r="M192" s="43">
        <f>M193+M196+M200+M203+M206</f>
        <v>5268500</v>
      </c>
      <c r="N192" s="43"/>
      <c r="O192" s="24">
        <f t="shared" si="5"/>
        <v>220800000</v>
      </c>
      <c r="P192" s="24">
        <f t="shared" si="6"/>
        <v>215531500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35" t="s">
        <v>40</v>
      </c>
      <c r="C193" s="13"/>
      <c r="D193" s="44" t="s">
        <v>22</v>
      </c>
      <c r="E193" s="12"/>
      <c r="F193" s="13"/>
      <c r="G193" s="45"/>
      <c r="H193" s="22"/>
      <c r="I193" s="22"/>
      <c r="J193" s="46">
        <f t="shared" ref="J193:K193" si="76">J195</f>
        <v>31800000</v>
      </c>
      <c r="K193" s="46" t="str">
        <f t="shared" si="76"/>
        <v/>
      </c>
      <c r="L193" s="46"/>
      <c r="M193" s="46" t="str">
        <f>M195</f>
        <v/>
      </c>
      <c r="N193" s="46"/>
      <c r="O193" s="24">
        <f t="shared" si="5"/>
        <v>31800000</v>
      </c>
      <c r="P193" s="24">
        <f t="shared" si="6"/>
        <v>31800000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2"/>
      <c r="C194" s="22"/>
      <c r="D194" s="35" t="s">
        <v>23</v>
      </c>
      <c r="E194" s="12"/>
      <c r="F194" s="13"/>
      <c r="G194" s="36"/>
      <c r="H194" s="22"/>
      <c r="I194" s="22"/>
      <c r="J194" s="22"/>
      <c r="K194" s="22"/>
      <c r="L194" s="22"/>
      <c r="M194" s="22"/>
      <c r="N194" s="22"/>
      <c r="O194" s="24">
        <f t="shared" si="5"/>
        <v>0</v>
      </c>
      <c r="P194" s="24">
        <f t="shared" si="6"/>
        <v>0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22"/>
      <c r="C195" s="22"/>
      <c r="D195" s="47" t="s">
        <v>24</v>
      </c>
      <c r="E195" s="35" t="s">
        <v>166</v>
      </c>
      <c r="F195" s="13"/>
      <c r="G195" s="36">
        <v>600.0</v>
      </c>
      <c r="H195" s="36" t="s">
        <v>26</v>
      </c>
      <c r="I195" s="48">
        <v>53000.0</v>
      </c>
      <c r="J195" s="46">
        <f>G195*I195</f>
        <v>31800000</v>
      </c>
      <c r="K195" s="46"/>
      <c r="L195" s="46"/>
      <c r="M195" s="46"/>
      <c r="N195" s="46"/>
      <c r="O195" s="24">
        <f t="shared" si="5"/>
        <v>31800000</v>
      </c>
      <c r="P195" s="24">
        <f t="shared" si="6"/>
        <v>31800000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35" t="s">
        <v>63</v>
      </c>
      <c r="C196" s="13"/>
      <c r="D196" s="44" t="s">
        <v>64</v>
      </c>
      <c r="E196" s="12"/>
      <c r="F196" s="13"/>
      <c r="G196" s="45"/>
      <c r="H196" s="22"/>
      <c r="I196" s="22"/>
      <c r="J196" s="46">
        <f t="shared" ref="J196:K196" si="77">SUM(J198:J199)</f>
        <v>115000000</v>
      </c>
      <c r="K196" s="46">
        <f t="shared" si="77"/>
        <v>0</v>
      </c>
      <c r="L196" s="46"/>
      <c r="M196" s="46">
        <f>SUM(M198:M199)</f>
        <v>0</v>
      </c>
      <c r="N196" s="46"/>
      <c r="O196" s="24">
        <f t="shared" si="5"/>
        <v>115000000</v>
      </c>
      <c r="P196" s="24">
        <f t="shared" si="6"/>
        <v>115000000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2"/>
      <c r="C197" s="22"/>
      <c r="D197" s="35" t="s">
        <v>23</v>
      </c>
      <c r="E197" s="12"/>
      <c r="F197" s="13"/>
      <c r="G197" s="36"/>
      <c r="H197" s="22"/>
      <c r="I197" s="22"/>
      <c r="J197" s="22"/>
      <c r="K197" s="22"/>
      <c r="L197" s="22"/>
      <c r="M197" s="22"/>
      <c r="N197" s="22"/>
      <c r="O197" s="24">
        <f t="shared" si="5"/>
        <v>0</v>
      </c>
      <c r="P197" s="24">
        <f t="shared" si="6"/>
        <v>0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22"/>
      <c r="C198" s="22"/>
      <c r="D198" s="47" t="s">
        <v>24</v>
      </c>
      <c r="E198" s="35" t="s">
        <v>65</v>
      </c>
      <c r="F198" s="13"/>
      <c r="G198" s="36">
        <v>1.0</v>
      </c>
      <c r="H198" s="36" t="s">
        <v>66</v>
      </c>
      <c r="I198" s="48">
        <v>9.5E7</v>
      </c>
      <c r="J198" s="46">
        <f t="shared" ref="J198:J199" si="78">G198*I198</f>
        <v>95000000</v>
      </c>
      <c r="K198" s="46"/>
      <c r="L198" s="46"/>
      <c r="M198" s="46"/>
      <c r="N198" s="46"/>
      <c r="O198" s="24">
        <f t="shared" si="5"/>
        <v>95000000</v>
      </c>
      <c r="P198" s="24">
        <f t="shared" si="6"/>
        <v>95000000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2"/>
      <c r="C199" s="22"/>
      <c r="D199" s="47" t="s">
        <v>24</v>
      </c>
      <c r="E199" s="35" t="s">
        <v>167</v>
      </c>
      <c r="F199" s="13"/>
      <c r="G199" s="36">
        <v>100.0</v>
      </c>
      <c r="H199" s="36" t="s">
        <v>26</v>
      </c>
      <c r="I199" s="48">
        <v>200000.0</v>
      </c>
      <c r="J199" s="46">
        <f t="shared" si="78"/>
        <v>20000000</v>
      </c>
      <c r="K199" s="46"/>
      <c r="L199" s="46"/>
      <c r="M199" s="46"/>
      <c r="N199" s="46"/>
      <c r="O199" s="24">
        <f t="shared" si="5"/>
        <v>20000000</v>
      </c>
      <c r="P199" s="24">
        <f t="shared" si="6"/>
        <v>20000000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35" t="s">
        <v>68</v>
      </c>
      <c r="C200" s="13"/>
      <c r="D200" s="44" t="s">
        <v>69</v>
      </c>
      <c r="E200" s="12"/>
      <c r="F200" s="13"/>
      <c r="G200" s="45"/>
      <c r="H200" s="22"/>
      <c r="I200" s="22"/>
      <c r="J200" s="46">
        <f t="shared" ref="J200:K200" si="79">J202</f>
        <v>10000000</v>
      </c>
      <c r="K200" s="46" t="str">
        <f t="shared" si="79"/>
        <v/>
      </c>
      <c r="L200" s="46"/>
      <c r="M200" s="46">
        <f>M202</f>
        <v>4218500</v>
      </c>
      <c r="N200" s="46"/>
      <c r="O200" s="24">
        <f t="shared" si="5"/>
        <v>10000000</v>
      </c>
      <c r="P200" s="24">
        <f t="shared" si="6"/>
        <v>5781500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2"/>
      <c r="C201" s="22"/>
      <c r="D201" s="35" t="s">
        <v>23</v>
      </c>
      <c r="E201" s="12"/>
      <c r="F201" s="13"/>
      <c r="G201" s="36"/>
      <c r="H201" s="22"/>
      <c r="I201" s="22"/>
      <c r="J201" s="22"/>
      <c r="K201" s="22"/>
      <c r="L201" s="22"/>
      <c r="M201" s="22"/>
      <c r="N201" s="22"/>
      <c r="O201" s="24">
        <f t="shared" si="5"/>
        <v>0</v>
      </c>
      <c r="P201" s="24">
        <f t="shared" si="6"/>
        <v>0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2"/>
      <c r="C202" s="22"/>
      <c r="D202" s="47" t="s">
        <v>24</v>
      </c>
      <c r="E202" s="35" t="s">
        <v>70</v>
      </c>
      <c r="F202" s="13"/>
      <c r="G202" s="36">
        <v>20.0</v>
      </c>
      <c r="H202" s="36" t="s">
        <v>26</v>
      </c>
      <c r="I202" s="48">
        <v>500000.0</v>
      </c>
      <c r="J202" s="46">
        <f>G202*I202</f>
        <v>10000000</v>
      </c>
      <c r="K202" s="46"/>
      <c r="L202" s="46"/>
      <c r="M202" s="46">
        <v>4218500.0</v>
      </c>
      <c r="N202" s="46"/>
      <c r="O202" s="24">
        <f t="shared" si="5"/>
        <v>10000000</v>
      </c>
      <c r="P202" s="24">
        <f t="shared" si="6"/>
        <v>5781500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35" t="s">
        <v>47</v>
      </c>
      <c r="C203" s="13"/>
      <c r="D203" s="44" t="s">
        <v>48</v>
      </c>
      <c r="E203" s="12"/>
      <c r="F203" s="13"/>
      <c r="G203" s="45"/>
      <c r="H203" s="22"/>
      <c r="I203" s="22"/>
      <c r="J203" s="46">
        <f t="shared" ref="J203:K203" si="80">J205</f>
        <v>16000000</v>
      </c>
      <c r="K203" s="46" t="str">
        <f t="shared" si="80"/>
        <v/>
      </c>
      <c r="L203" s="46"/>
      <c r="M203" s="46" t="str">
        <f>M205</f>
        <v/>
      </c>
      <c r="N203" s="46"/>
      <c r="O203" s="24">
        <f t="shared" si="5"/>
        <v>16000000</v>
      </c>
      <c r="P203" s="24">
        <f t="shared" si="6"/>
        <v>16000000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2"/>
      <c r="C204" s="22"/>
      <c r="D204" s="35" t="s">
        <v>23</v>
      </c>
      <c r="E204" s="12"/>
      <c r="F204" s="13"/>
      <c r="G204" s="36"/>
      <c r="H204" s="22"/>
      <c r="I204" s="22"/>
      <c r="J204" s="22"/>
      <c r="K204" s="22"/>
      <c r="L204" s="22"/>
      <c r="M204" s="22"/>
      <c r="N204" s="22"/>
      <c r="O204" s="24">
        <f t="shared" si="5"/>
        <v>0</v>
      </c>
      <c r="P204" s="24">
        <f t="shared" si="6"/>
        <v>0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2"/>
      <c r="C205" s="22"/>
      <c r="D205" s="47" t="s">
        <v>24</v>
      </c>
      <c r="E205" s="35" t="s">
        <v>165</v>
      </c>
      <c r="F205" s="13"/>
      <c r="G205" s="36">
        <v>4.0</v>
      </c>
      <c r="H205" s="36" t="s">
        <v>26</v>
      </c>
      <c r="I205" s="48">
        <v>4000000.0</v>
      </c>
      <c r="J205" s="46">
        <f>G205*I205</f>
        <v>16000000</v>
      </c>
      <c r="K205" s="46"/>
      <c r="L205" s="46"/>
      <c r="M205" s="46"/>
      <c r="N205" s="46"/>
      <c r="O205" s="24">
        <f t="shared" si="5"/>
        <v>16000000</v>
      </c>
      <c r="P205" s="24">
        <f t="shared" si="6"/>
        <v>16000000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35" t="s">
        <v>58</v>
      </c>
      <c r="C206" s="13"/>
      <c r="D206" s="44" t="s">
        <v>34</v>
      </c>
      <c r="E206" s="12"/>
      <c r="F206" s="13"/>
      <c r="G206" s="45"/>
      <c r="H206" s="22"/>
      <c r="I206" s="22"/>
      <c r="J206" s="46">
        <f t="shared" ref="J206:K206" si="81">J208</f>
        <v>48000000</v>
      </c>
      <c r="K206" s="46" t="str">
        <f t="shared" si="81"/>
        <v/>
      </c>
      <c r="L206" s="46"/>
      <c r="M206" s="46">
        <f>M208</f>
        <v>1050000</v>
      </c>
      <c r="N206" s="46"/>
      <c r="O206" s="24">
        <f t="shared" si="5"/>
        <v>48000000</v>
      </c>
      <c r="P206" s="24">
        <f t="shared" si="6"/>
        <v>46950000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22"/>
      <c r="C207" s="22"/>
      <c r="D207" s="35" t="s">
        <v>23</v>
      </c>
      <c r="E207" s="12"/>
      <c r="F207" s="13"/>
      <c r="G207" s="36"/>
      <c r="H207" s="22"/>
      <c r="I207" s="22"/>
      <c r="J207" s="22"/>
      <c r="K207" s="22"/>
      <c r="L207" s="22"/>
      <c r="M207" s="22"/>
      <c r="N207" s="22"/>
      <c r="O207" s="24">
        <f t="shared" si="5"/>
        <v>0</v>
      </c>
      <c r="P207" s="24">
        <f t="shared" si="6"/>
        <v>0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22"/>
      <c r="C208" s="22"/>
      <c r="D208" s="47" t="s">
        <v>24</v>
      </c>
      <c r="E208" s="35" t="s">
        <v>71</v>
      </c>
      <c r="F208" s="13"/>
      <c r="G208" s="36">
        <v>96.0</v>
      </c>
      <c r="H208" s="36" t="s">
        <v>26</v>
      </c>
      <c r="I208" s="48">
        <v>500000.0</v>
      </c>
      <c r="J208" s="46">
        <f>G208*I208</f>
        <v>48000000</v>
      </c>
      <c r="K208" s="46"/>
      <c r="L208" s="46"/>
      <c r="M208" s="46">
        <v>1050000.0</v>
      </c>
      <c r="N208" s="46"/>
      <c r="O208" s="24">
        <f t="shared" si="5"/>
        <v>48000000</v>
      </c>
      <c r="P208" s="24">
        <f t="shared" si="6"/>
        <v>46950000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41" t="s">
        <v>72</v>
      </c>
      <c r="C209" s="13"/>
      <c r="D209" s="41" t="s">
        <v>73</v>
      </c>
      <c r="E209" s="12"/>
      <c r="F209" s="13"/>
      <c r="G209" s="42"/>
      <c r="H209" s="22"/>
      <c r="I209" s="22"/>
      <c r="J209" s="43">
        <f t="shared" ref="J209:K209" si="82">J210+J215</f>
        <v>151200000</v>
      </c>
      <c r="K209" s="43">
        <f t="shared" si="82"/>
        <v>0</v>
      </c>
      <c r="L209" s="43"/>
      <c r="M209" s="43">
        <f>M210+M215</f>
        <v>0</v>
      </c>
      <c r="N209" s="43"/>
      <c r="O209" s="24">
        <f t="shared" si="5"/>
        <v>151200000</v>
      </c>
      <c r="P209" s="24">
        <f t="shared" si="6"/>
        <v>151200000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35" t="s">
        <v>74</v>
      </c>
      <c r="C210" s="13"/>
      <c r="D210" s="44" t="s">
        <v>75</v>
      </c>
      <c r="E210" s="12"/>
      <c r="F210" s="13"/>
      <c r="G210" s="45"/>
      <c r="H210" s="22"/>
      <c r="I210" s="22"/>
      <c r="J210" s="46">
        <f t="shared" ref="J210:K210" si="83">SUM(J212:J214)</f>
        <v>142700000</v>
      </c>
      <c r="K210" s="46">
        <f t="shared" si="83"/>
        <v>0</v>
      </c>
      <c r="L210" s="46"/>
      <c r="M210" s="46">
        <f>SUM(M212:M214)</f>
        <v>0</v>
      </c>
      <c r="N210" s="46"/>
      <c r="O210" s="24">
        <f t="shared" si="5"/>
        <v>142700000</v>
      </c>
      <c r="P210" s="24">
        <f t="shared" si="6"/>
        <v>142700000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22"/>
      <c r="C211" s="22"/>
      <c r="D211" s="35" t="s">
        <v>23</v>
      </c>
      <c r="E211" s="12"/>
      <c r="F211" s="13"/>
      <c r="G211" s="36"/>
      <c r="H211" s="22"/>
      <c r="I211" s="22"/>
      <c r="J211" s="22"/>
      <c r="K211" s="22"/>
      <c r="L211" s="22"/>
      <c r="M211" s="22"/>
      <c r="N211" s="22"/>
      <c r="O211" s="24">
        <f t="shared" si="5"/>
        <v>0</v>
      </c>
      <c r="P211" s="24">
        <f t="shared" si="6"/>
        <v>0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22"/>
      <c r="C212" s="22"/>
      <c r="D212" s="47" t="s">
        <v>24</v>
      </c>
      <c r="E212" s="35" t="s">
        <v>76</v>
      </c>
      <c r="F212" s="13"/>
      <c r="G212" s="36">
        <v>20.0</v>
      </c>
      <c r="H212" s="36" t="s">
        <v>26</v>
      </c>
      <c r="I212" s="48">
        <v>5000000.0</v>
      </c>
      <c r="J212" s="46">
        <f t="shared" ref="J212:J214" si="84">G212*I212</f>
        <v>100000000</v>
      </c>
      <c r="K212" s="46"/>
      <c r="L212" s="46"/>
      <c r="M212" s="46"/>
      <c r="N212" s="46"/>
      <c r="O212" s="24">
        <f t="shared" si="5"/>
        <v>100000000</v>
      </c>
      <c r="P212" s="24">
        <f t="shared" si="6"/>
        <v>100000000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22"/>
      <c r="C213" s="22"/>
      <c r="D213" s="47" t="s">
        <v>24</v>
      </c>
      <c r="E213" s="35" t="s">
        <v>77</v>
      </c>
      <c r="F213" s="13"/>
      <c r="G213" s="36">
        <v>30.0</v>
      </c>
      <c r="H213" s="36" t="s">
        <v>26</v>
      </c>
      <c r="I213" s="48">
        <v>850000.0</v>
      </c>
      <c r="J213" s="46">
        <f t="shared" si="84"/>
        <v>25500000</v>
      </c>
      <c r="K213" s="46"/>
      <c r="L213" s="46"/>
      <c r="M213" s="46"/>
      <c r="N213" s="46"/>
      <c r="O213" s="24">
        <f t="shared" si="5"/>
        <v>25500000</v>
      </c>
      <c r="P213" s="24">
        <f t="shared" si="6"/>
        <v>25500000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22"/>
      <c r="C214" s="22"/>
      <c r="D214" s="47" t="s">
        <v>24</v>
      </c>
      <c r="E214" s="35" t="s">
        <v>78</v>
      </c>
      <c r="F214" s="13"/>
      <c r="G214" s="36">
        <v>40.0</v>
      </c>
      <c r="H214" s="36" t="s">
        <v>26</v>
      </c>
      <c r="I214" s="48">
        <v>430000.0</v>
      </c>
      <c r="J214" s="46">
        <f t="shared" si="84"/>
        <v>17200000</v>
      </c>
      <c r="K214" s="46"/>
      <c r="L214" s="46"/>
      <c r="M214" s="46"/>
      <c r="N214" s="46"/>
      <c r="O214" s="24">
        <f t="shared" si="5"/>
        <v>17200000</v>
      </c>
      <c r="P214" s="24">
        <f t="shared" si="6"/>
        <v>17200000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35" t="s">
        <v>79</v>
      </c>
      <c r="C215" s="13"/>
      <c r="D215" s="44" t="s">
        <v>80</v>
      </c>
      <c r="E215" s="12"/>
      <c r="F215" s="13"/>
      <c r="G215" s="45"/>
      <c r="H215" s="22"/>
      <c r="I215" s="22"/>
      <c r="J215" s="46">
        <f t="shared" ref="J215:K215" si="85">J217</f>
        <v>8500000</v>
      </c>
      <c r="K215" s="46" t="str">
        <f t="shared" si="85"/>
        <v/>
      </c>
      <c r="L215" s="46"/>
      <c r="M215" s="46" t="str">
        <f>M217</f>
        <v/>
      </c>
      <c r="N215" s="46"/>
      <c r="O215" s="24">
        <f t="shared" si="5"/>
        <v>8500000</v>
      </c>
      <c r="P215" s="24">
        <f t="shared" si="6"/>
        <v>8500000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22"/>
      <c r="C216" s="22"/>
      <c r="D216" s="35" t="s">
        <v>23</v>
      </c>
      <c r="E216" s="12"/>
      <c r="F216" s="13"/>
      <c r="G216" s="36"/>
      <c r="H216" s="22"/>
      <c r="I216" s="22"/>
      <c r="J216" s="22"/>
      <c r="K216" s="22"/>
      <c r="L216" s="22"/>
      <c r="M216" s="22"/>
      <c r="N216" s="22"/>
      <c r="O216" s="24">
        <f t="shared" si="5"/>
        <v>0</v>
      </c>
      <c r="P216" s="24">
        <f t="shared" si="6"/>
        <v>0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22"/>
      <c r="C217" s="22"/>
      <c r="D217" s="47" t="s">
        <v>24</v>
      </c>
      <c r="E217" s="35" t="s">
        <v>81</v>
      </c>
      <c r="F217" s="13"/>
      <c r="G217" s="36">
        <v>50.0</v>
      </c>
      <c r="H217" s="36" t="s">
        <v>26</v>
      </c>
      <c r="I217" s="48">
        <v>170000.0</v>
      </c>
      <c r="J217" s="46">
        <f>G217*I217</f>
        <v>8500000</v>
      </c>
      <c r="K217" s="46"/>
      <c r="L217" s="46"/>
      <c r="M217" s="46"/>
      <c r="N217" s="46"/>
      <c r="O217" s="24">
        <f t="shared" si="5"/>
        <v>8500000</v>
      </c>
      <c r="P217" s="24">
        <f t="shared" si="6"/>
        <v>8500000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41" t="s">
        <v>82</v>
      </c>
      <c r="C218" s="13"/>
      <c r="D218" s="41" t="s">
        <v>83</v>
      </c>
      <c r="E218" s="12"/>
      <c r="F218" s="13"/>
      <c r="G218" s="42"/>
      <c r="H218" s="22"/>
      <c r="I218" s="22"/>
      <c r="J218" s="43">
        <f t="shared" ref="J218:K218" si="86">J219+J224</f>
        <v>1434000000</v>
      </c>
      <c r="K218" s="43">
        <f t="shared" si="86"/>
        <v>53112000</v>
      </c>
      <c r="L218" s="43"/>
      <c r="M218" s="43">
        <f>M219+M224</f>
        <v>108470500</v>
      </c>
      <c r="N218" s="43"/>
      <c r="O218" s="24">
        <f t="shared" si="5"/>
        <v>1380888000</v>
      </c>
      <c r="P218" s="24">
        <f t="shared" si="6"/>
        <v>1325529500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35" t="s">
        <v>84</v>
      </c>
      <c r="C219" s="13"/>
      <c r="D219" s="44" t="s">
        <v>85</v>
      </c>
      <c r="E219" s="12"/>
      <c r="F219" s="13"/>
      <c r="G219" s="45"/>
      <c r="H219" s="22"/>
      <c r="I219" s="22"/>
      <c r="J219" s="46">
        <f t="shared" ref="J219:K219" si="87">SUM(J221:J223)</f>
        <v>1320000000</v>
      </c>
      <c r="K219" s="46">
        <f t="shared" si="87"/>
        <v>53112000</v>
      </c>
      <c r="L219" s="46"/>
      <c r="M219" s="46">
        <f>SUM(M221:M223)</f>
        <v>108470500</v>
      </c>
      <c r="N219" s="46"/>
      <c r="O219" s="24">
        <f t="shared" si="5"/>
        <v>1266888000</v>
      </c>
      <c r="P219" s="24">
        <f t="shared" si="6"/>
        <v>1211529500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22"/>
      <c r="C220" s="22"/>
      <c r="D220" s="35" t="s">
        <v>23</v>
      </c>
      <c r="E220" s="12"/>
      <c r="F220" s="13"/>
      <c r="G220" s="36"/>
      <c r="H220" s="22"/>
      <c r="I220" s="22"/>
      <c r="J220" s="22"/>
      <c r="K220" s="22"/>
      <c r="L220" s="22"/>
      <c r="M220" s="22"/>
      <c r="N220" s="22"/>
      <c r="O220" s="24">
        <f t="shared" si="5"/>
        <v>0</v>
      </c>
      <c r="P220" s="24">
        <f t="shared" si="6"/>
        <v>0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22"/>
      <c r="C221" s="22"/>
      <c r="D221" s="47" t="s">
        <v>24</v>
      </c>
      <c r="E221" s="35" t="s">
        <v>168</v>
      </c>
      <c r="F221" s="13"/>
      <c r="G221" s="36">
        <v>54750.0</v>
      </c>
      <c r="H221" s="36" t="s">
        <v>87</v>
      </c>
      <c r="I221" s="48">
        <v>15000.0</v>
      </c>
      <c r="J221" s="46">
        <f t="shared" ref="J221:J223" si="88">G221*I221</f>
        <v>821250000</v>
      </c>
      <c r="K221" s="46">
        <v>3.8532E7</v>
      </c>
      <c r="L221" s="46"/>
      <c r="M221" s="46">
        <v>7.8598E7</v>
      </c>
      <c r="N221" s="46"/>
      <c r="O221" s="24">
        <f t="shared" si="5"/>
        <v>782718000</v>
      </c>
      <c r="P221" s="24">
        <f t="shared" si="6"/>
        <v>742652000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22"/>
      <c r="C222" s="22"/>
      <c r="D222" s="47" t="s">
        <v>24</v>
      </c>
      <c r="E222" s="35" t="s">
        <v>88</v>
      </c>
      <c r="F222" s="13"/>
      <c r="G222" s="36">
        <v>9000.0</v>
      </c>
      <c r="H222" s="36" t="s">
        <v>87</v>
      </c>
      <c r="I222" s="48">
        <v>25000.0</v>
      </c>
      <c r="J222" s="46">
        <f t="shared" si="88"/>
        <v>225000000</v>
      </c>
      <c r="K222" s="46"/>
      <c r="L222" s="46"/>
      <c r="M222" s="46"/>
      <c r="N222" s="46"/>
      <c r="O222" s="24">
        <f t="shared" si="5"/>
        <v>225000000</v>
      </c>
      <c r="P222" s="24">
        <f t="shared" si="6"/>
        <v>225000000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22"/>
      <c r="C223" s="22"/>
      <c r="D223" s="47" t="s">
        <v>24</v>
      </c>
      <c r="E223" s="35" t="s">
        <v>169</v>
      </c>
      <c r="F223" s="13"/>
      <c r="G223" s="36">
        <v>36500.0</v>
      </c>
      <c r="H223" s="36" t="s">
        <v>87</v>
      </c>
      <c r="I223" s="48">
        <v>7500.0</v>
      </c>
      <c r="J223" s="46">
        <f t="shared" si="88"/>
        <v>273750000</v>
      </c>
      <c r="K223" s="46">
        <v>1.458E7</v>
      </c>
      <c r="L223" s="46"/>
      <c r="M223" s="46">
        <v>2.98725E7</v>
      </c>
      <c r="N223" s="46"/>
      <c r="O223" s="24">
        <f t="shared" si="5"/>
        <v>259170000</v>
      </c>
      <c r="P223" s="24">
        <f t="shared" si="6"/>
        <v>243877500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35" t="s">
        <v>63</v>
      </c>
      <c r="C224" s="13"/>
      <c r="D224" s="44" t="s">
        <v>64</v>
      </c>
      <c r="E224" s="12"/>
      <c r="F224" s="13"/>
      <c r="G224" s="45"/>
      <c r="H224" s="22"/>
      <c r="I224" s="22"/>
      <c r="J224" s="46">
        <f t="shared" ref="J224:K224" si="89">SUM(J226:J227)</f>
        <v>114000000</v>
      </c>
      <c r="K224" s="46">
        <f t="shared" si="89"/>
        <v>0</v>
      </c>
      <c r="L224" s="46"/>
      <c r="M224" s="46">
        <f>SUM(M226:M227)</f>
        <v>0</v>
      </c>
      <c r="N224" s="46"/>
      <c r="O224" s="24">
        <f t="shared" si="5"/>
        <v>114000000</v>
      </c>
      <c r="P224" s="24">
        <f t="shared" si="6"/>
        <v>114000000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22"/>
      <c r="C225" s="22"/>
      <c r="D225" s="35" t="s">
        <v>23</v>
      </c>
      <c r="E225" s="12"/>
      <c r="F225" s="13"/>
      <c r="G225" s="36"/>
      <c r="H225" s="22"/>
      <c r="I225" s="22"/>
      <c r="J225" s="22"/>
      <c r="K225" s="22"/>
      <c r="L225" s="22"/>
      <c r="M225" s="22"/>
      <c r="N225" s="22"/>
      <c r="O225" s="24">
        <f t="shared" si="5"/>
        <v>0</v>
      </c>
      <c r="P225" s="24">
        <f t="shared" si="6"/>
        <v>0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22"/>
      <c r="C226" s="22"/>
      <c r="D226" s="47" t="s">
        <v>24</v>
      </c>
      <c r="E226" s="35" t="s">
        <v>90</v>
      </c>
      <c r="F226" s="13"/>
      <c r="G226" s="36">
        <v>180.0</v>
      </c>
      <c r="H226" s="36" t="s">
        <v>87</v>
      </c>
      <c r="I226" s="48">
        <v>500000.0</v>
      </c>
      <c r="J226" s="46">
        <f t="shared" ref="J226:J227" si="90">G226*I226</f>
        <v>90000000</v>
      </c>
      <c r="K226" s="46"/>
      <c r="L226" s="46"/>
      <c r="M226" s="46"/>
      <c r="N226" s="46"/>
      <c r="O226" s="24">
        <f t="shared" si="5"/>
        <v>90000000</v>
      </c>
      <c r="P226" s="24">
        <f t="shared" si="6"/>
        <v>90000000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22"/>
      <c r="C227" s="22"/>
      <c r="D227" s="47" t="s">
        <v>24</v>
      </c>
      <c r="E227" s="35" t="s">
        <v>170</v>
      </c>
      <c r="F227" s="13"/>
      <c r="G227" s="36">
        <v>600.0</v>
      </c>
      <c r="H227" s="36" t="s">
        <v>87</v>
      </c>
      <c r="I227" s="48">
        <v>40000.0</v>
      </c>
      <c r="J227" s="46">
        <f t="shared" si="90"/>
        <v>24000000</v>
      </c>
      <c r="K227" s="46"/>
      <c r="L227" s="46"/>
      <c r="M227" s="46"/>
      <c r="N227" s="46"/>
      <c r="O227" s="24">
        <f t="shared" si="5"/>
        <v>24000000</v>
      </c>
      <c r="P227" s="24">
        <f t="shared" si="6"/>
        <v>24000000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41" t="s">
        <v>92</v>
      </c>
      <c r="C228" s="13"/>
      <c r="D228" s="41" t="s">
        <v>93</v>
      </c>
      <c r="E228" s="12"/>
      <c r="F228" s="13"/>
      <c r="G228" s="42"/>
      <c r="H228" s="22"/>
      <c r="I228" s="22"/>
      <c r="J228" s="43">
        <f t="shared" ref="J228:K228" si="91">J229</f>
        <v>41836000</v>
      </c>
      <c r="K228" s="43">
        <f t="shared" si="91"/>
        <v>0</v>
      </c>
      <c r="L228" s="43"/>
      <c r="M228" s="43">
        <f>M229</f>
        <v>1594431</v>
      </c>
      <c r="N228" s="43"/>
      <c r="O228" s="24">
        <f t="shared" si="5"/>
        <v>41836000</v>
      </c>
      <c r="P228" s="24">
        <f t="shared" si="6"/>
        <v>40241569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35" t="s">
        <v>68</v>
      </c>
      <c r="C229" s="13"/>
      <c r="D229" s="44" t="s">
        <v>69</v>
      </c>
      <c r="E229" s="12"/>
      <c r="F229" s="13"/>
      <c r="G229" s="45"/>
      <c r="H229" s="22"/>
      <c r="I229" s="22"/>
      <c r="J229" s="46">
        <f t="shared" ref="J229:K229" si="92">SUM(J231:J232)</f>
        <v>41836000</v>
      </c>
      <c r="K229" s="46">
        <f t="shared" si="92"/>
        <v>0</v>
      </c>
      <c r="L229" s="46"/>
      <c r="M229" s="46">
        <f>SUM(M231:M232)</f>
        <v>1594431</v>
      </c>
      <c r="N229" s="46"/>
      <c r="O229" s="24">
        <f t="shared" si="5"/>
        <v>41836000</v>
      </c>
      <c r="P229" s="24">
        <f t="shared" si="6"/>
        <v>40241569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22"/>
      <c r="C230" s="22"/>
      <c r="D230" s="35" t="s">
        <v>23</v>
      </c>
      <c r="E230" s="12"/>
      <c r="F230" s="13"/>
      <c r="G230" s="36"/>
      <c r="H230" s="22"/>
      <c r="I230" s="22"/>
      <c r="J230" s="22"/>
      <c r="K230" s="22"/>
      <c r="L230" s="22"/>
      <c r="M230" s="22"/>
      <c r="N230" s="22"/>
      <c r="O230" s="24">
        <f t="shared" si="5"/>
        <v>0</v>
      </c>
      <c r="P230" s="24">
        <f t="shared" si="6"/>
        <v>0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22"/>
      <c r="C231" s="22"/>
      <c r="D231" s="47" t="s">
        <v>24</v>
      </c>
      <c r="E231" s="35" t="s">
        <v>94</v>
      </c>
      <c r="F231" s="13"/>
      <c r="G231" s="36">
        <v>12.0</v>
      </c>
      <c r="H231" s="36" t="s">
        <v>95</v>
      </c>
      <c r="I231" s="48">
        <v>2500000.0</v>
      </c>
      <c r="J231" s="46">
        <f t="shared" ref="J231:J232" si="93">G231*I231</f>
        <v>30000000</v>
      </c>
      <c r="K231" s="46"/>
      <c r="L231" s="46"/>
      <c r="M231" s="46">
        <v>1391931.0</v>
      </c>
      <c r="N231" s="46"/>
      <c r="O231" s="24">
        <f t="shared" si="5"/>
        <v>30000000</v>
      </c>
      <c r="P231" s="24">
        <f t="shared" si="6"/>
        <v>28608069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22"/>
      <c r="C232" s="22"/>
      <c r="D232" s="47" t="s">
        <v>24</v>
      </c>
      <c r="E232" s="35" t="s">
        <v>171</v>
      </c>
      <c r="F232" s="13"/>
      <c r="G232" s="36">
        <v>1.0</v>
      </c>
      <c r="H232" s="36" t="s">
        <v>97</v>
      </c>
      <c r="I232" s="48">
        <v>1.1836E7</v>
      </c>
      <c r="J232" s="46">
        <f t="shared" si="93"/>
        <v>11836000</v>
      </c>
      <c r="K232" s="46"/>
      <c r="L232" s="46"/>
      <c r="M232" s="46">
        <v>202500.0</v>
      </c>
      <c r="N232" s="46"/>
      <c r="O232" s="24">
        <f t="shared" si="5"/>
        <v>11836000</v>
      </c>
      <c r="P232" s="24">
        <f t="shared" si="6"/>
        <v>11633500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41" t="s">
        <v>98</v>
      </c>
      <c r="C233" s="13"/>
      <c r="D233" s="41" t="s">
        <v>99</v>
      </c>
      <c r="E233" s="12"/>
      <c r="F233" s="13"/>
      <c r="G233" s="42"/>
      <c r="H233" s="22"/>
      <c r="I233" s="22"/>
      <c r="J233" s="43">
        <f t="shared" ref="J233:K233" si="94">J234+J243</f>
        <v>6760000</v>
      </c>
      <c r="K233" s="43">
        <f t="shared" si="94"/>
        <v>0</v>
      </c>
      <c r="L233" s="43"/>
      <c r="M233" s="43">
        <f>M234+M243</f>
        <v>0</v>
      </c>
      <c r="N233" s="43"/>
      <c r="O233" s="24">
        <f t="shared" si="5"/>
        <v>6760000</v>
      </c>
      <c r="P233" s="24">
        <f t="shared" si="6"/>
        <v>6760000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35" t="s">
        <v>100</v>
      </c>
      <c r="C234" s="13"/>
      <c r="D234" s="44" t="s">
        <v>101</v>
      </c>
      <c r="E234" s="12"/>
      <c r="F234" s="13"/>
      <c r="G234" s="45"/>
      <c r="H234" s="22"/>
      <c r="I234" s="22"/>
      <c r="J234" s="46">
        <f t="shared" ref="J234:K234" si="95">SUM(J236:J242)</f>
        <v>5600000</v>
      </c>
      <c r="K234" s="46">
        <f t="shared" si="95"/>
        <v>0</v>
      </c>
      <c r="L234" s="46"/>
      <c r="M234" s="46">
        <f>SUM(M236:M242)</f>
        <v>0</v>
      </c>
      <c r="N234" s="46"/>
      <c r="O234" s="24">
        <f t="shared" si="5"/>
        <v>5600000</v>
      </c>
      <c r="P234" s="24">
        <f t="shared" si="6"/>
        <v>5600000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22"/>
      <c r="C235" s="22"/>
      <c r="D235" s="35" t="s">
        <v>23</v>
      </c>
      <c r="E235" s="12"/>
      <c r="F235" s="13"/>
      <c r="G235" s="36"/>
      <c r="H235" s="22"/>
      <c r="I235" s="22"/>
      <c r="J235" s="22"/>
      <c r="K235" s="22"/>
      <c r="L235" s="22"/>
      <c r="M235" s="22"/>
      <c r="N235" s="22"/>
      <c r="O235" s="24">
        <f t="shared" si="5"/>
        <v>0</v>
      </c>
      <c r="P235" s="24">
        <f t="shared" si="6"/>
        <v>0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22"/>
      <c r="C236" s="22"/>
      <c r="D236" s="47" t="s">
        <v>24</v>
      </c>
      <c r="E236" s="35" t="s">
        <v>102</v>
      </c>
      <c r="F236" s="13"/>
      <c r="G236" s="36">
        <v>2.0</v>
      </c>
      <c r="H236" s="36" t="s">
        <v>95</v>
      </c>
      <c r="I236" s="48">
        <v>350000.0</v>
      </c>
      <c r="J236" s="46">
        <f t="shared" ref="J236:J242" si="96">G236*I236</f>
        <v>700000</v>
      </c>
      <c r="K236" s="46"/>
      <c r="L236" s="46"/>
      <c r="M236" s="46"/>
      <c r="N236" s="46"/>
      <c r="O236" s="24">
        <f t="shared" si="5"/>
        <v>700000</v>
      </c>
      <c r="P236" s="24">
        <f t="shared" si="6"/>
        <v>700000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22"/>
      <c r="C237" s="22"/>
      <c r="D237" s="47" t="s">
        <v>24</v>
      </c>
      <c r="E237" s="35" t="s">
        <v>103</v>
      </c>
      <c r="F237" s="13"/>
      <c r="G237" s="36">
        <v>2.0</v>
      </c>
      <c r="H237" s="36" t="s">
        <v>95</v>
      </c>
      <c r="I237" s="48">
        <v>225000.0</v>
      </c>
      <c r="J237" s="46">
        <f t="shared" si="96"/>
        <v>450000</v>
      </c>
      <c r="K237" s="46"/>
      <c r="L237" s="46"/>
      <c r="M237" s="46"/>
      <c r="N237" s="46"/>
      <c r="O237" s="24">
        <f t="shared" si="5"/>
        <v>450000</v>
      </c>
      <c r="P237" s="24">
        <f t="shared" si="6"/>
        <v>450000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22"/>
      <c r="C238" s="22"/>
      <c r="D238" s="47" t="s">
        <v>24</v>
      </c>
      <c r="E238" s="35" t="s">
        <v>104</v>
      </c>
      <c r="F238" s="13"/>
      <c r="G238" s="36">
        <v>2.0</v>
      </c>
      <c r="H238" s="36" t="s">
        <v>95</v>
      </c>
      <c r="I238" s="48">
        <v>450000.0</v>
      </c>
      <c r="J238" s="46">
        <f t="shared" si="96"/>
        <v>900000</v>
      </c>
      <c r="K238" s="46"/>
      <c r="L238" s="46"/>
      <c r="M238" s="46"/>
      <c r="N238" s="46"/>
      <c r="O238" s="24">
        <f t="shared" si="5"/>
        <v>900000</v>
      </c>
      <c r="P238" s="24">
        <f t="shared" si="6"/>
        <v>900000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22"/>
      <c r="C239" s="22"/>
      <c r="D239" s="47" t="s">
        <v>24</v>
      </c>
      <c r="E239" s="35" t="s">
        <v>105</v>
      </c>
      <c r="F239" s="13"/>
      <c r="G239" s="36">
        <v>2.0</v>
      </c>
      <c r="H239" s="36" t="s">
        <v>95</v>
      </c>
      <c r="I239" s="48">
        <v>250000.0</v>
      </c>
      <c r="J239" s="46">
        <f t="shared" si="96"/>
        <v>500000</v>
      </c>
      <c r="K239" s="46"/>
      <c r="L239" s="46"/>
      <c r="M239" s="46"/>
      <c r="N239" s="46"/>
      <c r="O239" s="24">
        <f t="shared" si="5"/>
        <v>500000</v>
      </c>
      <c r="P239" s="24">
        <f t="shared" si="6"/>
        <v>500000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22"/>
      <c r="C240" s="22"/>
      <c r="D240" s="47" t="s">
        <v>24</v>
      </c>
      <c r="E240" s="35" t="s">
        <v>106</v>
      </c>
      <c r="F240" s="13"/>
      <c r="G240" s="36">
        <v>2.0</v>
      </c>
      <c r="H240" s="36" t="s">
        <v>95</v>
      </c>
      <c r="I240" s="48">
        <v>100000.0</v>
      </c>
      <c r="J240" s="46">
        <f t="shared" si="96"/>
        <v>200000</v>
      </c>
      <c r="K240" s="46"/>
      <c r="L240" s="46"/>
      <c r="M240" s="46"/>
      <c r="N240" s="46"/>
      <c r="O240" s="24">
        <f t="shared" si="5"/>
        <v>200000</v>
      </c>
      <c r="P240" s="24">
        <f t="shared" si="6"/>
        <v>200000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22"/>
      <c r="C241" s="22"/>
      <c r="D241" s="47" t="s">
        <v>24</v>
      </c>
      <c r="E241" s="35" t="s">
        <v>107</v>
      </c>
      <c r="F241" s="13"/>
      <c r="G241" s="36">
        <v>2.0</v>
      </c>
      <c r="H241" s="36" t="s">
        <v>95</v>
      </c>
      <c r="I241" s="48">
        <v>725000.0</v>
      </c>
      <c r="J241" s="46">
        <f t="shared" si="96"/>
        <v>1450000</v>
      </c>
      <c r="K241" s="46"/>
      <c r="L241" s="46"/>
      <c r="M241" s="46"/>
      <c r="N241" s="46"/>
      <c r="O241" s="24">
        <f t="shared" si="5"/>
        <v>1450000</v>
      </c>
      <c r="P241" s="24">
        <f t="shared" si="6"/>
        <v>1450000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22"/>
      <c r="C242" s="22"/>
      <c r="D242" s="47" t="s">
        <v>24</v>
      </c>
      <c r="E242" s="35" t="s">
        <v>108</v>
      </c>
      <c r="F242" s="13"/>
      <c r="G242" s="36">
        <v>2.0</v>
      </c>
      <c r="H242" s="36" t="s">
        <v>95</v>
      </c>
      <c r="I242" s="48">
        <v>700000.0</v>
      </c>
      <c r="J242" s="46">
        <f t="shared" si="96"/>
        <v>1400000</v>
      </c>
      <c r="K242" s="46"/>
      <c r="L242" s="46"/>
      <c r="M242" s="46"/>
      <c r="N242" s="46"/>
      <c r="O242" s="24">
        <f t="shared" si="5"/>
        <v>1400000</v>
      </c>
      <c r="P242" s="24">
        <f t="shared" si="6"/>
        <v>1400000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35" t="s">
        <v>68</v>
      </c>
      <c r="C243" s="13"/>
      <c r="D243" s="44" t="s">
        <v>69</v>
      </c>
      <c r="E243" s="12"/>
      <c r="F243" s="13"/>
      <c r="G243" s="45"/>
      <c r="H243" s="22"/>
      <c r="I243" s="22"/>
      <c r="J243" s="46">
        <f t="shared" ref="J243:K243" si="97">SUM(J245:J248)</f>
        <v>1160000</v>
      </c>
      <c r="K243" s="46">
        <f t="shared" si="97"/>
        <v>0</v>
      </c>
      <c r="L243" s="46"/>
      <c r="M243" s="46">
        <f>SUM(M245:M248)</f>
        <v>0</v>
      </c>
      <c r="N243" s="46"/>
      <c r="O243" s="24">
        <f t="shared" si="5"/>
        <v>1160000</v>
      </c>
      <c r="P243" s="24">
        <f t="shared" si="6"/>
        <v>1160000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22"/>
      <c r="C244" s="22"/>
      <c r="D244" s="35" t="s">
        <v>23</v>
      </c>
      <c r="E244" s="12"/>
      <c r="F244" s="13"/>
      <c r="G244" s="36"/>
      <c r="H244" s="22"/>
      <c r="I244" s="22"/>
      <c r="J244" s="22"/>
      <c r="K244" s="22"/>
      <c r="L244" s="22"/>
      <c r="M244" s="22"/>
      <c r="N244" s="22"/>
      <c r="O244" s="24">
        <f t="shared" si="5"/>
        <v>0</v>
      </c>
      <c r="P244" s="24">
        <f t="shared" si="6"/>
        <v>0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22"/>
      <c r="C245" s="22"/>
      <c r="D245" s="47" t="s">
        <v>24</v>
      </c>
      <c r="E245" s="35" t="s">
        <v>109</v>
      </c>
      <c r="F245" s="13"/>
      <c r="G245" s="36">
        <v>10.0</v>
      </c>
      <c r="H245" s="36" t="s">
        <v>95</v>
      </c>
      <c r="I245" s="48">
        <v>50000.0</v>
      </c>
      <c r="J245" s="46">
        <f t="shared" ref="J245:J248" si="98">G245*I245</f>
        <v>500000</v>
      </c>
      <c r="K245" s="46"/>
      <c r="L245" s="46"/>
      <c r="M245" s="46"/>
      <c r="N245" s="46"/>
      <c r="O245" s="24">
        <f t="shared" si="5"/>
        <v>500000</v>
      </c>
      <c r="P245" s="24">
        <f t="shared" si="6"/>
        <v>500000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22"/>
      <c r="C246" s="22"/>
      <c r="D246" s="47" t="s">
        <v>24</v>
      </c>
      <c r="E246" s="35" t="s">
        <v>110</v>
      </c>
      <c r="F246" s="13"/>
      <c r="G246" s="36">
        <v>2.0</v>
      </c>
      <c r="H246" s="36" t="s">
        <v>95</v>
      </c>
      <c r="I246" s="48">
        <v>100000.0</v>
      </c>
      <c r="J246" s="46">
        <f t="shared" si="98"/>
        <v>200000</v>
      </c>
      <c r="K246" s="46"/>
      <c r="L246" s="46"/>
      <c r="M246" s="46"/>
      <c r="N246" s="46"/>
      <c r="O246" s="24">
        <f t="shared" si="5"/>
        <v>200000</v>
      </c>
      <c r="P246" s="24">
        <f t="shared" si="6"/>
        <v>200000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22"/>
      <c r="C247" s="22"/>
      <c r="D247" s="47" t="s">
        <v>24</v>
      </c>
      <c r="E247" s="35" t="s">
        <v>111</v>
      </c>
      <c r="F247" s="13"/>
      <c r="G247" s="36">
        <v>2.0</v>
      </c>
      <c r="H247" s="36" t="s">
        <v>95</v>
      </c>
      <c r="I247" s="48">
        <v>200000.0</v>
      </c>
      <c r="J247" s="46">
        <f t="shared" si="98"/>
        <v>400000</v>
      </c>
      <c r="K247" s="46"/>
      <c r="L247" s="46"/>
      <c r="M247" s="46"/>
      <c r="N247" s="46"/>
      <c r="O247" s="24">
        <f t="shared" si="5"/>
        <v>400000</v>
      </c>
      <c r="P247" s="24">
        <f t="shared" si="6"/>
        <v>400000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22"/>
      <c r="C248" s="22"/>
      <c r="D248" s="47" t="s">
        <v>24</v>
      </c>
      <c r="E248" s="35" t="s">
        <v>112</v>
      </c>
      <c r="F248" s="13"/>
      <c r="G248" s="36">
        <v>2.0</v>
      </c>
      <c r="H248" s="36" t="s">
        <v>95</v>
      </c>
      <c r="I248" s="48">
        <v>30000.0</v>
      </c>
      <c r="J248" s="46">
        <f t="shared" si="98"/>
        <v>60000</v>
      </c>
      <c r="K248" s="46"/>
      <c r="L248" s="46"/>
      <c r="M248" s="46"/>
      <c r="N248" s="46"/>
      <c r="O248" s="24">
        <f t="shared" si="5"/>
        <v>60000</v>
      </c>
      <c r="P248" s="24">
        <f t="shared" si="6"/>
        <v>60000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41" t="s">
        <v>113</v>
      </c>
      <c r="C249" s="13"/>
      <c r="D249" s="41" t="s">
        <v>114</v>
      </c>
      <c r="E249" s="12"/>
      <c r="F249" s="13"/>
      <c r="G249" s="42"/>
      <c r="H249" s="22"/>
      <c r="I249" s="22"/>
      <c r="J249" s="43">
        <f t="shared" ref="J249:K249" si="99">J250</f>
        <v>410750000</v>
      </c>
      <c r="K249" s="43">
        <f t="shared" si="99"/>
        <v>0</v>
      </c>
      <c r="L249" s="43"/>
      <c r="M249" s="43">
        <f>M250</f>
        <v>13028400</v>
      </c>
      <c r="N249" s="43"/>
      <c r="O249" s="24">
        <f t="shared" si="5"/>
        <v>410750000</v>
      </c>
      <c r="P249" s="24">
        <f t="shared" si="6"/>
        <v>397721600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35" t="s">
        <v>68</v>
      </c>
      <c r="C250" s="13"/>
      <c r="D250" s="44" t="s">
        <v>69</v>
      </c>
      <c r="E250" s="12"/>
      <c r="F250" s="13"/>
      <c r="G250" s="45"/>
      <c r="H250" s="22"/>
      <c r="I250" s="22"/>
      <c r="J250" s="46">
        <f t="shared" ref="J250:K250" si="100">SUM(J252:J262)</f>
        <v>410750000</v>
      </c>
      <c r="K250" s="46">
        <f t="shared" si="100"/>
        <v>0</v>
      </c>
      <c r="L250" s="46"/>
      <c r="M250" s="46">
        <f>SUM(M252:M262)</f>
        <v>13028400</v>
      </c>
      <c r="N250" s="46"/>
      <c r="O250" s="24">
        <f t="shared" si="5"/>
        <v>410750000</v>
      </c>
      <c r="P250" s="24">
        <f t="shared" si="6"/>
        <v>397721600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22"/>
      <c r="C251" s="22"/>
      <c r="D251" s="35" t="s">
        <v>23</v>
      </c>
      <c r="E251" s="12"/>
      <c r="F251" s="13"/>
      <c r="G251" s="36"/>
      <c r="H251" s="22"/>
      <c r="I251" s="22"/>
      <c r="J251" s="22"/>
      <c r="K251" s="22"/>
      <c r="L251" s="22"/>
      <c r="M251" s="22"/>
      <c r="N251" s="22"/>
      <c r="O251" s="24">
        <f t="shared" si="5"/>
        <v>0</v>
      </c>
      <c r="P251" s="24">
        <f t="shared" si="6"/>
        <v>0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22"/>
      <c r="C252" s="22"/>
      <c r="D252" s="47" t="s">
        <v>24</v>
      </c>
      <c r="E252" s="35" t="s">
        <v>172</v>
      </c>
      <c r="F252" s="13"/>
      <c r="G252" s="36">
        <v>100.0</v>
      </c>
      <c r="H252" s="36" t="s">
        <v>95</v>
      </c>
      <c r="I252" s="48">
        <v>110000.0</v>
      </c>
      <c r="J252" s="46">
        <f t="shared" ref="J252:J262" si="101">G252*I252</f>
        <v>11000000</v>
      </c>
      <c r="K252" s="46"/>
      <c r="L252" s="46"/>
      <c r="M252" s="46"/>
      <c r="N252" s="46"/>
      <c r="O252" s="24">
        <f t="shared" si="5"/>
        <v>11000000</v>
      </c>
      <c r="P252" s="24">
        <f t="shared" si="6"/>
        <v>11000000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22"/>
      <c r="C253" s="22"/>
      <c r="D253" s="47" t="s">
        <v>24</v>
      </c>
      <c r="E253" s="35" t="s">
        <v>173</v>
      </c>
      <c r="F253" s="13"/>
      <c r="G253" s="36">
        <v>100.0</v>
      </c>
      <c r="H253" s="36" t="s">
        <v>95</v>
      </c>
      <c r="I253" s="48">
        <v>120000.0</v>
      </c>
      <c r="J253" s="46">
        <f t="shared" si="101"/>
        <v>12000000</v>
      </c>
      <c r="K253" s="46"/>
      <c r="L253" s="46"/>
      <c r="M253" s="46"/>
      <c r="N253" s="46"/>
      <c r="O253" s="24">
        <f t="shared" si="5"/>
        <v>12000000</v>
      </c>
      <c r="P253" s="24">
        <f t="shared" si="6"/>
        <v>12000000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22"/>
      <c r="C254" s="22"/>
      <c r="D254" s="47" t="s">
        <v>24</v>
      </c>
      <c r="E254" s="35" t="s">
        <v>174</v>
      </c>
      <c r="F254" s="13"/>
      <c r="G254" s="36">
        <v>100.0</v>
      </c>
      <c r="H254" s="36" t="s">
        <v>95</v>
      </c>
      <c r="I254" s="48">
        <v>150000.0</v>
      </c>
      <c r="J254" s="46">
        <f t="shared" si="101"/>
        <v>15000000</v>
      </c>
      <c r="K254" s="46"/>
      <c r="L254" s="46"/>
      <c r="M254" s="46"/>
      <c r="N254" s="46"/>
      <c r="O254" s="24">
        <f t="shared" si="5"/>
        <v>15000000</v>
      </c>
      <c r="P254" s="24">
        <f t="shared" si="6"/>
        <v>15000000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22"/>
      <c r="C255" s="22"/>
      <c r="D255" s="47" t="s">
        <v>24</v>
      </c>
      <c r="E255" s="35" t="s">
        <v>175</v>
      </c>
      <c r="F255" s="13"/>
      <c r="G255" s="36">
        <v>100.0</v>
      </c>
      <c r="H255" s="36" t="s">
        <v>95</v>
      </c>
      <c r="I255" s="48">
        <v>100000.0</v>
      </c>
      <c r="J255" s="46">
        <f t="shared" si="101"/>
        <v>10000000</v>
      </c>
      <c r="K255" s="46"/>
      <c r="L255" s="46"/>
      <c r="M255" s="46"/>
      <c r="N255" s="46"/>
      <c r="O255" s="24">
        <f t="shared" si="5"/>
        <v>10000000</v>
      </c>
      <c r="P255" s="24">
        <f t="shared" si="6"/>
        <v>10000000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22"/>
      <c r="C256" s="22"/>
      <c r="D256" s="47" t="s">
        <v>24</v>
      </c>
      <c r="E256" s="35" t="s">
        <v>176</v>
      </c>
      <c r="F256" s="13"/>
      <c r="G256" s="36">
        <v>100.0</v>
      </c>
      <c r="H256" s="36" t="s">
        <v>95</v>
      </c>
      <c r="I256" s="48">
        <v>350000.0</v>
      </c>
      <c r="J256" s="46">
        <f t="shared" si="101"/>
        <v>35000000</v>
      </c>
      <c r="K256" s="46"/>
      <c r="L256" s="46"/>
      <c r="M256" s="46"/>
      <c r="N256" s="46"/>
      <c r="O256" s="24">
        <f t="shared" si="5"/>
        <v>35000000</v>
      </c>
      <c r="P256" s="24">
        <f t="shared" si="6"/>
        <v>35000000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22"/>
      <c r="C257" s="22"/>
      <c r="D257" s="47" t="s">
        <v>24</v>
      </c>
      <c r="E257" s="35" t="s">
        <v>177</v>
      </c>
      <c r="F257" s="13"/>
      <c r="G257" s="36">
        <v>50.0</v>
      </c>
      <c r="H257" s="36" t="s">
        <v>95</v>
      </c>
      <c r="I257" s="48">
        <v>175000.0</v>
      </c>
      <c r="J257" s="46">
        <f t="shared" si="101"/>
        <v>8750000</v>
      </c>
      <c r="K257" s="46"/>
      <c r="L257" s="46"/>
      <c r="M257" s="46"/>
      <c r="N257" s="46"/>
      <c r="O257" s="24">
        <f t="shared" si="5"/>
        <v>8750000</v>
      </c>
      <c r="P257" s="24">
        <f t="shared" si="6"/>
        <v>8750000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22"/>
      <c r="C258" s="22"/>
      <c r="D258" s="47" t="s">
        <v>24</v>
      </c>
      <c r="E258" s="35" t="s">
        <v>178</v>
      </c>
      <c r="F258" s="13"/>
      <c r="G258" s="36">
        <v>350.0</v>
      </c>
      <c r="H258" s="36" t="s">
        <v>95</v>
      </c>
      <c r="I258" s="48">
        <v>150000.0</v>
      </c>
      <c r="J258" s="46">
        <f t="shared" si="101"/>
        <v>52500000</v>
      </c>
      <c r="K258" s="46"/>
      <c r="L258" s="46"/>
      <c r="M258" s="46"/>
      <c r="N258" s="46"/>
      <c r="O258" s="24">
        <f t="shared" si="5"/>
        <v>52500000</v>
      </c>
      <c r="P258" s="24">
        <f t="shared" si="6"/>
        <v>52500000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22"/>
      <c r="C259" s="22"/>
      <c r="D259" s="47" t="s">
        <v>24</v>
      </c>
      <c r="E259" s="35" t="s">
        <v>179</v>
      </c>
      <c r="F259" s="13"/>
      <c r="G259" s="36">
        <v>350.0</v>
      </c>
      <c r="H259" s="36" t="s">
        <v>95</v>
      </c>
      <c r="I259" s="48">
        <v>200000.0</v>
      </c>
      <c r="J259" s="46">
        <f t="shared" si="101"/>
        <v>70000000</v>
      </c>
      <c r="K259" s="46"/>
      <c r="L259" s="46"/>
      <c r="M259" s="46"/>
      <c r="N259" s="46"/>
      <c r="O259" s="24">
        <f t="shared" si="5"/>
        <v>70000000</v>
      </c>
      <c r="P259" s="24">
        <f t="shared" si="6"/>
        <v>70000000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22"/>
      <c r="C260" s="22"/>
      <c r="D260" s="47" t="s">
        <v>24</v>
      </c>
      <c r="E260" s="35" t="s">
        <v>180</v>
      </c>
      <c r="F260" s="13"/>
      <c r="G260" s="36">
        <v>600.0</v>
      </c>
      <c r="H260" s="36" t="s">
        <v>95</v>
      </c>
      <c r="I260" s="48">
        <v>250000.0</v>
      </c>
      <c r="J260" s="46">
        <f t="shared" si="101"/>
        <v>150000000</v>
      </c>
      <c r="K260" s="46"/>
      <c r="L260" s="46"/>
      <c r="M260" s="46">
        <v>1.248555E7</v>
      </c>
      <c r="N260" s="46"/>
      <c r="O260" s="24">
        <f t="shared" si="5"/>
        <v>150000000</v>
      </c>
      <c r="P260" s="24">
        <f t="shared" si="6"/>
        <v>137514450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22"/>
      <c r="C261" s="22"/>
      <c r="D261" s="47" t="s">
        <v>24</v>
      </c>
      <c r="E261" s="35" t="s">
        <v>181</v>
      </c>
      <c r="F261" s="13"/>
      <c r="G261" s="36">
        <v>360.0</v>
      </c>
      <c r="H261" s="36" t="s">
        <v>95</v>
      </c>
      <c r="I261" s="48">
        <v>100000.0</v>
      </c>
      <c r="J261" s="46">
        <f t="shared" si="101"/>
        <v>36000000</v>
      </c>
      <c r="K261" s="46"/>
      <c r="L261" s="46"/>
      <c r="M261" s="46">
        <v>542850.0</v>
      </c>
      <c r="N261" s="46"/>
      <c r="O261" s="24">
        <f t="shared" si="5"/>
        <v>36000000</v>
      </c>
      <c r="P261" s="24">
        <f t="shared" si="6"/>
        <v>35457150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22"/>
      <c r="C262" s="22"/>
      <c r="D262" s="47" t="s">
        <v>24</v>
      </c>
      <c r="E262" s="35" t="s">
        <v>182</v>
      </c>
      <c r="F262" s="13"/>
      <c r="G262" s="36">
        <v>210.0</v>
      </c>
      <c r="H262" s="36" t="s">
        <v>95</v>
      </c>
      <c r="I262" s="48">
        <v>50000.0</v>
      </c>
      <c r="J262" s="46">
        <f t="shared" si="101"/>
        <v>10500000</v>
      </c>
      <c r="K262" s="46"/>
      <c r="L262" s="46"/>
      <c r="M262" s="46"/>
      <c r="N262" s="46"/>
      <c r="O262" s="24">
        <f t="shared" si="5"/>
        <v>10500000</v>
      </c>
      <c r="P262" s="24">
        <f t="shared" si="6"/>
        <v>10500000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41" t="s">
        <v>126</v>
      </c>
      <c r="C263" s="13"/>
      <c r="D263" s="41" t="s">
        <v>127</v>
      </c>
      <c r="E263" s="12"/>
      <c r="F263" s="13"/>
      <c r="G263" s="42"/>
      <c r="H263" s="22"/>
      <c r="I263" s="22"/>
      <c r="J263" s="43">
        <f t="shared" ref="J263:K263" si="102">J264</f>
        <v>190740000</v>
      </c>
      <c r="K263" s="43">
        <f t="shared" si="102"/>
        <v>0</v>
      </c>
      <c r="L263" s="43"/>
      <c r="M263" s="43">
        <f>M264</f>
        <v>0</v>
      </c>
      <c r="N263" s="43"/>
      <c r="O263" s="24">
        <f t="shared" si="5"/>
        <v>190740000</v>
      </c>
      <c r="P263" s="24">
        <f t="shared" si="6"/>
        <v>190740000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35" t="s">
        <v>68</v>
      </c>
      <c r="C264" s="13"/>
      <c r="D264" s="44" t="s">
        <v>69</v>
      </c>
      <c r="E264" s="12"/>
      <c r="F264" s="13"/>
      <c r="G264" s="45"/>
      <c r="H264" s="22"/>
      <c r="I264" s="22"/>
      <c r="J264" s="46">
        <f t="shared" ref="J264:K264" si="103">SUM(J266:J270)</f>
        <v>190740000</v>
      </c>
      <c r="K264" s="46">
        <f t="shared" si="103"/>
        <v>0</v>
      </c>
      <c r="L264" s="46"/>
      <c r="M264" s="46">
        <f>SUM(M266:M270)</f>
        <v>0</v>
      </c>
      <c r="N264" s="46"/>
      <c r="O264" s="24">
        <f t="shared" si="5"/>
        <v>190740000</v>
      </c>
      <c r="P264" s="24">
        <f t="shared" si="6"/>
        <v>190740000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22"/>
      <c r="C265" s="22"/>
      <c r="D265" s="35" t="s">
        <v>23</v>
      </c>
      <c r="E265" s="12"/>
      <c r="F265" s="13"/>
      <c r="G265" s="36"/>
      <c r="H265" s="22"/>
      <c r="I265" s="22"/>
      <c r="J265" s="22"/>
      <c r="K265" s="22"/>
      <c r="L265" s="22"/>
      <c r="M265" s="22"/>
      <c r="N265" s="22"/>
      <c r="O265" s="24">
        <f t="shared" si="5"/>
        <v>0</v>
      </c>
      <c r="P265" s="24">
        <f t="shared" si="6"/>
        <v>0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22"/>
      <c r="C266" s="22"/>
      <c r="D266" s="47" t="s">
        <v>24</v>
      </c>
      <c r="E266" s="35" t="s">
        <v>128</v>
      </c>
      <c r="F266" s="13"/>
      <c r="G266" s="36">
        <v>88.0</v>
      </c>
      <c r="H266" s="36" t="s">
        <v>129</v>
      </c>
      <c r="I266" s="48">
        <v>110000.0</v>
      </c>
      <c r="J266" s="46">
        <f t="shared" ref="J266:J270" si="104">G266*I266</f>
        <v>9680000</v>
      </c>
      <c r="K266" s="46"/>
      <c r="L266" s="46"/>
      <c r="M266" s="46"/>
      <c r="N266" s="46"/>
      <c r="O266" s="24">
        <f t="shared" si="5"/>
        <v>9680000</v>
      </c>
      <c r="P266" s="24">
        <f t="shared" si="6"/>
        <v>9680000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22"/>
      <c r="C267" s="22"/>
      <c r="D267" s="47" t="s">
        <v>24</v>
      </c>
      <c r="E267" s="35" t="s">
        <v>130</v>
      </c>
      <c r="F267" s="13"/>
      <c r="G267" s="36">
        <v>88.0</v>
      </c>
      <c r="H267" s="36" t="s">
        <v>129</v>
      </c>
      <c r="I267" s="48">
        <v>120000.0</v>
      </c>
      <c r="J267" s="46">
        <f t="shared" si="104"/>
        <v>10560000</v>
      </c>
      <c r="K267" s="46"/>
      <c r="L267" s="46"/>
      <c r="M267" s="46"/>
      <c r="N267" s="46"/>
      <c r="O267" s="24">
        <f t="shared" si="5"/>
        <v>10560000</v>
      </c>
      <c r="P267" s="24">
        <f t="shared" si="6"/>
        <v>10560000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22"/>
      <c r="C268" s="22"/>
      <c r="D268" s="47" t="s">
        <v>24</v>
      </c>
      <c r="E268" s="35" t="s">
        <v>131</v>
      </c>
      <c r="F268" s="13"/>
      <c r="G268" s="36">
        <v>88.0</v>
      </c>
      <c r="H268" s="36" t="s">
        <v>129</v>
      </c>
      <c r="I268" s="48">
        <v>350000.0</v>
      </c>
      <c r="J268" s="46">
        <f t="shared" si="104"/>
        <v>30800000</v>
      </c>
      <c r="K268" s="46"/>
      <c r="L268" s="46"/>
      <c r="M268" s="46"/>
      <c r="N268" s="46"/>
      <c r="O268" s="24">
        <f t="shared" si="5"/>
        <v>30800000</v>
      </c>
      <c r="P268" s="24">
        <f t="shared" si="6"/>
        <v>30800000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22"/>
      <c r="C269" s="22"/>
      <c r="D269" s="47" t="s">
        <v>24</v>
      </c>
      <c r="E269" s="35" t="s">
        <v>132</v>
      </c>
      <c r="F269" s="13"/>
      <c r="G269" s="36">
        <v>44.0</v>
      </c>
      <c r="H269" s="36" t="s">
        <v>129</v>
      </c>
      <c r="I269" s="48">
        <v>175000.0</v>
      </c>
      <c r="J269" s="46">
        <f t="shared" si="104"/>
        <v>7700000</v>
      </c>
      <c r="K269" s="46"/>
      <c r="L269" s="46"/>
      <c r="M269" s="46"/>
      <c r="N269" s="46"/>
      <c r="O269" s="24">
        <f t="shared" si="5"/>
        <v>7700000</v>
      </c>
      <c r="P269" s="24">
        <f t="shared" si="6"/>
        <v>7700000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22"/>
      <c r="C270" s="22"/>
      <c r="D270" s="47" t="s">
        <v>24</v>
      </c>
      <c r="E270" s="35" t="s">
        <v>133</v>
      </c>
      <c r="F270" s="13"/>
      <c r="G270" s="36">
        <v>528.0</v>
      </c>
      <c r="H270" s="36" t="s">
        <v>129</v>
      </c>
      <c r="I270" s="48">
        <v>250000.0</v>
      </c>
      <c r="J270" s="46">
        <f t="shared" si="104"/>
        <v>132000000</v>
      </c>
      <c r="K270" s="46"/>
      <c r="L270" s="46"/>
      <c r="M270" s="46"/>
      <c r="N270" s="46"/>
      <c r="O270" s="24">
        <f t="shared" si="5"/>
        <v>132000000</v>
      </c>
      <c r="P270" s="24">
        <f t="shared" si="6"/>
        <v>132000000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41" t="s">
        <v>134</v>
      </c>
      <c r="C271" s="13"/>
      <c r="D271" s="41" t="s">
        <v>135</v>
      </c>
      <c r="E271" s="12"/>
      <c r="F271" s="13"/>
      <c r="G271" s="42"/>
      <c r="H271" s="22"/>
      <c r="I271" s="22"/>
      <c r="J271" s="43">
        <f t="shared" ref="J271:K271" si="105">J272</f>
        <v>20020000</v>
      </c>
      <c r="K271" s="43">
        <f t="shared" si="105"/>
        <v>0</v>
      </c>
      <c r="L271" s="43"/>
      <c r="M271" s="43">
        <f>M272</f>
        <v>0</v>
      </c>
      <c r="N271" s="43"/>
      <c r="O271" s="24">
        <f t="shared" si="5"/>
        <v>20020000</v>
      </c>
      <c r="P271" s="24">
        <f t="shared" si="6"/>
        <v>20020000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35" t="s">
        <v>68</v>
      </c>
      <c r="C272" s="13"/>
      <c r="D272" s="44" t="s">
        <v>69</v>
      </c>
      <c r="E272" s="12"/>
      <c r="F272" s="13"/>
      <c r="G272" s="45"/>
      <c r="H272" s="22"/>
      <c r="I272" s="22"/>
      <c r="J272" s="46">
        <f t="shared" ref="J272:K272" si="106">SUM(J274:J278)</f>
        <v>20020000</v>
      </c>
      <c r="K272" s="46">
        <f t="shared" si="106"/>
        <v>0</v>
      </c>
      <c r="L272" s="46"/>
      <c r="M272" s="46">
        <f>SUM(M274:M278)</f>
        <v>0</v>
      </c>
      <c r="N272" s="46"/>
      <c r="O272" s="24">
        <f t="shared" si="5"/>
        <v>20020000</v>
      </c>
      <c r="P272" s="24">
        <f t="shared" si="6"/>
        <v>20020000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22"/>
      <c r="C273" s="22"/>
      <c r="D273" s="35" t="s">
        <v>23</v>
      </c>
      <c r="E273" s="12"/>
      <c r="F273" s="13"/>
      <c r="G273" s="36"/>
      <c r="H273" s="22"/>
      <c r="I273" s="22"/>
      <c r="J273" s="22"/>
      <c r="K273" s="22"/>
      <c r="L273" s="22"/>
      <c r="M273" s="22"/>
      <c r="N273" s="22"/>
      <c r="O273" s="24">
        <f t="shared" si="5"/>
        <v>0</v>
      </c>
      <c r="P273" s="24">
        <f t="shared" si="6"/>
        <v>0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22"/>
      <c r="C274" s="22"/>
      <c r="D274" s="47" t="s">
        <v>24</v>
      </c>
      <c r="E274" s="35" t="s">
        <v>183</v>
      </c>
      <c r="F274" s="13"/>
      <c r="G274" s="36">
        <v>150.0</v>
      </c>
      <c r="H274" s="36" t="s">
        <v>95</v>
      </c>
      <c r="I274" s="48">
        <v>75000.0</v>
      </c>
      <c r="J274" s="46">
        <f t="shared" ref="J274:J278" si="107">G274*I274</f>
        <v>11250000</v>
      </c>
      <c r="K274" s="46"/>
      <c r="L274" s="46"/>
      <c r="M274" s="46"/>
      <c r="N274" s="46"/>
      <c r="O274" s="24">
        <f t="shared" si="5"/>
        <v>11250000</v>
      </c>
      <c r="P274" s="24">
        <f t="shared" si="6"/>
        <v>11250000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22"/>
      <c r="C275" s="22"/>
      <c r="D275" s="47" t="s">
        <v>24</v>
      </c>
      <c r="E275" s="35" t="s">
        <v>137</v>
      </c>
      <c r="F275" s="13"/>
      <c r="G275" s="36">
        <v>2.0</v>
      </c>
      <c r="H275" s="36" t="s">
        <v>95</v>
      </c>
      <c r="I275" s="48">
        <v>360000.0</v>
      </c>
      <c r="J275" s="46">
        <f t="shared" si="107"/>
        <v>720000</v>
      </c>
      <c r="K275" s="46"/>
      <c r="L275" s="46"/>
      <c r="M275" s="46"/>
      <c r="N275" s="46"/>
      <c r="O275" s="24">
        <f t="shared" si="5"/>
        <v>720000</v>
      </c>
      <c r="P275" s="24">
        <f t="shared" si="6"/>
        <v>720000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22"/>
      <c r="C276" s="22"/>
      <c r="D276" s="47" t="s">
        <v>24</v>
      </c>
      <c r="E276" s="35" t="s">
        <v>184</v>
      </c>
      <c r="F276" s="13"/>
      <c r="G276" s="36">
        <v>50.0</v>
      </c>
      <c r="H276" s="36" t="s">
        <v>95</v>
      </c>
      <c r="I276" s="48">
        <v>93000.0</v>
      </c>
      <c r="J276" s="46">
        <f t="shared" si="107"/>
        <v>4650000</v>
      </c>
      <c r="K276" s="46"/>
      <c r="L276" s="46"/>
      <c r="M276" s="46"/>
      <c r="N276" s="46"/>
      <c r="O276" s="24">
        <f t="shared" si="5"/>
        <v>4650000</v>
      </c>
      <c r="P276" s="24">
        <f t="shared" si="6"/>
        <v>4650000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22"/>
      <c r="C277" s="22"/>
      <c r="D277" s="47" t="s">
        <v>24</v>
      </c>
      <c r="E277" s="35" t="s">
        <v>185</v>
      </c>
      <c r="F277" s="13"/>
      <c r="G277" s="36">
        <v>50.0</v>
      </c>
      <c r="H277" s="36" t="s">
        <v>95</v>
      </c>
      <c r="I277" s="48">
        <v>53000.0</v>
      </c>
      <c r="J277" s="46">
        <f t="shared" si="107"/>
        <v>2650000</v>
      </c>
      <c r="K277" s="46"/>
      <c r="L277" s="46"/>
      <c r="M277" s="46"/>
      <c r="N277" s="46"/>
      <c r="O277" s="24">
        <f t="shared" si="5"/>
        <v>2650000</v>
      </c>
      <c r="P277" s="24">
        <f t="shared" si="6"/>
        <v>2650000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22"/>
      <c r="C278" s="22"/>
      <c r="D278" s="47" t="s">
        <v>24</v>
      </c>
      <c r="E278" s="35" t="s">
        <v>186</v>
      </c>
      <c r="F278" s="13"/>
      <c r="G278" s="36">
        <v>50.0</v>
      </c>
      <c r="H278" s="36" t="s">
        <v>95</v>
      </c>
      <c r="I278" s="48">
        <v>15000.0</v>
      </c>
      <c r="J278" s="46">
        <f t="shared" si="107"/>
        <v>750000</v>
      </c>
      <c r="K278" s="46"/>
      <c r="L278" s="46"/>
      <c r="M278" s="46"/>
      <c r="N278" s="46"/>
      <c r="O278" s="24">
        <f t="shared" si="5"/>
        <v>750000</v>
      </c>
      <c r="P278" s="24">
        <f t="shared" si="6"/>
        <v>750000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41" t="s">
        <v>141</v>
      </c>
      <c r="C279" s="13"/>
      <c r="D279" s="41" t="s">
        <v>142</v>
      </c>
      <c r="E279" s="12"/>
      <c r="F279" s="13"/>
      <c r="G279" s="42"/>
      <c r="H279" s="22"/>
      <c r="I279" s="22"/>
      <c r="J279" s="43">
        <f t="shared" ref="J279:K279" si="108">J280</f>
        <v>145500000</v>
      </c>
      <c r="K279" s="43">
        <f t="shared" si="108"/>
        <v>0</v>
      </c>
      <c r="L279" s="43"/>
      <c r="M279" s="43">
        <f>M280</f>
        <v>0</v>
      </c>
      <c r="N279" s="43"/>
      <c r="O279" s="24">
        <f t="shared" si="5"/>
        <v>145500000</v>
      </c>
      <c r="P279" s="24">
        <f t="shared" si="6"/>
        <v>145500000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35" t="s">
        <v>68</v>
      </c>
      <c r="C280" s="13"/>
      <c r="D280" s="44" t="s">
        <v>69</v>
      </c>
      <c r="E280" s="12"/>
      <c r="F280" s="13"/>
      <c r="G280" s="45"/>
      <c r="H280" s="22"/>
      <c r="I280" s="22"/>
      <c r="J280" s="46">
        <f t="shared" ref="J280:K280" si="109">SUM(J282:J284)</f>
        <v>145500000</v>
      </c>
      <c r="K280" s="46">
        <f t="shared" si="109"/>
        <v>0</v>
      </c>
      <c r="L280" s="46"/>
      <c r="M280" s="46">
        <f>SUM(M282:M284)</f>
        <v>0</v>
      </c>
      <c r="N280" s="46"/>
      <c r="O280" s="24">
        <f t="shared" si="5"/>
        <v>145500000</v>
      </c>
      <c r="P280" s="24">
        <f t="shared" si="6"/>
        <v>145500000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22"/>
      <c r="C281" s="22"/>
      <c r="D281" s="35" t="s">
        <v>23</v>
      </c>
      <c r="E281" s="12"/>
      <c r="F281" s="13"/>
      <c r="G281" s="36"/>
      <c r="H281" s="22"/>
      <c r="I281" s="22"/>
      <c r="J281" s="22"/>
      <c r="K281" s="22"/>
      <c r="L281" s="22"/>
      <c r="M281" s="22"/>
      <c r="N281" s="22"/>
      <c r="O281" s="24">
        <f t="shared" si="5"/>
        <v>0</v>
      </c>
      <c r="P281" s="24">
        <f t="shared" si="6"/>
        <v>0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22"/>
      <c r="C282" s="22"/>
      <c r="D282" s="47" t="s">
        <v>24</v>
      </c>
      <c r="E282" s="35" t="s">
        <v>187</v>
      </c>
      <c r="F282" s="13"/>
      <c r="G282" s="36">
        <v>50.0</v>
      </c>
      <c r="H282" s="36" t="s">
        <v>95</v>
      </c>
      <c r="I282" s="48">
        <v>2000000.0</v>
      </c>
      <c r="J282" s="46">
        <f t="shared" ref="J282:J284" si="110">G282*I282</f>
        <v>100000000</v>
      </c>
      <c r="K282" s="46"/>
      <c r="L282" s="46"/>
      <c r="M282" s="46"/>
      <c r="N282" s="46"/>
      <c r="O282" s="24">
        <f t="shared" si="5"/>
        <v>100000000</v>
      </c>
      <c r="P282" s="24">
        <f t="shared" si="6"/>
        <v>100000000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22"/>
      <c r="C283" s="22"/>
      <c r="D283" s="47" t="s">
        <v>24</v>
      </c>
      <c r="E283" s="35" t="s">
        <v>188</v>
      </c>
      <c r="F283" s="13"/>
      <c r="G283" s="36">
        <v>50.0</v>
      </c>
      <c r="H283" s="36" t="s">
        <v>95</v>
      </c>
      <c r="I283" s="48">
        <v>750000.0</v>
      </c>
      <c r="J283" s="46">
        <f t="shared" si="110"/>
        <v>37500000</v>
      </c>
      <c r="K283" s="46"/>
      <c r="L283" s="46"/>
      <c r="M283" s="46"/>
      <c r="N283" s="46"/>
      <c r="O283" s="24">
        <f t="shared" si="5"/>
        <v>37500000</v>
      </c>
      <c r="P283" s="24">
        <f t="shared" si="6"/>
        <v>37500000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22"/>
      <c r="C284" s="22"/>
      <c r="D284" s="47" t="s">
        <v>24</v>
      </c>
      <c r="E284" s="35" t="s">
        <v>145</v>
      </c>
      <c r="F284" s="13"/>
      <c r="G284" s="36">
        <v>4.0</v>
      </c>
      <c r="H284" s="36" t="s">
        <v>95</v>
      </c>
      <c r="I284" s="48">
        <v>2000000.0</v>
      </c>
      <c r="J284" s="46">
        <f t="shared" si="110"/>
        <v>8000000</v>
      </c>
      <c r="K284" s="46"/>
      <c r="L284" s="46"/>
      <c r="M284" s="46"/>
      <c r="N284" s="46"/>
      <c r="O284" s="24">
        <f t="shared" si="5"/>
        <v>8000000</v>
      </c>
      <c r="P284" s="24">
        <f t="shared" si="6"/>
        <v>8000000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41" t="s">
        <v>146</v>
      </c>
      <c r="C285" s="13"/>
      <c r="D285" s="41" t="s">
        <v>147</v>
      </c>
      <c r="E285" s="12"/>
      <c r="F285" s="13"/>
      <c r="G285" s="42"/>
      <c r="H285" s="22"/>
      <c r="I285" s="22"/>
      <c r="J285" s="43">
        <f t="shared" ref="J285:K285" si="111">J286+J293</f>
        <v>219800000</v>
      </c>
      <c r="K285" s="43">
        <f t="shared" si="111"/>
        <v>0</v>
      </c>
      <c r="L285" s="43"/>
      <c r="M285" s="43">
        <f>M286+M293</f>
        <v>7350000</v>
      </c>
      <c r="N285" s="43"/>
      <c r="O285" s="24">
        <f t="shared" si="5"/>
        <v>219800000</v>
      </c>
      <c r="P285" s="24">
        <f t="shared" si="6"/>
        <v>212450000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35" t="s">
        <v>74</v>
      </c>
      <c r="C286" s="13"/>
      <c r="D286" s="44" t="s">
        <v>75</v>
      </c>
      <c r="E286" s="12"/>
      <c r="F286" s="13"/>
      <c r="G286" s="45"/>
      <c r="H286" s="22"/>
      <c r="I286" s="22"/>
      <c r="J286" s="46">
        <f t="shared" ref="J286:K286" si="112">SUM(J288:J292)</f>
        <v>195800000</v>
      </c>
      <c r="K286" s="46">
        <f t="shared" si="112"/>
        <v>0</v>
      </c>
      <c r="L286" s="46"/>
      <c r="M286" s="46">
        <f>SUM(M288:M292)</f>
        <v>0</v>
      </c>
      <c r="N286" s="46"/>
      <c r="O286" s="24">
        <f t="shared" si="5"/>
        <v>195800000</v>
      </c>
      <c r="P286" s="24">
        <f t="shared" si="6"/>
        <v>195800000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22"/>
      <c r="C287" s="22"/>
      <c r="D287" s="35" t="s">
        <v>23</v>
      </c>
      <c r="E287" s="12"/>
      <c r="F287" s="13"/>
      <c r="G287" s="36"/>
      <c r="H287" s="22"/>
      <c r="I287" s="22"/>
      <c r="J287" s="22"/>
      <c r="K287" s="22"/>
      <c r="L287" s="22"/>
      <c r="M287" s="22"/>
      <c r="N287" s="22"/>
      <c r="O287" s="24">
        <f t="shared" si="5"/>
        <v>0</v>
      </c>
      <c r="P287" s="24">
        <f t="shared" si="6"/>
        <v>0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22"/>
      <c r="C288" s="22"/>
      <c r="D288" s="47" t="s">
        <v>24</v>
      </c>
      <c r="E288" s="35" t="s">
        <v>148</v>
      </c>
      <c r="F288" s="13"/>
      <c r="G288" s="36">
        <v>75.0</v>
      </c>
      <c r="H288" s="36" t="s">
        <v>26</v>
      </c>
      <c r="I288" s="48">
        <v>430000.0</v>
      </c>
      <c r="J288" s="46">
        <f t="shared" ref="J288:J292" si="113">G288*I288</f>
        <v>32250000</v>
      </c>
      <c r="K288" s="46"/>
      <c r="L288" s="46"/>
      <c r="M288" s="46"/>
      <c r="N288" s="46"/>
      <c r="O288" s="24">
        <f t="shared" si="5"/>
        <v>32250000</v>
      </c>
      <c r="P288" s="24">
        <f t="shared" si="6"/>
        <v>32250000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22"/>
      <c r="C289" s="22"/>
      <c r="D289" s="47" t="s">
        <v>24</v>
      </c>
      <c r="E289" s="35" t="s">
        <v>149</v>
      </c>
      <c r="F289" s="13"/>
      <c r="G289" s="36">
        <v>50.0</v>
      </c>
      <c r="H289" s="36" t="s">
        <v>26</v>
      </c>
      <c r="I289" s="48">
        <v>783500.0</v>
      </c>
      <c r="J289" s="46">
        <f t="shared" si="113"/>
        <v>39175000</v>
      </c>
      <c r="K289" s="46"/>
      <c r="L289" s="46"/>
      <c r="M289" s="46"/>
      <c r="N289" s="46"/>
      <c r="O289" s="24">
        <f t="shared" si="5"/>
        <v>39175000</v>
      </c>
      <c r="P289" s="24">
        <f t="shared" si="6"/>
        <v>39175000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22"/>
      <c r="C290" s="22"/>
      <c r="D290" s="47" t="s">
        <v>24</v>
      </c>
      <c r="E290" s="35" t="s">
        <v>150</v>
      </c>
      <c r="F290" s="13"/>
      <c r="G290" s="36">
        <v>25.0</v>
      </c>
      <c r="H290" s="36" t="s">
        <v>26</v>
      </c>
      <c r="I290" s="48">
        <v>875000.0</v>
      </c>
      <c r="J290" s="46">
        <f t="shared" si="113"/>
        <v>21875000</v>
      </c>
      <c r="K290" s="46"/>
      <c r="L290" s="46"/>
      <c r="M290" s="46"/>
      <c r="N290" s="46"/>
      <c r="O290" s="24">
        <f t="shared" si="5"/>
        <v>21875000</v>
      </c>
      <c r="P290" s="24">
        <f t="shared" si="6"/>
        <v>21875000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22"/>
      <c r="C291" s="22"/>
      <c r="D291" s="47" t="s">
        <v>24</v>
      </c>
      <c r="E291" s="35" t="s">
        <v>189</v>
      </c>
      <c r="F291" s="13"/>
      <c r="G291" s="36">
        <v>100.0</v>
      </c>
      <c r="H291" s="36" t="s">
        <v>26</v>
      </c>
      <c r="I291" s="48">
        <v>500000.0</v>
      </c>
      <c r="J291" s="46">
        <f t="shared" si="113"/>
        <v>50000000</v>
      </c>
      <c r="K291" s="46"/>
      <c r="L291" s="46"/>
      <c r="M291" s="46"/>
      <c r="N291" s="46"/>
      <c r="O291" s="24">
        <f t="shared" si="5"/>
        <v>50000000</v>
      </c>
      <c r="P291" s="24">
        <f t="shared" si="6"/>
        <v>50000000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22"/>
      <c r="C292" s="22"/>
      <c r="D292" s="47" t="s">
        <v>24</v>
      </c>
      <c r="E292" s="35" t="s">
        <v>190</v>
      </c>
      <c r="F292" s="13"/>
      <c r="G292" s="36">
        <v>150.0</v>
      </c>
      <c r="H292" s="36" t="s">
        <v>26</v>
      </c>
      <c r="I292" s="48">
        <v>350000.0</v>
      </c>
      <c r="J292" s="46">
        <f t="shared" si="113"/>
        <v>52500000</v>
      </c>
      <c r="K292" s="46"/>
      <c r="L292" s="46"/>
      <c r="M292" s="46"/>
      <c r="N292" s="46"/>
      <c r="O292" s="24">
        <f t="shared" si="5"/>
        <v>52500000</v>
      </c>
      <c r="P292" s="24">
        <f t="shared" si="6"/>
        <v>52500000</v>
      </c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35" t="s">
        <v>79</v>
      </c>
      <c r="C293" s="13"/>
      <c r="D293" s="44" t="s">
        <v>80</v>
      </c>
      <c r="E293" s="12"/>
      <c r="F293" s="13"/>
      <c r="G293" s="45"/>
      <c r="H293" s="22"/>
      <c r="I293" s="22"/>
      <c r="J293" s="46">
        <f t="shared" ref="J293:K293" si="114">J295</f>
        <v>24000000</v>
      </c>
      <c r="K293" s="46" t="str">
        <f t="shared" si="114"/>
        <v/>
      </c>
      <c r="L293" s="46"/>
      <c r="M293" s="46">
        <f>M295</f>
        <v>7350000</v>
      </c>
      <c r="N293" s="46"/>
      <c r="O293" s="24">
        <f t="shared" si="5"/>
        <v>24000000</v>
      </c>
      <c r="P293" s="24">
        <f t="shared" si="6"/>
        <v>16650000</v>
      </c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22"/>
      <c r="C294" s="22"/>
      <c r="D294" s="35" t="s">
        <v>23</v>
      </c>
      <c r="E294" s="12"/>
      <c r="F294" s="13"/>
      <c r="G294" s="36"/>
      <c r="H294" s="22"/>
      <c r="I294" s="22"/>
      <c r="J294" s="22"/>
      <c r="K294" s="22"/>
      <c r="L294" s="22"/>
      <c r="M294" s="22"/>
      <c r="N294" s="22"/>
      <c r="O294" s="24">
        <f t="shared" si="5"/>
        <v>0</v>
      </c>
      <c r="P294" s="24">
        <f t="shared" si="6"/>
        <v>0</v>
      </c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22"/>
      <c r="C295" s="22"/>
      <c r="D295" s="47" t="s">
        <v>24</v>
      </c>
      <c r="E295" s="35" t="s">
        <v>153</v>
      </c>
      <c r="F295" s="13"/>
      <c r="G295" s="36">
        <v>160.0</v>
      </c>
      <c r="H295" s="36" t="s">
        <v>26</v>
      </c>
      <c r="I295" s="48">
        <v>150000.0</v>
      </c>
      <c r="J295" s="46">
        <f>G295*I295</f>
        <v>24000000</v>
      </c>
      <c r="K295" s="46"/>
      <c r="L295" s="46"/>
      <c r="M295" s="46">
        <v>7350000.0</v>
      </c>
      <c r="N295" s="46"/>
      <c r="O295" s="24">
        <f t="shared" si="5"/>
        <v>24000000</v>
      </c>
      <c r="P295" s="24">
        <f t="shared" si="6"/>
        <v>16650000</v>
      </c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37" t="s">
        <v>191</v>
      </c>
      <c r="C296" s="13"/>
      <c r="D296" s="37" t="s">
        <v>192</v>
      </c>
      <c r="E296" s="12"/>
      <c r="F296" s="13"/>
      <c r="G296" s="38"/>
      <c r="H296" s="38"/>
      <c r="I296" s="39"/>
      <c r="J296" s="40">
        <f t="shared" ref="J296:K296" si="115">J297+J311+J323+J336+J353+J362+J372+J377+J393+J407+J415+J423+J429</f>
        <v>3064496000</v>
      </c>
      <c r="K296" s="40">
        <f t="shared" si="115"/>
        <v>170789000</v>
      </c>
      <c r="L296" s="40"/>
      <c r="M296" s="40">
        <f>M297+M311+M323+M336+M353+M362+M372+M377+M393+M407+M415+M423+M429</f>
        <v>295770418</v>
      </c>
      <c r="N296" s="40"/>
      <c r="O296" s="24">
        <f t="shared" si="5"/>
        <v>2893707000</v>
      </c>
      <c r="P296" s="24">
        <f t="shared" si="6"/>
        <v>2768725582</v>
      </c>
      <c r="Q296" s="51"/>
      <c r="R296" s="5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41" t="s">
        <v>20</v>
      </c>
      <c r="C297" s="13"/>
      <c r="D297" s="41" t="s">
        <v>21</v>
      </c>
      <c r="E297" s="12"/>
      <c r="F297" s="13"/>
      <c r="G297" s="42"/>
      <c r="H297" s="22"/>
      <c r="I297" s="22"/>
      <c r="J297" s="43">
        <f t="shared" ref="J297:K297" si="116">J298+J307</f>
        <v>142640000</v>
      </c>
      <c r="K297" s="43">
        <f t="shared" si="116"/>
        <v>0</v>
      </c>
      <c r="L297" s="43"/>
      <c r="M297" s="43">
        <f>M298+M307</f>
        <v>25201000</v>
      </c>
      <c r="N297" s="43"/>
      <c r="O297" s="24">
        <f t="shared" si="5"/>
        <v>142640000</v>
      </c>
      <c r="P297" s="24">
        <f t="shared" si="6"/>
        <v>117439000</v>
      </c>
      <c r="Q297" s="51"/>
      <c r="R297" s="5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35" t="s">
        <v>40</v>
      </c>
      <c r="C298" s="13"/>
      <c r="D298" s="44" t="s">
        <v>22</v>
      </c>
      <c r="E298" s="12"/>
      <c r="F298" s="13"/>
      <c r="G298" s="45"/>
      <c r="H298" s="22"/>
      <c r="I298" s="22"/>
      <c r="J298" s="46">
        <f t="shared" ref="J298:K298" si="117">SUM(J300:J306)</f>
        <v>130640000</v>
      </c>
      <c r="K298" s="46">
        <f t="shared" si="117"/>
        <v>0</v>
      </c>
      <c r="L298" s="46"/>
      <c r="M298" s="46">
        <f>SUM(M300:M306)</f>
        <v>19201000</v>
      </c>
      <c r="N298" s="46"/>
      <c r="O298" s="24">
        <f t="shared" si="5"/>
        <v>130640000</v>
      </c>
      <c r="P298" s="24">
        <f t="shared" si="6"/>
        <v>111439000</v>
      </c>
      <c r="Q298" s="51"/>
      <c r="R298" s="5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22"/>
      <c r="C299" s="22"/>
      <c r="D299" s="35" t="s">
        <v>23</v>
      </c>
      <c r="E299" s="12"/>
      <c r="F299" s="13"/>
      <c r="G299" s="36"/>
      <c r="H299" s="22"/>
      <c r="I299" s="22"/>
      <c r="J299" s="22"/>
      <c r="K299" s="22"/>
      <c r="L299" s="22"/>
      <c r="M299" s="22"/>
      <c r="N299" s="22"/>
      <c r="O299" s="24">
        <f t="shared" si="5"/>
        <v>0</v>
      </c>
      <c r="P299" s="24">
        <f t="shared" si="6"/>
        <v>0</v>
      </c>
      <c r="Q299" s="51"/>
      <c r="R299" s="5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22"/>
      <c r="C300" s="22"/>
      <c r="D300" s="47" t="s">
        <v>24</v>
      </c>
      <c r="E300" s="35" t="s">
        <v>156</v>
      </c>
      <c r="F300" s="13"/>
      <c r="G300" s="36">
        <v>24.0</v>
      </c>
      <c r="H300" s="36" t="s">
        <v>26</v>
      </c>
      <c r="I300" s="48">
        <v>500000.0</v>
      </c>
      <c r="J300" s="46">
        <f t="shared" ref="J300:J306" si="118">G300*I300</f>
        <v>12000000</v>
      </c>
      <c r="K300" s="46"/>
      <c r="L300" s="46"/>
      <c r="M300" s="46">
        <v>450000.0</v>
      </c>
      <c r="N300" s="46"/>
      <c r="O300" s="24">
        <f t="shared" si="5"/>
        <v>12000000</v>
      </c>
      <c r="P300" s="24">
        <f t="shared" si="6"/>
        <v>11550000</v>
      </c>
      <c r="Q300" s="51"/>
      <c r="R300" s="5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22"/>
      <c r="C301" s="22"/>
      <c r="D301" s="47" t="s">
        <v>24</v>
      </c>
      <c r="E301" s="35" t="s">
        <v>27</v>
      </c>
      <c r="F301" s="13"/>
      <c r="G301" s="36">
        <v>2.0</v>
      </c>
      <c r="H301" s="36" t="s">
        <v>26</v>
      </c>
      <c r="I301" s="48">
        <v>2000000.0</v>
      </c>
      <c r="J301" s="46">
        <f t="shared" si="118"/>
        <v>4000000</v>
      </c>
      <c r="K301" s="46"/>
      <c r="L301" s="46"/>
      <c r="M301" s="46"/>
      <c r="N301" s="46"/>
      <c r="O301" s="24">
        <f t="shared" si="5"/>
        <v>4000000</v>
      </c>
      <c r="P301" s="24">
        <f t="shared" si="6"/>
        <v>4000000</v>
      </c>
      <c r="Q301" s="51"/>
      <c r="R301" s="5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22"/>
      <c r="C302" s="22"/>
      <c r="D302" s="47" t="s">
        <v>24</v>
      </c>
      <c r="E302" s="35" t="s">
        <v>28</v>
      </c>
      <c r="F302" s="13"/>
      <c r="G302" s="36">
        <v>10.0</v>
      </c>
      <c r="H302" s="36" t="s">
        <v>26</v>
      </c>
      <c r="I302" s="48">
        <v>500000.0</v>
      </c>
      <c r="J302" s="46">
        <f t="shared" si="118"/>
        <v>5000000</v>
      </c>
      <c r="K302" s="46"/>
      <c r="L302" s="46"/>
      <c r="M302" s="46">
        <v>3201000.0</v>
      </c>
      <c r="N302" s="46"/>
      <c r="O302" s="24">
        <f t="shared" si="5"/>
        <v>5000000</v>
      </c>
      <c r="P302" s="24">
        <f t="shared" si="6"/>
        <v>1799000</v>
      </c>
      <c r="Q302" s="51"/>
      <c r="R302" s="5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22"/>
      <c r="C303" s="22"/>
      <c r="D303" s="47" t="s">
        <v>24</v>
      </c>
      <c r="E303" s="35" t="s">
        <v>157</v>
      </c>
      <c r="F303" s="13"/>
      <c r="G303" s="36">
        <v>200.0</v>
      </c>
      <c r="H303" s="36" t="s">
        <v>26</v>
      </c>
      <c r="I303" s="48">
        <v>25000.0</v>
      </c>
      <c r="J303" s="46">
        <f t="shared" si="118"/>
        <v>5000000</v>
      </c>
      <c r="K303" s="46"/>
      <c r="L303" s="46"/>
      <c r="M303" s="46">
        <v>3345000.0</v>
      </c>
      <c r="N303" s="46"/>
      <c r="O303" s="24">
        <f t="shared" si="5"/>
        <v>5000000</v>
      </c>
      <c r="P303" s="24">
        <f t="shared" si="6"/>
        <v>1655000</v>
      </c>
      <c r="Q303" s="51"/>
      <c r="R303" s="5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22"/>
      <c r="C304" s="22"/>
      <c r="D304" s="47" t="s">
        <v>24</v>
      </c>
      <c r="E304" s="35" t="s">
        <v>31</v>
      </c>
      <c r="F304" s="13"/>
      <c r="G304" s="36">
        <v>320.0</v>
      </c>
      <c r="H304" s="36" t="s">
        <v>26</v>
      </c>
      <c r="I304" s="48">
        <v>53000.0</v>
      </c>
      <c r="J304" s="46">
        <f t="shared" si="118"/>
        <v>16960000</v>
      </c>
      <c r="K304" s="46"/>
      <c r="L304" s="46"/>
      <c r="M304" s="46">
        <v>5960000.0</v>
      </c>
      <c r="N304" s="46"/>
      <c r="O304" s="24">
        <f t="shared" si="5"/>
        <v>16960000</v>
      </c>
      <c r="P304" s="24">
        <f t="shared" si="6"/>
        <v>11000000</v>
      </c>
      <c r="Q304" s="51"/>
      <c r="R304" s="5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22"/>
      <c r="C305" s="22"/>
      <c r="D305" s="47" t="s">
        <v>24</v>
      </c>
      <c r="E305" s="35" t="s">
        <v>32</v>
      </c>
      <c r="F305" s="13"/>
      <c r="G305" s="36">
        <v>320.0</v>
      </c>
      <c r="H305" s="36" t="s">
        <v>26</v>
      </c>
      <c r="I305" s="48">
        <v>24000.0</v>
      </c>
      <c r="J305" s="46">
        <f t="shared" si="118"/>
        <v>7680000</v>
      </c>
      <c r="K305" s="46"/>
      <c r="L305" s="46"/>
      <c r="M305" s="46"/>
      <c r="N305" s="46"/>
      <c r="O305" s="24">
        <f t="shared" si="5"/>
        <v>7680000</v>
      </c>
      <c r="P305" s="24">
        <f t="shared" si="6"/>
        <v>7680000</v>
      </c>
      <c r="Q305" s="51"/>
      <c r="R305" s="5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22"/>
      <c r="C306" s="22"/>
      <c r="D306" s="47" t="s">
        <v>24</v>
      </c>
      <c r="E306" s="35" t="s">
        <v>158</v>
      </c>
      <c r="F306" s="13"/>
      <c r="G306" s="36">
        <v>100.0</v>
      </c>
      <c r="H306" s="36" t="s">
        <v>26</v>
      </c>
      <c r="I306" s="48">
        <v>800000.0</v>
      </c>
      <c r="J306" s="46">
        <f t="shared" si="118"/>
        <v>80000000</v>
      </c>
      <c r="K306" s="46"/>
      <c r="L306" s="46"/>
      <c r="M306" s="46">
        <v>6245000.0</v>
      </c>
      <c r="N306" s="46"/>
      <c r="O306" s="24">
        <f t="shared" si="5"/>
        <v>80000000</v>
      </c>
      <c r="P306" s="24">
        <f t="shared" si="6"/>
        <v>73755000</v>
      </c>
      <c r="Q306" s="51"/>
      <c r="R306" s="5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35" t="s">
        <v>58</v>
      </c>
      <c r="C307" s="13"/>
      <c r="D307" s="44" t="s">
        <v>34</v>
      </c>
      <c r="E307" s="12"/>
      <c r="F307" s="13"/>
      <c r="G307" s="45"/>
      <c r="H307" s="22"/>
      <c r="I307" s="22"/>
      <c r="J307" s="46">
        <f t="shared" ref="J307:K307" si="119">SUM(J309:J310)</f>
        <v>12000000</v>
      </c>
      <c r="K307" s="46">
        <f t="shared" si="119"/>
        <v>0</v>
      </c>
      <c r="L307" s="46"/>
      <c r="M307" s="46">
        <f>SUM(M309:M310)</f>
        <v>6000000</v>
      </c>
      <c r="N307" s="46"/>
      <c r="O307" s="24">
        <f t="shared" si="5"/>
        <v>12000000</v>
      </c>
      <c r="P307" s="24">
        <f t="shared" si="6"/>
        <v>6000000</v>
      </c>
      <c r="Q307" s="51"/>
      <c r="R307" s="5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22"/>
      <c r="C308" s="22"/>
      <c r="D308" s="35" t="s">
        <v>23</v>
      </c>
      <c r="E308" s="12"/>
      <c r="F308" s="13"/>
      <c r="G308" s="36"/>
      <c r="H308" s="22"/>
      <c r="I308" s="22"/>
      <c r="J308" s="22"/>
      <c r="K308" s="22"/>
      <c r="L308" s="22"/>
      <c r="M308" s="22"/>
      <c r="N308" s="22"/>
      <c r="O308" s="24">
        <f t="shared" si="5"/>
        <v>0</v>
      </c>
      <c r="P308" s="24">
        <f t="shared" si="6"/>
        <v>0</v>
      </c>
      <c r="Q308" s="51"/>
      <c r="R308" s="5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22"/>
      <c r="C309" s="22"/>
      <c r="D309" s="47" t="s">
        <v>24</v>
      </c>
      <c r="E309" s="35" t="s">
        <v>159</v>
      </c>
      <c r="F309" s="13"/>
      <c r="G309" s="36">
        <v>16.0</v>
      </c>
      <c r="H309" s="36" t="s">
        <v>26</v>
      </c>
      <c r="I309" s="48">
        <v>500000.0</v>
      </c>
      <c r="J309" s="46">
        <f t="shared" ref="J309:J310" si="120">G309*I309</f>
        <v>8000000</v>
      </c>
      <c r="K309" s="46"/>
      <c r="L309" s="46"/>
      <c r="M309" s="46">
        <f>3000000+2500000</f>
        <v>5500000</v>
      </c>
      <c r="N309" s="46"/>
      <c r="O309" s="24">
        <f t="shared" si="5"/>
        <v>8000000</v>
      </c>
      <c r="P309" s="24">
        <f t="shared" si="6"/>
        <v>2500000</v>
      </c>
      <c r="Q309" s="52"/>
      <c r="R309" s="52" t="s">
        <v>193</v>
      </c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22"/>
      <c r="C310" s="22"/>
      <c r="D310" s="47" t="s">
        <v>24</v>
      </c>
      <c r="E310" s="35" t="s">
        <v>36</v>
      </c>
      <c r="F310" s="13"/>
      <c r="G310" s="36">
        <v>8.0</v>
      </c>
      <c r="H310" s="36" t="s">
        <v>26</v>
      </c>
      <c r="I310" s="48">
        <v>500000.0</v>
      </c>
      <c r="J310" s="46">
        <f t="shared" si="120"/>
        <v>4000000</v>
      </c>
      <c r="K310" s="46"/>
      <c r="L310" s="46"/>
      <c r="M310" s="46">
        <v>500000.0</v>
      </c>
      <c r="N310" s="46"/>
      <c r="O310" s="24">
        <f t="shared" si="5"/>
        <v>4000000</v>
      </c>
      <c r="P310" s="24">
        <f t="shared" si="6"/>
        <v>3500000</v>
      </c>
      <c r="Q310" s="51"/>
      <c r="R310" s="5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41" t="s">
        <v>37</v>
      </c>
      <c r="C311" s="13"/>
      <c r="D311" s="41" t="s">
        <v>38</v>
      </c>
      <c r="E311" s="12"/>
      <c r="F311" s="13"/>
      <c r="G311" s="42"/>
      <c r="H311" s="22"/>
      <c r="I311" s="22"/>
      <c r="J311" s="43">
        <f t="shared" ref="J311:K311" si="121">J312+J317+J320</f>
        <v>24400000</v>
      </c>
      <c r="K311" s="43">
        <f t="shared" si="121"/>
        <v>0</v>
      </c>
      <c r="L311" s="43"/>
      <c r="M311" s="43">
        <f>M312+M317+M320</f>
        <v>160000</v>
      </c>
      <c r="N311" s="43"/>
      <c r="O311" s="24">
        <f t="shared" si="5"/>
        <v>24400000</v>
      </c>
      <c r="P311" s="24">
        <f t="shared" si="6"/>
        <v>24240000</v>
      </c>
      <c r="Q311" s="51"/>
      <c r="R311" s="5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35" t="s">
        <v>40</v>
      </c>
      <c r="C312" s="13"/>
      <c r="D312" s="44" t="s">
        <v>22</v>
      </c>
      <c r="E312" s="12"/>
      <c r="F312" s="13"/>
      <c r="G312" s="45"/>
      <c r="H312" s="22"/>
      <c r="I312" s="22"/>
      <c r="J312" s="46">
        <f t="shared" ref="J312:K312" si="122">SUM(J314:J316)</f>
        <v>6400000</v>
      </c>
      <c r="K312" s="46">
        <f t="shared" si="122"/>
        <v>0</v>
      </c>
      <c r="L312" s="46"/>
      <c r="M312" s="46">
        <f>SUM(M314:M316)</f>
        <v>160000</v>
      </c>
      <c r="N312" s="46"/>
      <c r="O312" s="24">
        <f t="shared" si="5"/>
        <v>6400000</v>
      </c>
      <c r="P312" s="24">
        <f t="shared" si="6"/>
        <v>6240000</v>
      </c>
      <c r="Q312" s="51"/>
      <c r="R312" s="5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22"/>
      <c r="C313" s="22"/>
      <c r="D313" s="35" t="s">
        <v>23</v>
      </c>
      <c r="E313" s="12"/>
      <c r="F313" s="13"/>
      <c r="G313" s="36"/>
      <c r="H313" s="22"/>
      <c r="I313" s="22"/>
      <c r="J313" s="22"/>
      <c r="K313" s="22"/>
      <c r="L313" s="22"/>
      <c r="M313" s="22"/>
      <c r="N313" s="22"/>
      <c r="O313" s="24">
        <f t="shared" si="5"/>
        <v>0</v>
      </c>
      <c r="P313" s="24">
        <f t="shared" si="6"/>
        <v>0</v>
      </c>
      <c r="Q313" s="51"/>
      <c r="R313" s="5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22"/>
      <c r="C314" s="22"/>
      <c r="D314" s="47" t="s">
        <v>24</v>
      </c>
      <c r="E314" s="35" t="s">
        <v>160</v>
      </c>
      <c r="F314" s="13"/>
      <c r="G314" s="36">
        <v>100.0</v>
      </c>
      <c r="H314" s="36" t="s">
        <v>26</v>
      </c>
      <c r="I314" s="48">
        <v>53000.0</v>
      </c>
      <c r="J314" s="46">
        <f t="shared" ref="J314:J316" si="123">G314*I314</f>
        <v>5300000</v>
      </c>
      <c r="K314" s="46"/>
      <c r="L314" s="46"/>
      <c r="M314" s="46"/>
      <c r="N314" s="46"/>
      <c r="O314" s="24">
        <f t="shared" si="5"/>
        <v>5300000</v>
      </c>
      <c r="P314" s="24">
        <f t="shared" si="6"/>
        <v>5300000</v>
      </c>
      <c r="Q314" s="51"/>
      <c r="R314" s="5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22"/>
      <c r="C315" s="22"/>
      <c r="D315" s="47" t="s">
        <v>24</v>
      </c>
      <c r="E315" s="35" t="s">
        <v>42</v>
      </c>
      <c r="F315" s="13"/>
      <c r="G315" s="36">
        <v>2.0</v>
      </c>
      <c r="H315" s="36" t="s">
        <v>26</v>
      </c>
      <c r="I315" s="48">
        <v>250000.0</v>
      </c>
      <c r="J315" s="46">
        <f t="shared" si="123"/>
        <v>500000</v>
      </c>
      <c r="K315" s="46"/>
      <c r="L315" s="46"/>
      <c r="M315" s="46"/>
      <c r="N315" s="46"/>
      <c r="O315" s="24">
        <f t="shared" si="5"/>
        <v>500000</v>
      </c>
      <c r="P315" s="24">
        <f t="shared" si="6"/>
        <v>500000</v>
      </c>
      <c r="Q315" s="51"/>
      <c r="R315" s="5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22"/>
      <c r="C316" s="22"/>
      <c r="D316" s="47" t="s">
        <v>24</v>
      </c>
      <c r="E316" s="35" t="s">
        <v>43</v>
      </c>
      <c r="F316" s="13"/>
      <c r="G316" s="36">
        <v>2.0</v>
      </c>
      <c r="H316" s="36" t="s">
        <v>26</v>
      </c>
      <c r="I316" s="48">
        <v>300000.0</v>
      </c>
      <c r="J316" s="46">
        <f t="shared" si="123"/>
        <v>600000</v>
      </c>
      <c r="K316" s="46"/>
      <c r="L316" s="46"/>
      <c r="M316" s="46">
        <v>160000.0</v>
      </c>
      <c r="N316" s="46"/>
      <c r="O316" s="24">
        <f t="shared" si="5"/>
        <v>600000</v>
      </c>
      <c r="P316" s="24">
        <f t="shared" si="6"/>
        <v>440000</v>
      </c>
      <c r="Q316" s="51"/>
      <c r="R316" s="5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35" t="s">
        <v>44</v>
      </c>
      <c r="C317" s="13"/>
      <c r="D317" s="44" t="s">
        <v>45</v>
      </c>
      <c r="E317" s="12"/>
      <c r="F317" s="13"/>
      <c r="G317" s="45"/>
      <c r="H317" s="22"/>
      <c r="I317" s="22"/>
      <c r="J317" s="46">
        <f t="shared" ref="J317:K317" si="124">J319</f>
        <v>2000000</v>
      </c>
      <c r="K317" s="46" t="str">
        <f t="shared" si="124"/>
        <v/>
      </c>
      <c r="L317" s="46"/>
      <c r="M317" s="46" t="str">
        <f>M319</f>
        <v/>
      </c>
      <c r="N317" s="46"/>
      <c r="O317" s="24">
        <f t="shared" si="5"/>
        <v>2000000</v>
      </c>
      <c r="P317" s="24">
        <f t="shared" si="6"/>
        <v>2000000</v>
      </c>
      <c r="Q317" s="51"/>
      <c r="R317" s="5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22"/>
      <c r="C318" s="22"/>
      <c r="D318" s="35" t="s">
        <v>23</v>
      </c>
      <c r="E318" s="12"/>
      <c r="F318" s="13"/>
      <c r="G318" s="36"/>
      <c r="H318" s="22"/>
      <c r="I318" s="22"/>
      <c r="J318" s="22"/>
      <c r="K318" s="22"/>
      <c r="L318" s="22"/>
      <c r="M318" s="22"/>
      <c r="N318" s="22"/>
      <c r="O318" s="24">
        <f t="shared" si="5"/>
        <v>0</v>
      </c>
      <c r="P318" s="24">
        <f t="shared" si="6"/>
        <v>0</v>
      </c>
      <c r="Q318" s="51"/>
      <c r="R318" s="5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22"/>
      <c r="C319" s="22"/>
      <c r="D319" s="47" t="s">
        <v>24</v>
      </c>
      <c r="E319" s="35" t="s">
        <v>161</v>
      </c>
      <c r="F319" s="13"/>
      <c r="G319" s="36">
        <v>4.0</v>
      </c>
      <c r="H319" s="36" t="s">
        <v>26</v>
      </c>
      <c r="I319" s="48">
        <v>500000.0</v>
      </c>
      <c r="J319" s="46">
        <f>G319*I319</f>
        <v>2000000</v>
      </c>
      <c r="K319" s="46"/>
      <c r="L319" s="46"/>
      <c r="M319" s="46"/>
      <c r="N319" s="46"/>
      <c r="O319" s="24">
        <f t="shared" si="5"/>
        <v>2000000</v>
      </c>
      <c r="P319" s="24">
        <f t="shared" si="6"/>
        <v>2000000</v>
      </c>
      <c r="Q319" s="51"/>
      <c r="R319" s="5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35" t="s">
        <v>47</v>
      </c>
      <c r="C320" s="13"/>
      <c r="D320" s="44" t="s">
        <v>48</v>
      </c>
      <c r="E320" s="12"/>
      <c r="F320" s="13"/>
      <c r="G320" s="45"/>
      <c r="H320" s="22"/>
      <c r="I320" s="22"/>
      <c r="J320" s="46">
        <f t="shared" ref="J320:K320" si="125">J322</f>
        <v>16000000</v>
      </c>
      <c r="K320" s="46" t="str">
        <f t="shared" si="125"/>
        <v/>
      </c>
      <c r="L320" s="46"/>
      <c r="M320" s="46" t="str">
        <f>M322</f>
        <v/>
      </c>
      <c r="N320" s="46"/>
      <c r="O320" s="24">
        <f t="shared" si="5"/>
        <v>16000000</v>
      </c>
      <c r="P320" s="24">
        <f t="shared" si="6"/>
        <v>16000000</v>
      </c>
      <c r="Q320" s="51"/>
      <c r="R320" s="5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22"/>
      <c r="C321" s="22"/>
      <c r="D321" s="35" t="s">
        <v>23</v>
      </c>
      <c r="E321" s="12"/>
      <c r="F321" s="13"/>
      <c r="G321" s="36"/>
      <c r="H321" s="22"/>
      <c r="I321" s="22"/>
      <c r="J321" s="22"/>
      <c r="K321" s="22"/>
      <c r="L321" s="22"/>
      <c r="M321" s="22"/>
      <c r="N321" s="22"/>
      <c r="O321" s="24">
        <f t="shared" si="5"/>
        <v>0</v>
      </c>
      <c r="P321" s="24">
        <f t="shared" si="6"/>
        <v>0</v>
      </c>
      <c r="Q321" s="51"/>
      <c r="R321" s="5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22"/>
      <c r="C322" s="22"/>
      <c r="D322" s="47" t="s">
        <v>24</v>
      </c>
      <c r="E322" s="35" t="s">
        <v>162</v>
      </c>
      <c r="F322" s="13"/>
      <c r="G322" s="36">
        <v>4.0</v>
      </c>
      <c r="H322" s="36" t="s">
        <v>26</v>
      </c>
      <c r="I322" s="48">
        <v>4000000.0</v>
      </c>
      <c r="J322" s="46">
        <f>G322*I322</f>
        <v>16000000</v>
      </c>
      <c r="K322" s="46"/>
      <c r="L322" s="46"/>
      <c r="M322" s="46"/>
      <c r="N322" s="46"/>
      <c r="O322" s="24">
        <f t="shared" si="5"/>
        <v>16000000</v>
      </c>
      <c r="P322" s="24">
        <f t="shared" si="6"/>
        <v>16000000</v>
      </c>
      <c r="Q322" s="51"/>
      <c r="R322" s="5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41" t="s">
        <v>50</v>
      </c>
      <c r="C323" s="13"/>
      <c r="D323" s="41" t="s">
        <v>51</v>
      </c>
      <c r="E323" s="12"/>
      <c r="F323" s="13"/>
      <c r="G323" s="42"/>
      <c r="H323" s="22"/>
      <c r="I323" s="22"/>
      <c r="J323" s="43">
        <f t="shared" ref="J323:K323" si="126">J324+J330+J333</f>
        <v>56050000</v>
      </c>
      <c r="K323" s="43">
        <f t="shared" si="126"/>
        <v>0</v>
      </c>
      <c r="L323" s="43"/>
      <c r="M323" s="43">
        <f>M324+M330+M333</f>
        <v>30586418</v>
      </c>
      <c r="N323" s="43"/>
      <c r="O323" s="24">
        <f t="shared" si="5"/>
        <v>56050000</v>
      </c>
      <c r="P323" s="24">
        <f t="shared" si="6"/>
        <v>25463582</v>
      </c>
      <c r="Q323" s="51"/>
      <c r="R323" s="5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35" t="s">
        <v>40</v>
      </c>
      <c r="C324" s="13"/>
      <c r="D324" s="44" t="s">
        <v>22</v>
      </c>
      <c r="E324" s="12"/>
      <c r="F324" s="13"/>
      <c r="G324" s="45"/>
      <c r="H324" s="22"/>
      <c r="I324" s="22"/>
      <c r="J324" s="46">
        <f t="shared" ref="J324:K324" si="127">SUM(J326:J329)</f>
        <v>38050000</v>
      </c>
      <c r="K324" s="46">
        <f t="shared" si="127"/>
        <v>0</v>
      </c>
      <c r="L324" s="46"/>
      <c r="M324" s="46">
        <f>SUM(M326:M329)</f>
        <v>17588418</v>
      </c>
      <c r="N324" s="46"/>
      <c r="O324" s="24">
        <f t="shared" si="5"/>
        <v>38050000</v>
      </c>
      <c r="P324" s="24">
        <f t="shared" si="6"/>
        <v>20461582</v>
      </c>
      <c r="Q324" s="51"/>
      <c r="R324" s="5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22"/>
      <c r="C325" s="22"/>
      <c r="D325" s="35" t="s">
        <v>23</v>
      </c>
      <c r="E325" s="12"/>
      <c r="F325" s="13"/>
      <c r="G325" s="36"/>
      <c r="H325" s="22"/>
      <c r="I325" s="22"/>
      <c r="J325" s="22"/>
      <c r="K325" s="22"/>
      <c r="L325" s="22"/>
      <c r="M325" s="22"/>
      <c r="N325" s="22"/>
      <c r="O325" s="24">
        <f t="shared" si="5"/>
        <v>0</v>
      </c>
      <c r="P325" s="24">
        <f t="shared" si="6"/>
        <v>0</v>
      </c>
      <c r="Q325" s="51"/>
      <c r="R325" s="5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22"/>
      <c r="C326" s="22"/>
      <c r="D326" s="47" t="s">
        <v>24</v>
      </c>
      <c r="E326" s="35" t="s">
        <v>163</v>
      </c>
      <c r="F326" s="13"/>
      <c r="G326" s="36">
        <v>100.0</v>
      </c>
      <c r="H326" s="36" t="s">
        <v>26</v>
      </c>
      <c r="I326" s="48">
        <v>53000.0</v>
      </c>
      <c r="J326" s="46">
        <f t="shared" ref="J326:J329" si="128">G326*I326</f>
        <v>5300000</v>
      </c>
      <c r="K326" s="46"/>
      <c r="L326" s="46"/>
      <c r="M326" s="53">
        <v>3200000.0</v>
      </c>
      <c r="N326" s="46"/>
      <c r="O326" s="24">
        <f t="shared" si="5"/>
        <v>5300000</v>
      </c>
      <c r="P326" s="24">
        <f t="shared" si="6"/>
        <v>2100000</v>
      </c>
      <c r="Q326" s="52"/>
      <c r="R326" s="52" t="s">
        <v>194</v>
      </c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22"/>
      <c r="C327" s="22"/>
      <c r="D327" s="47" t="s">
        <v>24</v>
      </c>
      <c r="E327" s="35" t="s">
        <v>53</v>
      </c>
      <c r="F327" s="13"/>
      <c r="G327" s="36">
        <v>5.0</v>
      </c>
      <c r="H327" s="36" t="s">
        <v>26</v>
      </c>
      <c r="I327" s="48">
        <v>500000.0</v>
      </c>
      <c r="J327" s="46">
        <f t="shared" si="128"/>
        <v>2500000</v>
      </c>
      <c r="K327" s="46"/>
      <c r="L327" s="46"/>
      <c r="M327" s="46"/>
      <c r="N327" s="46"/>
      <c r="O327" s="24">
        <f t="shared" si="5"/>
        <v>2500000</v>
      </c>
      <c r="P327" s="24">
        <f t="shared" si="6"/>
        <v>2500000</v>
      </c>
      <c r="Q327" s="51"/>
      <c r="R327" s="5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22"/>
      <c r="C328" s="22"/>
      <c r="D328" s="47" t="s">
        <v>24</v>
      </c>
      <c r="E328" s="35" t="s">
        <v>54</v>
      </c>
      <c r="F328" s="13"/>
      <c r="G328" s="36">
        <v>1.0</v>
      </c>
      <c r="H328" s="36" t="s">
        <v>55</v>
      </c>
      <c r="I328" s="48">
        <v>250000.0</v>
      </c>
      <c r="J328" s="46">
        <f t="shared" si="128"/>
        <v>250000</v>
      </c>
      <c r="K328" s="46"/>
      <c r="L328" s="46"/>
      <c r="M328" s="46"/>
      <c r="N328" s="46"/>
      <c r="O328" s="24">
        <f t="shared" si="5"/>
        <v>250000</v>
      </c>
      <c r="P328" s="24">
        <f t="shared" si="6"/>
        <v>250000</v>
      </c>
      <c r="Q328" s="51"/>
      <c r="R328" s="5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22"/>
      <c r="C329" s="22"/>
      <c r="D329" s="47" t="s">
        <v>24</v>
      </c>
      <c r="E329" s="35" t="s">
        <v>164</v>
      </c>
      <c r="F329" s="13"/>
      <c r="G329" s="36">
        <v>100.0</v>
      </c>
      <c r="H329" s="36" t="s">
        <v>26</v>
      </c>
      <c r="I329" s="48">
        <v>300000.0</v>
      </c>
      <c r="J329" s="46">
        <f t="shared" si="128"/>
        <v>30000000</v>
      </c>
      <c r="K329" s="46"/>
      <c r="L329" s="46"/>
      <c r="M329" s="52">
        <v>1.4388418E7</v>
      </c>
      <c r="N329" s="46"/>
      <c r="O329" s="24">
        <f t="shared" si="5"/>
        <v>30000000</v>
      </c>
      <c r="P329" s="24">
        <f t="shared" si="6"/>
        <v>15611582</v>
      </c>
      <c r="Q329" s="52"/>
      <c r="R329" s="52" t="s">
        <v>195</v>
      </c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35" t="s">
        <v>47</v>
      </c>
      <c r="C330" s="13"/>
      <c r="D330" s="44" t="s">
        <v>48</v>
      </c>
      <c r="E330" s="12"/>
      <c r="F330" s="13"/>
      <c r="G330" s="45"/>
      <c r="H330" s="22"/>
      <c r="I330" s="22"/>
      <c r="J330" s="46">
        <f t="shared" ref="J330:K330" si="129">J332</f>
        <v>16000000</v>
      </c>
      <c r="K330" s="46" t="str">
        <f t="shared" si="129"/>
        <v/>
      </c>
      <c r="L330" s="46"/>
      <c r="M330" s="46">
        <f>M332</f>
        <v>12998000</v>
      </c>
      <c r="N330" s="46"/>
      <c r="O330" s="24">
        <f t="shared" si="5"/>
        <v>16000000</v>
      </c>
      <c r="P330" s="24">
        <f t="shared" si="6"/>
        <v>3002000</v>
      </c>
      <c r="Q330" s="51"/>
      <c r="R330" s="5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22"/>
      <c r="C331" s="22"/>
      <c r="D331" s="35" t="s">
        <v>23</v>
      </c>
      <c r="E331" s="12"/>
      <c r="F331" s="13"/>
      <c r="G331" s="36"/>
      <c r="H331" s="22"/>
      <c r="I331" s="22"/>
      <c r="J331" s="22"/>
      <c r="K331" s="22"/>
      <c r="L331" s="22"/>
      <c r="M331" s="22"/>
      <c r="N331" s="22"/>
      <c r="O331" s="24">
        <f t="shared" si="5"/>
        <v>0</v>
      </c>
      <c r="P331" s="24">
        <f t="shared" si="6"/>
        <v>0</v>
      </c>
      <c r="Q331" s="51"/>
      <c r="R331" s="5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22"/>
      <c r="C332" s="22"/>
      <c r="D332" s="47" t="s">
        <v>24</v>
      </c>
      <c r="E332" s="35" t="s">
        <v>165</v>
      </c>
      <c r="F332" s="13"/>
      <c r="G332" s="36">
        <v>4.0</v>
      </c>
      <c r="H332" s="36" t="s">
        <v>26</v>
      </c>
      <c r="I332" s="48">
        <v>4000000.0</v>
      </c>
      <c r="J332" s="46">
        <f>G332*I332</f>
        <v>16000000</v>
      </c>
      <c r="K332" s="46"/>
      <c r="L332" s="46"/>
      <c r="M332" s="52">
        <f>1500000+11498000</f>
        <v>12998000</v>
      </c>
      <c r="N332" s="46"/>
      <c r="O332" s="24">
        <f t="shared" si="5"/>
        <v>16000000</v>
      </c>
      <c r="P332" s="24">
        <f t="shared" si="6"/>
        <v>3002000</v>
      </c>
      <c r="Q332" s="52"/>
      <c r="R332" s="54" t="s">
        <v>196</v>
      </c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35" t="s">
        <v>58</v>
      </c>
      <c r="C333" s="13"/>
      <c r="D333" s="44" t="s">
        <v>34</v>
      </c>
      <c r="E333" s="12"/>
      <c r="F333" s="13"/>
      <c r="G333" s="45"/>
      <c r="H333" s="22"/>
      <c r="I333" s="22"/>
      <c r="J333" s="46">
        <f t="shared" ref="J333:K333" si="130">J335</f>
        <v>2000000</v>
      </c>
      <c r="K333" s="46" t="str">
        <f t="shared" si="130"/>
        <v/>
      </c>
      <c r="L333" s="46"/>
      <c r="M333" s="46" t="str">
        <f>M335</f>
        <v/>
      </c>
      <c r="N333" s="46"/>
      <c r="O333" s="24">
        <f t="shared" si="5"/>
        <v>2000000</v>
      </c>
      <c r="P333" s="24">
        <f t="shared" si="6"/>
        <v>2000000</v>
      </c>
      <c r="Q333" s="51"/>
      <c r="R333" s="5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22"/>
      <c r="C334" s="22"/>
      <c r="D334" s="35" t="s">
        <v>23</v>
      </c>
      <c r="E334" s="12"/>
      <c r="F334" s="13"/>
      <c r="G334" s="36"/>
      <c r="H334" s="22"/>
      <c r="I334" s="22"/>
      <c r="J334" s="22"/>
      <c r="K334" s="22"/>
      <c r="L334" s="22"/>
      <c r="M334" s="22"/>
      <c r="N334" s="22"/>
      <c r="O334" s="24">
        <f t="shared" si="5"/>
        <v>0</v>
      </c>
      <c r="P334" s="24">
        <f t="shared" si="6"/>
        <v>0</v>
      </c>
      <c r="Q334" s="51"/>
      <c r="R334" s="5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22"/>
      <c r="C335" s="22"/>
      <c r="D335" s="47" t="s">
        <v>24</v>
      </c>
      <c r="E335" s="35" t="s">
        <v>59</v>
      </c>
      <c r="F335" s="13"/>
      <c r="G335" s="36">
        <v>4.0</v>
      </c>
      <c r="H335" s="36" t="s">
        <v>26</v>
      </c>
      <c r="I335" s="48">
        <v>500000.0</v>
      </c>
      <c r="J335" s="46">
        <f>G335*I335</f>
        <v>2000000</v>
      </c>
      <c r="K335" s="46"/>
      <c r="L335" s="46"/>
      <c r="M335" s="46"/>
      <c r="N335" s="46"/>
      <c r="O335" s="24">
        <f t="shared" si="5"/>
        <v>2000000</v>
      </c>
      <c r="P335" s="24">
        <f t="shared" si="6"/>
        <v>2000000</v>
      </c>
      <c r="Q335" s="51"/>
      <c r="R335" s="5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41" t="s">
        <v>60</v>
      </c>
      <c r="C336" s="13"/>
      <c r="D336" s="41" t="s">
        <v>61</v>
      </c>
      <c r="E336" s="12"/>
      <c r="F336" s="13"/>
      <c r="G336" s="42"/>
      <c r="H336" s="22"/>
      <c r="I336" s="22"/>
      <c r="J336" s="43">
        <f t="shared" ref="J336:K336" si="131">J337+J340+J344+J347+J350</f>
        <v>220800000</v>
      </c>
      <c r="K336" s="43">
        <f t="shared" si="131"/>
        <v>0</v>
      </c>
      <c r="L336" s="43"/>
      <c r="M336" s="43">
        <f>M337+M340+M344+M347+M350</f>
        <v>27135000</v>
      </c>
      <c r="N336" s="43"/>
      <c r="O336" s="24">
        <f t="shared" si="5"/>
        <v>220800000</v>
      </c>
      <c r="P336" s="24">
        <f t="shared" si="6"/>
        <v>193665000</v>
      </c>
      <c r="Q336" s="51"/>
      <c r="R336" s="5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35" t="s">
        <v>40</v>
      </c>
      <c r="C337" s="13"/>
      <c r="D337" s="44" t="s">
        <v>22</v>
      </c>
      <c r="E337" s="12"/>
      <c r="F337" s="13"/>
      <c r="G337" s="45"/>
      <c r="H337" s="22"/>
      <c r="I337" s="22"/>
      <c r="J337" s="46">
        <f t="shared" ref="J337:K337" si="132">J339</f>
        <v>31800000</v>
      </c>
      <c r="K337" s="46" t="str">
        <f t="shared" si="132"/>
        <v/>
      </c>
      <c r="L337" s="46"/>
      <c r="M337" s="46" t="str">
        <f>M339</f>
        <v/>
      </c>
      <c r="N337" s="46"/>
      <c r="O337" s="24">
        <f t="shared" si="5"/>
        <v>31800000</v>
      </c>
      <c r="P337" s="24">
        <f t="shared" si="6"/>
        <v>31800000</v>
      </c>
      <c r="Q337" s="51"/>
      <c r="R337" s="5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22"/>
      <c r="C338" s="22"/>
      <c r="D338" s="35" t="s">
        <v>23</v>
      </c>
      <c r="E338" s="12"/>
      <c r="F338" s="13"/>
      <c r="G338" s="36"/>
      <c r="H338" s="22"/>
      <c r="I338" s="22"/>
      <c r="J338" s="22"/>
      <c r="K338" s="22"/>
      <c r="L338" s="22"/>
      <c r="M338" s="22"/>
      <c r="N338" s="22"/>
      <c r="O338" s="24">
        <f t="shared" si="5"/>
        <v>0</v>
      </c>
      <c r="P338" s="24">
        <f t="shared" si="6"/>
        <v>0</v>
      </c>
      <c r="Q338" s="51"/>
      <c r="R338" s="5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22"/>
      <c r="C339" s="22"/>
      <c r="D339" s="47" t="s">
        <v>24</v>
      </c>
      <c r="E339" s="35" t="s">
        <v>166</v>
      </c>
      <c r="F339" s="13"/>
      <c r="G339" s="36">
        <v>600.0</v>
      </c>
      <c r="H339" s="36" t="s">
        <v>26</v>
      </c>
      <c r="I339" s="48">
        <v>53000.0</v>
      </c>
      <c r="J339" s="46">
        <f>G339*I339</f>
        <v>31800000</v>
      </c>
      <c r="K339" s="46"/>
      <c r="L339" s="46"/>
      <c r="M339" s="46"/>
      <c r="N339" s="46"/>
      <c r="O339" s="24">
        <f t="shared" si="5"/>
        <v>31800000</v>
      </c>
      <c r="P339" s="24">
        <f t="shared" si="6"/>
        <v>31800000</v>
      </c>
      <c r="Q339" s="51"/>
      <c r="R339" s="5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35" t="s">
        <v>63</v>
      </c>
      <c r="C340" s="13"/>
      <c r="D340" s="44" t="s">
        <v>64</v>
      </c>
      <c r="E340" s="12"/>
      <c r="F340" s="13"/>
      <c r="G340" s="45"/>
      <c r="H340" s="22"/>
      <c r="I340" s="22"/>
      <c r="J340" s="46">
        <f t="shared" ref="J340:K340" si="133">SUM(J342:J343)</f>
        <v>115000000</v>
      </c>
      <c r="K340" s="46">
        <f t="shared" si="133"/>
        <v>0</v>
      </c>
      <c r="L340" s="46"/>
      <c r="M340" s="46">
        <f>SUM(M342:M343)</f>
        <v>9135000</v>
      </c>
      <c r="N340" s="46"/>
      <c r="O340" s="24">
        <f t="shared" si="5"/>
        <v>115000000</v>
      </c>
      <c r="P340" s="24">
        <f t="shared" si="6"/>
        <v>105865000</v>
      </c>
      <c r="Q340" s="51"/>
      <c r="R340" s="5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22"/>
      <c r="C341" s="22"/>
      <c r="D341" s="35" t="s">
        <v>23</v>
      </c>
      <c r="E341" s="12"/>
      <c r="F341" s="13"/>
      <c r="G341" s="36"/>
      <c r="H341" s="22"/>
      <c r="I341" s="22"/>
      <c r="J341" s="22"/>
      <c r="K341" s="22"/>
      <c r="L341" s="22"/>
      <c r="M341" s="22"/>
      <c r="N341" s="22"/>
      <c r="O341" s="24">
        <f t="shared" si="5"/>
        <v>0</v>
      </c>
      <c r="P341" s="24">
        <f t="shared" si="6"/>
        <v>0</v>
      </c>
      <c r="Q341" s="51"/>
      <c r="R341" s="5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22"/>
      <c r="C342" s="22"/>
      <c r="D342" s="47" t="s">
        <v>24</v>
      </c>
      <c r="E342" s="35" t="s">
        <v>65</v>
      </c>
      <c r="F342" s="13"/>
      <c r="G342" s="36">
        <v>1.0</v>
      </c>
      <c r="H342" s="36" t="s">
        <v>66</v>
      </c>
      <c r="I342" s="48">
        <v>9.5E7</v>
      </c>
      <c r="J342" s="46">
        <f t="shared" ref="J342:J343" si="134">G342*I342</f>
        <v>95000000</v>
      </c>
      <c r="K342" s="46"/>
      <c r="L342" s="46"/>
      <c r="M342" s="46">
        <v>35000.0</v>
      </c>
      <c r="N342" s="46"/>
      <c r="O342" s="24">
        <f t="shared" si="5"/>
        <v>95000000</v>
      </c>
      <c r="P342" s="24">
        <f t="shared" si="6"/>
        <v>94965000</v>
      </c>
      <c r="Q342" s="51"/>
      <c r="R342" s="5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22"/>
      <c r="C343" s="22"/>
      <c r="D343" s="47" t="s">
        <v>24</v>
      </c>
      <c r="E343" s="35" t="s">
        <v>167</v>
      </c>
      <c r="F343" s="13"/>
      <c r="G343" s="36">
        <v>100.0</v>
      </c>
      <c r="H343" s="36" t="s">
        <v>26</v>
      </c>
      <c r="I343" s="48">
        <v>200000.0</v>
      </c>
      <c r="J343" s="46">
        <f t="shared" si="134"/>
        <v>20000000</v>
      </c>
      <c r="K343" s="46"/>
      <c r="L343" s="46"/>
      <c r="M343" s="52">
        <v>9100000.0</v>
      </c>
      <c r="N343" s="46"/>
      <c r="O343" s="24">
        <f t="shared" si="5"/>
        <v>20000000</v>
      </c>
      <c r="P343" s="24">
        <f t="shared" si="6"/>
        <v>10900000</v>
      </c>
      <c r="Q343" s="52"/>
      <c r="R343" s="52" t="s">
        <v>197</v>
      </c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35" t="s">
        <v>68</v>
      </c>
      <c r="C344" s="13"/>
      <c r="D344" s="44" t="s">
        <v>69</v>
      </c>
      <c r="E344" s="12"/>
      <c r="F344" s="13"/>
      <c r="G344" s="45"/>
      <c r="H344" s="22"/>
      <c r="I344" s="22"/>
      <c r="J344" s="46">
        <f>J346</f>
        <v>10000000</v>
      </c>
      <c r="K344" s="46"/>
      <c r="L344" s="46"/>
      <c r="M344" s="46"/>
      <c r="N344" s="46"/>
      <c r="O344" s="24">
        <f t="shared" si="5"/>
        <v>10000000</v>
      </c>
      <c r="P344" s="24">
        <f t="shared" si="6"/>
        <v>10000000</v>
      </c>
      <c r="Q344" s="51"/>
      <c r="R344" s="5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22"/>
      <c r="C345" s="22"/>
      <c r="D345" s="35" t="s">
        <v>23</v>
      </c>
      <c r="E345" s="12"/>
      <c r="F345" s="13"/>
      <c r="G345" s="36"/>
      <c r="H345" s="22"/>
      <c r="I345" s="22"/>
      <c r="J345" s="22"/>
      <c r="K345" s="22"/>
      <c r="L345" s="22"/>
      <c r="M345" s="22"/>
      <c r="N345" s="22"/>
      <c r="O345" s="24">
        <f t="shared" si="5"/>
        <v>0</v>
      </c>
      <c r="P345" s="24">
        <f t="shared" si="6"/>
        <v>0</v>
      </c>
      <c r="Q345" s="51"/>
      <c r="R345" s="5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22"/>
      <c r="C346" s="22"/>
      <c r="D346" s="47" t="s">
        <v>24</v>
      </c>
      <c r="E346" s="35" t="s">
        <v>70</v>
      </c>
      <c r="F346" s="13"/>
      <c r="G346" s="36">
        <v>20.0</v>
      </c>
      <c r="H346" s="36" t="s">
        <v>26</v>
      </c>
      <c r="I346" s="48">
        <v>500000.0</v>
      </c>
      <c r="J346" s="46">
        <f>G346*I346</f>
        <v>10000000</v>
      </c>
      <c r="K346" s="46"/>
      <c r="L346" s="46"/>
      <c r="M346" s="46"/>
      <c r="N346" s="46"/>
      <c r="O346" s="24">
        <f t="shared" si="5"/>
        <v>10000000</v>
      </c>
      <c r="P346" s="24">
        <f t="shared" si="6"/>
        <v>10000000</v>
      </c>
      <c r="Q346" s="51"/>
      <c r="R346" s="5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35" t="s">
        <v>47</v>
      </c>
      <c r="C347" s="13"/>
      <c r="D347" s="44" t="s">
        <v>48</v>
      </c>
      <c r="E347" s="12"/>
      <c r="F347" s="13"/>
      <c r="G347" s="45"/>
      <c r="H347" s="22"/>
      <c r="I347" s="22"/>
      <c r="J347" s="46">
        <f t="shared" ref="J347:K347" si="135">J349</f>
        <v>16000000</v>
      </c>
      <c r="K347" s="46" t="str">
        <f t="shared" si="135"/>
        <v/>
      </c>
      <c r="L347" s="46"/>
      <c r="M347" s="46" t="str">
        <f>M349</f>
        <v/>
      </c>
      <c r="N347" s="46"/>
      <c r="O347" s="24">
        <f t="shared" si="5"/>
        <v>16000000</v>
      </c>
      <c r="P347" s="24">
        <f t="shared" si="6"/>
        <v>16000000</v>
      </c>
      <c r="Q347" s="51"/>
      <c r="R347" s="5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22"/>
      <c r="C348" s="22"/>
      <c r="D348" s="35" t="s">
        <v>23</v>
      </c>
      <c r="E348" s="12"/>
      <c r="F348" s="13"/>
      <c r="G348" s="36"/>
      <c r="H348" s="22"/>
      <c r="I348" s="22"/>
      <c r="J348" s="22"/>
      <c r="K348" s="22"/>
      <c r="L348" s="22"/>
      <c r="M348" s="22"/>
      <c r="N348" s="22"/>
      <c r="O348" s="24">
        <f t="shared" si="5"/>
        <v>0</v>
      </c>
      <c r="P348" s="24">
        <f t="shared" si="6"/>
        <v>0</v>
      </c>
      <c r="Q348" s="51"/>
      <c r="R348" s="5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22"/>
      <c r="C349" s="22"/>
      <c r="D349" s="47" t="s">
        <v>24</v>
      </c>
      <c r="E349" s="35" t="s">
        <v>165</v>
      </c>
      <c r="F349" s="13"/>
      <c r="G349" s="36">
        <v>4.0</v>
      </c>
      <c r="H349" s="36" t="s">
        <v>26</v>
      </c>
      <c r="I349" s="48">
        <v>4000000.0</v>
      </c>
      <c r="J349" s="46">
        <f>G349*I349</f>
        <v>16000000</v>
      </c>
      <c r="K349" s="46"/>
      <c r="L349" s="46"/>
      <c r="M349" s="46"/>
      <c r="N349" s="46"/>
      <c r="O349" s="24">
        <f t="shared" si="5"/>
        <v>16000000</v>
      </c>
      <c r="P349" s="24">
        <f t="shared" si="6"/>
        <v>16000000</v>
      </c>
      <c r="Q349" s="51"/>
      <c r="R349" s="5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35" t="s">
        <v>58</v>
      </c>
      <c r="C350" s="13"/>
      <c r="D350" s="44" t="s">
        <v>34</v>
      </c>
      <c r="E350" s="12"/>
      <c r="F350" s="13"/>
      <c r="G350" s="45"/>
      <c r="H350" s="22"/>
      <c r="I350" s="22"/>
      <c r="J350" s="46">
        <f t="shared" ref="J350:K350" si="136">J352</f>
        <v>48000000</v>
      </c>
      <c r="K350" s="46" t="str">
        <f t="shared" si="136"/>
        <v/>
      </c>
      <c r="L350" s="46"/>
      <c r="M350" s="46">
        <f>M352</f>
        <v>18000000</v>
      </c>
      <c r="N350" s="46"/>
      <c r="O350" s="24">
        <f t="shared" si="5"/>
        <v>48000000</v>
      </c>
      <c r="P350" s="24">
        <f t="shared" si="6"/>
        <v>30000000</v>
      </c>
      <c r="Q350" s="51"/>
      <c r="R350" s="5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22"/>
      <c r="C351" s="22"/>
      <c r="D351" s="35" t="s">
        <v>23</v>
      </c>
      <c r="E351" s="12"/>
      <c r="F351" s="13"/>
      <c r="G351" s="36"/>
      <c r="H351" s="22"/>
      <c r="I351" s="22"/>
      <c r="J351" s="22"/>
      <c r="K351" s="22"/>
      <c r="L351" s="22"/>
      <c r="M351" s="22"/>
      <c r="N351" s="22"/>
      <c r="O351" s="24">
        <f t="shared" si="5"/>
        <v>0</v>
      </c>
      <c r="P351" s="24">
        <f t="shared" si="6"/>
        <v>0</v>
      </c>
      <c r="Q351" s="51"/>
      <c r="R351" s="5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22"/>
      <c r="C352" s="22"/>
      <c r="D352" s="47" t="s">
        <v>24</v>
      </c>
      <c r="E352" s="35" t="s">
        <v>71</v>
      </c>
      <c r="F352" s="13"/>
      <c r="G352" s="36">
        <v>96.0</v>
      </c>
      <c r="H352" s="36" t="s">
        <v>26</v>
      </c>
      <c r="I352" s="48">
        <v>500000.0</v>
      </c>
      <c r="J352" s="46">
        <f>G352*I352</f>
        <v>48000000</v>
      </c>
      <c r="K352" s="46"/>
      <c r="L352" s="46"/>
      <c r="M352" s="46">
        <f>9000000+9000000</f>
        <v>18000000</v>
      </c>
      <c r="N352" s="46"/>
      <c r="O352" s="24">
        <f t="shared" si="5"/>
        <v>48000000</v>
      </c>
      <c r="P352" s="24">
        <f t="shared" si="6"/>
        <v>30000000</v>
      </c>
      <c r="Q352" s="52"/>
      <c r="R352" s="52" t="s">
        <v>198</v>
      </c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41" t="s">
        <v>72</v>
      </c>
      <c r="C353" s="13"/>
      <c r="D353" s="41" t="s">
        <v>73</v>
      </c>
      <c r="E353" s="12"/>
      <c r="F353" s="13"/>
      <c r="G353" s="42"/>
      <c r="H353" s="22"/>
      <c r="I353" s="22"/>
      <c r="J353" s="43">
        <f t="shared" ref="J353:K353" si="137">J354+J359</f>
        <v>151200000</v>
      </c>
      <c r="K353" s="43">
        <f t="shared" si="137"/>
        <v>79804000</v>
      </c>
      <c r="L353" s="43"/>
      <c r="M353" s="43">
        <f>M354+M359</f>
        <v>80144000</v>
      </c>
      <c r="N353" s="43"/>
      <c r="O353" s="24">
        <f t="shared" si="5"/>
        <v>71396000</v>
      </c>
      <c r="P353" s="24">
        <f t="shared" si="6"/>
        <v>71056000</v>
      </c>
      <c r="Q353" s="51"/>
      <c r="R353" s="5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35" t="s">
        <v>74</v>
      </c>
      <c r="C354" s="13"/>
      <c r="D354" s="44" t="s">
        <v>75</v>
      </c>
      <c r="E354" s="12"/>
      <c r="F354" s="13"/>
      <c r="G354" s="45"/>
      <c r="H354" s="22"/>
      <c r="I354" s="22"/>
      <c r="J354" s="46">
        <f t="shared" ref="J354:K354" si="138">SUM(J356:J358)</f>
        <v>142700000</v>
      </c>
      <c r="K354" s="46">
        <f t="shared" si="138"/>
        <v>79804000</v>
      </c>
      <c r="L354" s="46"/>
      <c r="M354" s="46">
        <f>SUM(M356:M358)</f>
        <v>79804000</v>
      </c>
      <c r="N354" s="46"/>
      <c r="O354" s="24">
        <f t="shared" si="5"/>
        <v>62896000</v>
      </c>
      <c r="P354" s="24">
        <f t="shared" si="6"/>
        <v>62896000</v>
      </c>
      <c r="Q354" s="51"/>
      <c r="R354" s="5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22"/>
      <c r="C355" s="22"/>
      <c r="D355" s="35" t="s">
        <v>23</v>
      </c>
      <c r="E355" s="12"/>
      <c r="F355" s="13"/>
      <c r="G355" s="36"/>
      <c r="H355" s="22"/>
      <c r="I355" s="22"/>
      <c r="J355" s="22"/>
      <c r="K355" s="22"/>
      <c r="L355" s="22"/>
      <c r="M355" s="22"/>
      <c r="N355" s="22"/>
      <c r="O355" s="24">
        <f t="shared" si="5"/>
        <v>0</v>
      </c>
      <c r="P355" s="24">
        <f t="shared" si="6"/>
        <v>0</v>
      </c>
      <c r="Q355" s="51"/>
      <c r="R355" s="5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22"/>
      <c r="C356" s="22"/>
      <c r="D356" s="47" t="s">
        <v>24</v>
      </c>
      <c r="E356" s="35" t="s">
        <v>76</v>
      </c>
      <c r="F356" s="13"/>
      <c r="G356" s="36">
        <v>20.0</v>
      </c>
      <c r="H356" s="36" t="s">
        <v>26</v>
      </c>
      <c r="I356" s="48">
        <v>5000000.0</v>
      </c>
      <c r="J356" s="46">
        <f t="shared" ref="J356:J358" si="139">G356*I356</f>
        <v>100000000</v>
      </c>
      <c r="K356" s="46">
        <v>5.07E7</v>
      </c>
      <c r="L356" s="46"/>
      <c r="M356" s="46">
        <v>5.07E7</v>
      </c>
      <c r="N356" s="46"/>
      <c r="O356" s="24">
        <f t="shared" si="5"/>
        <v>49300000</v>
      </c>
      <c r="P356" s="24">
        <f t="shared" si="6"/>
        <v>49300000</v>
      </c>
      <c r="Q356" s="52">
        <v>1270000.0</v>
      </c>
      <c r="R356" s="52" t="s">
        <v>199</v>
      </c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22"/>
      <c r="C357" s="22"/>
      <c r="D357" s="47" t="s">
        <v>24</v>
      </c>
      <c r="E357" s="35" t="s">
        <v>77</v>
      </c>
      <c r="F357" s="13"/>
      <c r="G357" s="36">
        <v>30.0</v>
      </c>
      <c r="H357" s="36" t="s">
        <v>26</v>
      </c>
      <c r="I357" s="48">
        <v>850000.0</v>
      </c>
      <c r="J357" s="46">
        <f t="shared" si="139"/>
        <v>25500000</v>
      </c>
      <c r="K357" s="46">
        <v>1.665E7</v>
      </c>
      <c r="L357" s="46"/>
      <c r="M357" s="46">
        <v>1.665E7</v>
      </c>
      <c r="N357" s="46"/>
      <c r="O357" s="24">
        <f t="shared" si="5"/>
        <v>8850000</v>
      </c>
      <c r="P357" s="24">
        <f t="shared" si="6"/>
        <v>8850000</v>
      </c>
      <c r="Q357" s="51"/>
      <c r="R357" s="52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22"/>
      <c r="C358" s="22"/>
      <c r="D358" s="47" t="s">
        <v>24</v>
      </c>
      <c r="E358" s="35" t="s">
        <v>78</v>
      </c>
      <c r="F358" s="13"/>
      <c r="G358" s="36">
        <v>40.0</v>
      </c>
      <c r="H358" s="36" t="s">
        <v>26</v>
      </c>
      <c r="I358" s="48">
        <v>430000.0</v>
      </c>
      <c r="J358" s="46">
        <f t="shared" si="139"/>
        <v>17200000</v>
      </c>
      <c r="K358" s="46">
        <v>1.2454E7</v>
      </c>
      <c r="L358" s="46"/>
      <c r="M358" s="46">
        <v>1.2454E7</v>
      </c>
      <c r="N358" s="46"/>
      <c r="O358" s="24">
        <f t="shared" si="5"/>
        <v>4746000</v>
      </c>
      <c r="P358" s="24">
        <f t="shared" si="6"/>
        <v>4746000</v>
      </c>
      <c r="Q358" s="52">
        <v>7790000.0</v>
      </c>
      <c r="R358" s="52" t="s">
        <v>199</v>
      </c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35" t="s">
        <v>79</v>
      </c>
      <c r="C359" s="13"/>
      <c r="D359" s="44" t="s">
        <v>80</v>
      </c>
      <c r="E359" s="12"/>
      <c r="F359" s="13"/>
      <c r="G359" s="45"/>
      <c r="H359" s="22"/>
      <c r="I359" s="22"/>
      <c r="J359" s="46">
        <f t="shared" ref="J359:K359" si="140">J361</f>
        <v>8500000</v>
      </c>
      <c r="K359" s="46" t="str">
        <f t="shared" si="140"/>
        <v/>
      </c>
      <c r="L359" s="46"/>
      <c r="M359" s="46">
        <f>M361</f>
        <v>340000</v>
      </c>
      <c r="N359" s="46"/>
      <c r="O359" s="24">
        <f t="shared" si="5"/>
        <v>8500000</v>
      </c>
      <c r="P359" s="24">
        <f t="shared" si="6"/>
        <v>8160000</v>
      </c>
      <c r="Q359" s="51"/>
      <c r="R359" s="5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22"/>
      <c r="C360" s="22"/>
      <c r="D360" s="35" t="s">
        <v>23</v>
      </c>
      <c r="E360" s="12"/>
      <c r="F360" s="13"/>
      <c r="G360" s="36"/>
      <c r="H360" s="22"/>
      <c r="I360" s="22"/>
      <c r="J360" s="22"/>
      <c r="K360" s="22"/>
      <c r="L360" s="22"/>
      <c r="M360" s="22"/>
      <c r="N360" s="22"/>
      <c r="O360" s="24">
        <f t="shared" si="5"/>
        <v>0</v>
      </c>
      <c r="P360" s="24">
        <f t="shared" si="6"/>
        <v>0</v>
      </c>
      <c r="Q360" s="51"/>
      <c r="R360" s="5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22"/>
      <c r="C361" s="22"/>
      <c r="D361" s="47" t="s">
        <v>24</v>
      </c>
      <c r="E361" s="35" t="s">
        <v>81</v>
      </c>
      <c r="F361" s="13"/>
      <c r="G361" s="36">
        <v>50.0</v>
      </c>
      <c r="H361" s="36" t="s">
        <v>26</v>
      </c>
      <c r="I361" s="48">
        <v>170000.0</v>
      </c>
      <c r="J361" s="46">
        <f>G361*I361</f>
        <v>8500000</v>
      </c>
      <c r="K361" s="46"/>
      <c r="L361" s="46"/>
      <c r="M361" s="46">
        <v>340000.0</v>
      </c>
      <c r="N361" s="46"/>
      <c r="O361" s="24">
        <f t="shared" si="5"/>
        <v>8500000</v>
      </c>
      <c r="P361" s="24">
        <f t="shared" si="6"/>
        <v>8160000</v>
      </c>
      <c r="Q361" s="51"/>
      <c r="R361" s="5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41" t="s">
        <v>82</v>
      </c>
      <c r="C362" s="13"/>
      <c r="D362" s="41" t="s">
        <v>83</v>
      </c>
      <c r="E362" s="12"/>
      <c r="F362" s="13"/>
      <c r="G362" s="42"/>
      <c r="H362" s="22"/>
      <c r="I362" s="22"/>
      <c r="J362" s="43">
        <f t="shared" ref="J362:K362" si="141">J363+J368</f>
        <v>1434000000</v>
      </c>
      <c r="K362" s="43">
        <f t="shared" si="141"/>
        <v>90985000</v>
      </c>
      <c r="L362" s="43"/>
      <c r="M362" s="43">
        <f>M363+M368</f>
        <v>106876000</v>
      </c>
      <c r="N362" s="43"/>
      <c r="O362" s="24">
        <f t="shared" si="5"/>
        <v>1343015000</v>
      </c>
      <c r="P362" s="24">
        <f t="shared" si="6"/>
        <v>1327124000</v>
      </c>
      <c r="Q362" s="51"/>
      <c r="R362" s="5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35" t="s">
        <v>84</v>
      </c>
      <c r="C363" s="13"/>
      <c r="D363" s="44" t="s">
        <v>85</v>
      </c>
      <c r="E363" s="12"/>
      <c r="F363" s="13"/>
      <c r="G363" s="45"/>
      <c r="H363" s="22"/>
      <c r="I363" s="22"/>
      <c r="J363" s="46">
        <f t="shared" ref="J363:K363" si="142">SUM(J365:J367)</f>
        <v>1320000000</v>
      </c>
      <c r="K363" s="46">
        <f t="shared" si="142"/>
        <v>90985000</v>
      </c>
      <c r="L363" s="46"/>
      <c r="M363" s="46">
        <f>SUM(M365:M367)</f>
        <v>106876000</v>
      </c>
      <c r="N363" s="46"/>
      <c r="O363" s="24">
        <f t="shared" si="5"/>
        <v>1229015000</v>
      </c>
      <c r="P363" s="24">
        <f t="shared" si="6"/>
        <v>1213124000</v>
      </c>
      <c r="Q363" s="51"/>
      <c r="R363" s="5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22"/>
      <c r="C364" s="22"/>
      <c r="D364" s="35" t="s">
        <v>23</v>
      </c>
      <c r="E364" s="12"/>
      <c r="F364" s="13"/>
      <c r="G364" s="36"/>
      <c r="H364" s="22"/>
      <c r="I364" s="22"/>
      <c r="J364" s="22"/>
      <c r="K364" s="22"/>
      <c r="L364" s="22"/>
      <c r="M364" s="22"/>
      <c r="N364" s="22"/>
      <c r="O364" s="24">
        <f t="shared" si="5"/>
        <v>0</v>
      </c>
      <c r="P364" s="24">
        <f t="shared" si="6"/>
        <v>0</v>
      </c>
      <c r="Q364" s="51"/>
      <c r="R364" s="5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22"/>
      <c r="C365" s="22"/>
      <c r="D365" s="47" t="s">
        <v>24</v>
      </c>
      <c r="E365" s="35" t="s">
        <v>168</v>
      </c>
      <c r="F365" s="13"/>
      <c r="G365" s="36">
        <v>54750.0</v>
      </c>
      <c r="H365" s="36" t="s">
        <v>87</v>
      </c>
      <c r="I365" s="48">
        <v>15000.0</v>
      </c>
      <c r="J365" s="46">
        <f t="shared" ref="J365:J367" si="143">G365*I365</f>
        <v>821250000</v>
      </c>
      <c r="K365" s="46">
        <v>6.5845E7</v>
      </c>
      <c r="L365" s="46"/>
      <c r="M365" s="46">
        <v>7.7506E7</v>
      </c>
      <c r="N365" s="46"/>
      <c r="O365" s="24">
        <f t="shared" si="5"/>
        <v>755405000</v>
      </c>
      <c r="P365" s="24">
        <f t="shared" si="6"/>
        <v>743744000</v>
      </c>
      <c r="Q365" s="52">
        <v>1.88448E8</v>
      </c>
      <c r="R365" s="52" t="s">
        <v>200</v>
      </c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22"/>
      <c r="C366" s="22"/>
      <c r="D366" s="47" t="s">
        <v>24</v>
      </c>
      <c r="E366" s="35" t="s">
        <v>88</v>
      </c>
      <c r="F366" s="13"/>
      <c r="G366" s="36">
        <v>9000.0</v>
      </c>
      <c r="H366" s="36" t="s">
        <v>87</v>
      </c>
      <c r="I366" s="48">
        <v>25000.0</v>
      </c>
      <c r="J366" s="46">
        <f t="shared" si="143"/>
        <v>225000000</v>
      </c>
      <c r="K366" s="46"/>
      <c r="L366" s="46"/>
      <c r="M366" s="46"/>
      <c r="N366" s="46"/>
      <c r="O366" s="24">
        <f t="shared" si="5"/>
        <v>225000000</v>
      </c>
      <c r="P366" s="24">
        <f t="shared" si="6"/>
        <v>225000000</v>
      </c>
      <c r="Q366" s="51"/>
      <c r="R366" s="5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22"/>
      <c r="C367" s="22"/>
      <c r="D367" s="47" t="s">
        <v>24</v>
      </c>
      <c r="E367" s="35" t="s">
        <v>169</v>
      </c>
      <c r="F367" s="13"/>
      <c r="G367" s="36">
        <v>36500.0</v>
      </c>
      <c r="H367" s="36" t="s">
        <v>87</v>
      </c>
      <c r="I367" s="48">
        <v>7500.0</v>
      </c>
      <c r="J367" s="46">
        <f t="shared" si="143"/>
        <v>273750000</v>
      </c>
      <c r="K367" s="46">
        <v>2.514E7</v>
      </c>
      <c r="L367" s="46"/>
      <c r="M367" s="46">
        <v>2.937E7</v>
      </c>
      <c r="N367" s="46"/>
      <c r="O367" s="24">
        <f t="shared" si="5"/>
        <v>248610000</v>
      </c>
      <c r="P367" s="24">
        <f t="shared" si="6"/>
        <v>244380000</v>
      </c>
      <c r="Q367" s="52">
        <v>6.7425E7</v>
      </c>
      <c r="R367" s="52" t="s">
        <v>200</v>
      </c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35" t="s">
        <v>63</v>
      </c>
      <c r="C368" s="13"/>
      <c r="D368" s="44" t="s">
        <v>64</v>
      </c>
      <c r="E368" s="12"/>
      <c r="F368" s="13"/>
      <c r="G368" s="45"/>
      <c r="H368" s="22"/>
      <c r="I368" s="22"/>
      <c r="J368" s="46">
        <f t="shared" ref="J368:K368" si="144">SUM(J370:J371)</f>
        <v>114000000</v>
      </c>
      <c r="K368" s="46">
        <f t="shared" si="144"/>
        <v>0</v>
      </c>
      <c r="L368" s="46"/>
      <c r="M368" s="46">
        <f>SUM(M370:M371)</f>
        <v>0</v>
      </c>
      <c r="N368" s="46"/>
      <c r="O368" s="24">
        <f t="shared" si="5"/>
        <v>114000000</v>
      </c>
      <c r="P368" s="24">
        <f t="shared" si="6"/>
        <v>114000000</v>
      </c>
      <c r="Q368" s="51"/>
      <c r="R368" s="5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22"/>
      <c r="C369" s="22"/>
      <c r="D369" s="35" t="s">
        <v>23</v>
      </c>
      <c r="E369" s="12"/>
      <c r="F369" s="13"/>
      <c r="G369" s="36"/>
      <c r="H369" s="22"/>
      <c r="I369" s="22"/>
      <c r="J369" s="22"/>
      <c r="K369" s="22"/>
      <c r="L369" s="22"/>
      <c r="M369" s="22"/>
      <c r="N369" s="22"/>
      <c r="O369" s="24">
        <f t="shared" si="5"/>
        <v>0</v>
      </c>
      <c r="P369" s="24">
        <f t="shared" si="6"/>
        <v>0</v>
      </c>
      <c r="Q369" s="51"/>
      <c r="R369" s="5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22"/>
      <c r="C370" s="22"/>
      <c r="D370" s="47" t="s">
        <v>24</v>
      </c>
      <c r="E370" s="35" t="s">
        <v>90</v>
      </c>
      <c r="F370" s="13"/>
      <c r="G370" s="36">
        <v>180.0</v>
      </c>
      <c r="H370" s="36" t="s">
        <v>87</v>
      </c>
      <c r="I370" s="48">
        <v>500000.0</v>
      </c>
      <c r="J370" s="46">
        <f t="shared" ref="J370:J371" si="145">G370*I370</f>
        <v>90000000</v>
      </c>
      <c r="K370" s="46"/>
      <c r="L370" s="46"/>
      <c r="M370" s="46"/>
      <c r="N370" s="46"/>
      <c r="O370" s="24">
        <f t="shared" si="5"/>
        <v>90000000</v>
      </c>
      <c r="P370" s="24">
        <f t="shared" si="6"/>
        <v>90000000</v>
      </c>
      <c r="Q370" s="51"/>
      <c r="R370" s="5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22"/>
      <c r="C371" s="22"/>
      <c r="D371" s="47" t="s">
        <v>24</v>
      </c>
      <c r="E371" s="35" t="s">
        <v>170</v>
      </c>
      <c r="F371" s="13"/>
      <c r="G371" s="36">
        <v>600.0</v>
      </c>
      <c r="H371" s="36" t="s">
        <v>87</v>
      </c>
      <c r="I371" s="48">
        <v>40000.0</v>
      </c>
      <c r="J371" s="46">
        <f t="shared" si="145"/>
        <v>24000000</v>
      </c>
      <c r="K371" s="46"/>
      <c r="L371" s="46"/>
      <c r="M371" s="46"/>
      <c r="N371" s="46"/>
      <c r="O371" s="24">
        <f t="shared" si="5"/>
        <v>24000000</v>
      </c>
      <c r="P371" s="24">
        <f t="shared" si="6"/>
        <v>24000000</v>
      </c>
      <c r="Q371" s="51"/>
      <c r="R371" s="5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41" t="s">
        <v>92</v>
      </c>
      <c r="C372" s="13"/>
      <c r="D372" s="41" t="s">
        <v>93</v>
      </c>
      <c r="E372" s="12"/>
      <c r="F372" s="13"/>
      <c r="G372" s="42"/>
      <c r="H372" s="22"/>
      <c r="I372" s="22"/>
      <c r="J372" s="43">
        <f t="shared" ref="J372:K372" si="146">J373</f>
        <v>41836000</v>
      </c>
      <c r="K372" s="43">
        <f t="shared" si="146"/>
        <v>0</v>
      </c>
      <c r="L372" s="43"/>
      <c r="M372" s="43">
        <f>M373</f>
        <v>0</v>
      </c>
      <c r="N372" s="43"/>
      <c r="O372" s="24">
        <f t="shared" si="5"/>
        <v>41836000</v>
      </c>
      <c r="P372" s="24">
        <f t="shared" si="6"/>
        <v>41836000</v>
      </c>
      <c r="Q372" s="51"/>
      <c r="R372" s="5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35" t="s">
        <v>68</v>
      </c>
      <c r="C373" s="13"/>
      <c r="D373" s="44" t="s">
        <v>69</v>
      </c>
      <c r="E373" s="12"/>
      <c r="F373" s="13"/>
      <c r="G373" s="45"/>
      <c r="H373" s="22"/>
      <c r="I373" s="22"/>
      <c r="J373" s="46">
        <f t="shared" ref="J373:K373" si="147">SUM(J375:J376)</f>
        <v>41836000</v>
      </c>
      <c r="K373" s="46">
        <f t="shared" si="147"/>
        <v>0</v>
      </c>
      <c r="L373" s="46"/>
      <c r="M373" s="46">
        <f>SUM(M375:M376)</f>
        <v>0</v>
      </c>
      <c r="N373" s="46"/>
      <c r="O373" s="24">
        <f t="shared" si="5"/>
        <v>41836000</v>
      </c>
      <c r="P373" s="24">
        <f t="shared" si="6"/>
        <v>41836000</v>
      </c>
      <c r="Q373" s="51"/>
      <c r="R373" s="5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22"/>
      <c r="C374" s="22"/>
      <c r="D374" s="35" t="s">
        <v>23</v>
      </c>
      <c r="E374" s="12"/>
      <c r="F374" s="13"/>
      <c r="G374" s="36"/>
      <c r="H374" s="22"/>
      <c r="I374" s="22"/>
      <c r="J374" s="22"/>
      <c r="K374" s="22"/>
      <c r="L374" s="22"/>
      <c r="M374" s="22"/>
      <c r="N374" s="22"/>
      <c r="O374" s="24">
        <f t="shared" si="5"/>
        <v>0</v>
      </c>
      <c r="P374" s="24">
        <f t="shared" si="6"/>
        <v>0</v>
      </c>
      <c r="Q374" s="51"/>
      <c r="R374" s="5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22"/>
      <c r="C375" s="22"/>
      <c r="D375" s="47" t="s">
        <v>24</v>
      </c>
      <c r="E375" s="35" t="s">
        <v>94</v>
      </c>
      <c r="F375" s="13"/>
      <c r="G375" s="36">
        <v>12.0</v>
      </c>
      <c r="H375" s="36" t="s">
        <v>95</v>
      </c>
      <c r="I375" s="48">
        <v>2500000.0</v>
      </c>
      <c r="J375" s="46">
        <f t="shared" ref="J375:J376" si="148">G375*I375</f>
        <v>30000000</v>
      </c>
      <c r="K375" s="46"/>
      <c r="L375" s="46"/>
      <c r="M375" s="46"/>
      <c r="N375" s="46"/>
      <c r="O375" s="24">
        <f t="shared" si="5"/>
        <v>30000000</v>
      </c>
      <c r="P375" s="24">
        <f t="shared" si="6"/>
        <v>30000000</v>
      </c>
      <c r="Q375" s="51"/>
      <c r="R375" s="5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22"/>
      <c r="C376" s="22"/>
      <c r="D376" s="47" t="s">
        <v>24</v>
      </c>
      <c r="E376" s="35" t="s">
        <v>171</v>
      </c>
      <c r="F376" s="13"/>
      <c r="G376" s="36">
        <v>1.0</v>
      </c>
      <c r="H376" s="36" t="s">
        <v>97</v>
      </c>
      <c r="I376" s="48">
        <v>1.1836E7</v>
      </c>
      <c r="J376" s="46">
        <f t="shared" si="148"/>
        <v>11836000</v>
      </c>
      <c r="K376" s="46"/>
      <c r="L376" s="46"/>
      <c r="M376" s="46"/>
      <c r="N376" s="46"/>
      <c r="O376" s="24">
        <f t="shared" si="5"/>
        <v>11836000</v>
      </c>
      <c r="P376" s="24">
        <f t="shared" si="6"/>
        <v>11836000</v>
      </c>
      <c r="Q376" s="51"/>
      <c r="R376" s="5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41" t="s">
        <v>98</v>
      </c>
      <c r="C377" s="13"/>
      <c r="D377" s="41" t="s">
        <v>99</v>
      </c>
      <c r="E377" s="12"/>
      <c r="F377" s="13"/>
      <c r="G377" s="42"/>
      <c r="H377" s="22"/>
      <c r="I377" s="22"/>
      <c r="J377" s="43">
        <f t="shared" ref="J377:K377" si="149">J378+J387</f>
        <v>6760000</v>
      </c>
      <c r="K377" s="43">
        <f t="shared" si="149"/>
        <v>0</v>
      </c>
      <c r="L377" s="43"/>
      <c r="M377" s="43">
        <f>M378+M387</f>
        <v>0</v>
      </c>
      <c r="N377" s="43"/>
      <c r="O377" s="24">
        <f t="shared" si="5"/>
        <v>6760000</v>
      </c>
      <c r="P377" s="24">
        <f t="shared" si="6"/>
        <v>6760000</v>
      </c>
      <c r="Q377" s="51"/>
      <c r="R377" s="5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35" t="s">
        <v>100</v>
      </c>
      <c r="C378" s="13"/>
      <c r="D378" s="44" t="s">
        <v>101</v>
      </c>
      <c r="E378" s="12"/>
      <c r="F378" s="13"/>
      <c r="G378" s="45"/>
      <c r="H378" s="22"/>
      <c r="I378" s="22"/>
      <c r="J378" s="46">
        <f t="shared" ref="J378:K378" si="150">SUM(J380:J386)</f>
        <v>5600000</v>
      </c>
      <c r="K378" s="46">
        <f t="shared" si="150"/>
        <v>0</v>
      </c>
      <c r="L378" s="46"/>
      <c r="M378" s="46">
        <f>SUM(M380:M386)</f>
        <v>0</v>
      </c>
      <c r="N378" s="46"/>
      <c r="O378" s="24">
        <f t="shared" si="5"/>
        <v>5600000</v>
      </c>
      <c r="P378" s="24">
        <f t="shared" si="6"/>
        <v>5600000</v>
      </c>
      <c r="Q378" s="51"/>
      <c r="R378" s="5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22"/>
      <c r="C379" s="22"/>
      <c r="D379" s="35" t="s">
        <v>23</v>
      </c>
      <c r="E379" s="12"/>
      <c r="F379" s="13"/>
      <c r="G379" s="36"/>
      <c r="H379" s="22"/>
      <c r="I379" s="22"/>
      <c r="J379" s="22"/>
      <c r="K379" s="22"/>
      <c r="L379" s="22"/>
      <c r="M379" s="22"/>
      <c r="N379" s="22"/>
      <c r="O379" s="24">
        <f t="shared" si="5"/>
        <v>0</v>
      </c>
      <c r="P379" s="24">
        <f t="shared" si="6"/>
        <v>0</v>
      </c>
      <c r="Q379" s="51"/>
      <c r="R379" s="5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22"/>
      <c r="C380" s="22"/>
      <c r="D380" s="47" t="s">
        <v>24</v>
      </c>
      <c r="E380" s="35" t="s">
        <v>102</v>
      </c>
      <c r="F380" s="13"/>
      <c r="G380" s="36">
        <v>2.0</v>
      </c>
      <c r="H380" s="36" t="s">
        <v>95</v>
      </c>
      <c r="I380" s="48">
        <v>350000.0</v>
      </c>
      <c r="J380" s="46">
        <f t="shared" ref="J380:J386" si="151">G380*I380</f>
        <v>700000</v>
      </c>
      <c r="K380" s="46"/>
      <c r="L380" s="46"/>
      <c r="M380" s="46"/>
      <c r="N380" s="46"/>
      <c r="O380" s="24">
        <f t="shared" si="5"/>
        <v>700000</v>
      </c>
      <c r="P380" s="24">
        <f t="shared" si="6"/>
        <v>700000</v>
      </c>
      <c r="Q380" s="51"/>
      <c r="R380" s="5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22"/>
      <c r="C381" s="22"/>
      <c r="D381" s="47" t="s">
        <v>24</v>
      </c>
      <c r="E381" s="35" t="s">
        <v>103</v>
      </c>
      <c r="F381" s="13"/>
      <c r="G381" s="36">
        <v>2.0</v>
      </c>
      <c r="H381" s="36" t="s">
        <v>95</v>
      </c>
      <c r="I381" s="48">
        <v>225000.0</v>
      </c>
      <c r="J381" s="46">
        <f t="shared" si="151"/>
        <v>450000</v>
      </c>
      <c r="K381" s="46"/>
      <c r="L381" s="46"/>
      <c r="M381" s="46"/>
      <c r="N381" s="46"/>
      <c r="O381" s="24">
        <f t="shared" si="5"/>
        <v>450000</v>
      </c>
      <c r="P381" s="24">
        <f t="shared" si="6"/>
        <v>450000</v>
      </c>
      <c r="Q381" s="51"/>
      <c r="R381" s="5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22"/>
      <c r="C382" s="22"/>
      <c r="D382" s="47" t="s">
        <v>24</v>
      </c>
      <c r="E382" s="35" t="s">
        <v>104</v>
      </c>
      <c r="F382" s="13"/>
      <c r="G382" s="36">
        <v>2.0</v>
      </c>
      <c r="H382" s="36" t="s">
        <v>95</v>
      </c>
      <c r="I382" s="48">
        <v>450000.0</v>
      </c>
      <c r="J382" s="46">
        <f t="shared" si="151"/>
        <v>900000</v>
      </c>
      <c r="K382" s="46"/>
      <c r="L382" s="46"/>
      <c r="M382" s="46"/>
      <c r="N382" s="46"/>
      <c r="O382" s="24">
        <f t="shared" si="5"/>
        <v>900000</v>
      </c>
      <c r="P382" s="24">
        <f t="shared" si="6"/>
        <v>900000</v>
      </c>
      <c r="Q382" s="51"/>
      <c r="R382" s="5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22"/>
      <c r="C383" s="22"/>
      <c r="D383" s="47" t="s">
        <v>24</v>
      </c>
      <c r="E383" s="35" t="s">
        <v>105</v>
      </c>
      <c r="F383" s="13"/>
      <c r="G383" s="36">
        <v>2.0</v>
      </c>
      <c r="H383" s="36" t="s">
        <v>95</v>
      </c>
      <c r="I383" s="48">
        <v>250000.0</v>
      </c>
      <c r="J383" s="46">
        <f t="shared" si="151"/>
        <v>500000</v>
      </c>
      <c r="K383" s="46"/>
      <c r="L383" s="46"/>
      <c r="M383" s="46"/>
      <c r="N383" s="46"/>
      <c r="O383" s="24">
        <f t="shared" si="5"/>
        <v>500000</v>
      </c>
      <c r="P383" s="24">
        <f t="shared" si="6"/>
        <v>500000</v>
      </c>
      <c r="Q383" s="51"/>
      <c r="R383" s="5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22"/>
      <c r="C384" s="22"/>
      <c r="D384" s="47" t="s">
        <v>24</v>
      </c>
      <c r="E384" s="35" t="s">
        <v>106</v>
      </c>
      <c r="F384" s="13"/>
      <c r="G384" s="36">
        <v>2.0</v>
      </c>
      <c r="H384" s="36" t="s">
        <v>95</v>
      </c>
      <c r="I384" s="48">
        <v>100000.0</v>
      </c>
      <c r="J384" s="46">
        <f t="shared" si="151"/>
        <v>200000</v>
      </c>
      <c r="K384" s="46"/>
      <c r="L384" s="46"/>
      <c r="M384" s="46"/>
      <c r="N384" s="46"/>
      <c r="O384" s="24">
        <f t="shared" si="5"/>
        <v>200000</v>
      </c>
      <c r="P384" s="24">
        <f t="shared" si="6"/>
        <v>200000</v>
      </c>
      <c r="Q384" s="51"/>
      <c r="R384" s="5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22"/>
      <c r="C385" s="22"/>
      <c r="D385" s="47" t="s">
        <v>24</v>
      </c>
      <c r="E385" s="35" t="s">
        <v>107</v>
      </c>
      <c r="F385" s="13"/>
      <c r="G385" s="36">
        <v>2.0</v>
      </c>
      <c r="H385" s="36" t="s">
        <v>95</v>
      </c>
      <c r="I385" s="48">
        <v>725000.0</v>
      </c>
      <c r="J385" s="46">
        <f t="shared" si="151"/>
        <v>1450000</v>
      </c>
      <c r="K385" s="46"/>
      <c r="L385" s="46"/>
      <c r="M385" s="46"/>
      <c r="N385" s="46"/>
      <c r="O385" s="24">
        <f t="shared" si="5"/>
        <v>1450000</v>
      </c>
      <c r="P385" s="24">
        <f t="shared" si="6"/>
        <v>1450000</v>
      </c>
      <c r="Q385" s="51"/>
      <c r="R385" s="5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22"/>
      <c r="C386" s="22"/>
      <c r="D386" s="47" t="s">
        <v>24</v>
      </c>
      <c r="E386" s="35" t="s">
        <v>108</v>
      </c>
      <c r="F386" s="13"/>
      <c r="G386" s="36">
        <v>2.0</v>
      </c>
      <c r="H386" s="36" t="s">
        <v>95</v>
      </c>
      <c r="I386" s="48">
        <v>700000.0</v>
      </c>
      <c r="J386" s="46">
        <f t="shared" si="151"/>
        <v>1400000</v>
      </c>
      <c r="K386" s="46"/>
      <c r="L386" s="46"/>
      <c r="M386" s="46"/>
      <c r="N386" s="46"/>
      <c r="O386" s="24">
        <f t="shared" si="5"/>
        <v>1400000</v>
      </c>
      <c r="P386" s="24">
        <f t="shared" si="6"/>
        <v>1400000</v>
      </c>
      <c r="Q386" s="51"/>
      <c r="R386" s="5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35" t="s">
        <v>68</v>
      </c>
      <c r="C387" s="13"/>
      <c r="D387" s="44" t="s">
        <v>69</v>
      </c>
      <c r="E387" s="12"/>
      <c r="F387" s="13"/>
      <c r="G387" s="45"/>
      <c r="H387" s="22"/>
      <c r="I387" s="22"/>
      <c r="J387" s="46">
        <f t="shared" ref="J387:K387" si="152">SUM(J389:J392)</f>
        <v>1160000</v>
      </c>
      <c r="K387" s="46">
        <f t="shared" si="152"/>
        <v>0</v>
      </c>
      <c r="L387" s="46"/>
      <c r="M387" s="46">
        <f>SUM(M389:M392)</f>
        <v>0</v>
      </c>
      <c r="N387" s="46"/>
      <c r="O387" s="24">
        <f t="shared" si="5"/>
        <v>1160000</v>
      </c>
      <c r="P387" s="24">
        <f t="shared" si="6"/>
        <v>1160000</v>
      </c>
      <c r="Q387" s="51"/>
      <c r="R387" s="5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22"/>
      <c r="C388" s="22"/>
      <c r="D388" s="35" t="s">
        <v>23</v>
      </c>
      <c r="E388" s="12"/>
      <c r="F388" s="13"/>
      <c r="G388" s="36"/>
      <c r="H388" s="22"/>
      <c r="I388" s="22"/>
      <c r="J388" s="22"/>
      <c r="K388" s="22"/>
      <c r="L388" s="22"/>
      <c r="M388" s="22"/>
      <c r="N388" s="22"/>
      <c r="O388" s="24">
        <f t="shared" si="5"/>
        <v>0</v>
      </c>
      <c r="P388" s="24">
        <f t="shared" si="6"/>
        <v>0</v>
      </c>
      <c r="Q388" s="51"/>
      <c r="R388" s="5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22"/>
      <c r="C389" s="22"/>
      <c r="D389" s="47" t="s">
        <v>24</v>
      </c>
      <c r="E389" s="35" t="s">
        <v>109</v>
      </c>
      <c r="F389" s="13"/>
      <c r="G389" s="36">
        <v>10.0</v>
      </c>
      <c r="H389" s="36" t="s">
        <v>95</v>
      </c>
      <c r="I389" s="48">
        <v>50000.0</v>
      </c>
      <c r="J389" s="46">
        <f t="shared" ref="J389:J392" si="153">G389*I389</f>
        <v>500000</v>
      </c>
      <c r="K389" s="46"/>
      <c r="L389" s="46"/>
      <c r="M389" s="46"/>
      <c r="N389" s="46"/>
      <c r="O389" s="24">
        <f t="shared" si="5"/>
        <v>500000</v>
      </c>
      <c r="P389" s="24">
        <f t="shared" si="6"/>
        <v>500000</v>
      </c>
      <c r="Q389" s="51"/>
      <c r="R389" s="5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22"/>
      <c r="C390" s="22"/>
      <c r="D390" s="47" t="s">
        <v>24</v>
      </c>
      <c r="E390" s="35" t="s">
        <v>110</v>
      </c>
      <c r="F390" s="13"/>
      <c r="G390" s="36">
        <v>2.0</v>
      </c>
      <c r="H390" s="36" t="s">
        <v>95</v>
      </c>
      <c r="I390" s="48">
        <v>100000.0</v>
      </c>
      <c r="J390" s="46">
        <f t="shared" si="153"/>
        <v>200000</v>
      </c>
      <c r="K390" s="46"/>
      <c r="L390" s="46"/>
      <c r="M390" s="46"/>
      <c r="N390" s="46"/>
      <c r="O390" s="24">
        <f t="shared" si="5"/>
        <v>200000</v>
      </c>
      <c r="P390" s="24">
        <f t="shared" si="6"/>
        <v>200000</v>
      </c>
      <c r="Q390" s="51"/>
      <c r="R390" s="5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22"/>
      <c r="C391" s="22"/>
      <c r="D391" s="47" t="s">
        <v>24</v>
      </c>
      <c r="E391" s="35" t="s">
        <v>111</v>
      </c>
      <c r="F391" s="13"/>
      <c r="G391" s="36">
        <v>2.0</v>
      </c>
      <c r="H391" s="36" t="s">
        <v>95</v>
      </c>
      <c r="I391" s="48">
        <v>200000.0</v>
      </c>
      <c r="J391" s="46">
        <f t="shared" si="153"/>
        <v>400000</v>
      </c>
      <c r="K391" s="46"/>
      <c r="L391" s="46"/>
      <c r="M391" s="46"/>
      <c r="N391" s="46"/>
      <c r="O391" s="24">
        <f t="shared" si="5"/>
        <v>400000</v>
      </c>
      <c r="P391" s="24">
        <f t="shared" si="6"/>
        <v>400000</v>
      </c>
      <c r="Q391" s="51"/>
      <c r="R391" s="5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22"/>
      <c r="C392" s="22"/>
      <c r="D392" s="47" t="s">
        <v>24</v>
      </c>
      <c r="E392" s="35" t="s">
        <v>112</v>
      </c>
      <c r="F392" s="13"/>
      <c r="G392" s="36">
        <v>2.0</v>
      </c>
      <c r="H392" s="36" t="s">
        <v>95</v>
      </c>
      <c r="I392" s="48">
        <v>30000.0</v>
      </c>
      <c r="J392" s="46">
        <f t="shared" si="153"/>
        <v>60000</v>
      </c>
      <c r="K392" s="46"/>
      <c r="L392" s="46"/>
      <c r="M392" s="46"/>
      <c r="N392" s="46"/>
      <c r="O392" s="24">
        <f t="shared" si="5"/>
        <v>60000</v>
      </c>
      <c r="P392" s="24">
        <f t="shared" si="6"/>
        <v>60000</v>
      </c>
      <c r="Q392" s="51"/>
      <c r="R392" s="5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41" t="s">
        <v>113</v>
      </c>
      <c r="C393" s="13"/>
      <c r="D393" s="41" t="s">
        <v>114</v>
      </c>
      <c r="E393" s="12"/>
      <c r="F393" s="13"/>
      <c r="G393" s="42"/>
      <c r="H393" s="22"/>
      <c r="I393" s="22"/>
      <c r="J393" s="43">
        <f t="shared" ref="J393:K393" si="154">J394</f>
        <v>410750000</v>
      </c>
      <c r="K393" s="43">
        <f t="shared" si="154"/>
        <v>0</v>
      </c>
      <c r="L393" s="43"/>
      <c r="M393" s="43">
        <f>M394</f>
        <v>12408000</v>
      </c>
      <c r="N393" s="43"/>
      <c r="O393" s="24">
        <f t="shared" si="5"/>
        <v>410750000</v>
      </c>
      <c r="P393" s="24">
        <f t="shared" si="6"/>
        <v>398342000</v>
      </c>
      <c r="Q393" s="51"/>
      <c r="R393" s="5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35" t="s">
        <v>68</v>
      </c>
      <c r="C394" s="13"/>
      <c r="D394" s="44" t="s">
        <v>69</v>
      </c>
      <c r="E394" s="12"/>
      <c r="F394" s="13"/>
      <c r="G394" s="45"/>
      <c r="H394" s="22"/>
      <c r="I394" s="22"/>
      <c r="J394" s="46">
        <f t="shared" ref="J394:K394" si="155">SUM(J396:J406)</f>
        <v>410750000</v>
      </c>
      <c r="K394" s="46">
        <f t="shared" si="155"/>
        <v>0</v>
      </c>
      <c r="L394" s="46"/>
      <c r="M394" s="46">
        <f>SUM(M396:M406)</f>
        <v>12408000</v>
      </c>
      <c r="N394" s="46"/>
      <c r="O394" s="24">
        <f t="shared" si="5"/>
        <v>410750000</v>
      </c>
      <c r="P394" s="24">
        <f t="shared" si="6"/>
        <v>398342000</v>
      </c>
      <c r="Q394" s="51"/>
      <c r="R394" s="5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22"/>
      <c r="C395" s="22"/>
      <c r="D395" s="35" t="s">
        <v>23</v>
      </c>
      <c r="E395" s="12"/>
      <c r="F395" s="13"/>
      <c r="G395" s="36"/>
      <c r="H395" s="22"/>
      <c r="I395" s="22"/>
      <c r="J395" s="22"/>
      <c r="K395" s="22"/>
      <c r="L395" s="22"/>
      <c r="M395" s="22"/>
      <c r="N395" s="22"/>
      <c r="O395" s="24">
        <f t="shared" si="5"/>
        <v>0</v>
      </c>
      <c r="P395" s="24">
        <f t="shared" si="6"/>
        <v>0</v>
      </c>
      <c r="Q395" s="51"/>
      <c r="R395" s="5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22"/>
      <c r="C396" s="22"/>
      <c r="D396" s="47" t="s">
        <v>24</v>
      </c>
      <c r="E396" s="35" t="s">
        <v>172</v>
      </c>
      <c r="F396" s="13"/>
      <c r="G396" s="36">
        <v>100.0</v>
      </c>
      <c r="H396" s="36" t="s">
        <v>95</v>
      </c>
      <c r="I396" s="48">
        <v>110000.0</v>
      </c>
      <c r="J396" s="46">
        <f t="shared" ref="J396:J406" si="156">G396*I396</f>
        <v>11000000</v>
      </c>
      <c r="K396" s="46"/>
      <c r="L396" s="46"/>
      <c r="M396" s="46"/>
      <c r="N396" s="46"/>
      <c r="O396" s="24">
        <f t="shared" si="5"/>
        <v>11000000</v>
      </c>
      <c r="P396" s="24">
        <f t="shared" si="6"/>
        <v>11000000</v>
      </c>
      <c r="Q396" s="51"/>
      <c r="R396" s="5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22"/>
      <c r="C397" s="22"/>
      <c r="D397" s="47" t="s">
        <v>24</v>
      </c>
      <c r="E397" s="35" t="s">
        <v>173</v>
      </c>
      <c r="F397" s="13"/>
      <c r="G397" s="36">
        <v>100.0</v>
      </c>
      <c r="H397" s="36" t="s">
        <v>95</v>
      </c>
      <c r="I397" s="48">
        <v>120000.0</v>
      </c>
      <c r="J397" s="46">
        <f t="shared" si="156"/>
        <v>12000000</v>
      </c>
      <c r="K397" s="46"/>
      <c r="L397" s="46"/>
      <c r="M397" s="46"/>
      <c r="N397" s="46"/>
      <c r="O397" s="24">
        <f t="shared" si="5"/>
        <v>12000000</v>
      </c>
      <c r="P397" s="24">
        <f t="shared" si="6"/>
        <v>12000000</v>
      </c>
      <c r="Q397" s="51"/>
      <c r="R397" s="5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22"/>
      <c r="C398" s="22"/>
      <c r="D398" s="47" t="s">
        <v>24</v>
      </c>
      <c r="E398" s="35" t="s">
        <v>174</v>
      </c>
      <c r="F398" s="13"/>
      <c r="G398" s="36">
        <v>100.0</v>
      </c>
      <c r="H398" s="36" t="s">
        <v>95</v>
      </c>
      <c r="I398" s="48">
        <v>150000.0</v>
      </c>
      <c r="J398" s="46">
        <f t="shared" si="156"/>
        <v>15000000</v>
      </c>
      <c r="K398" s="46"/>
      <c r="L398" s="46"/>
      <c r="M398" s="46"/>
      <c r="N398" s="46"/>
      <c r="O398" s="24">
        <f t="shared" si="5"/>
        <v>15000000</v>
      </c>
      <c r="P398" s="24">
        <f t="shared" si="6"/>
        <v>15000000</v>
      </c>
      <c r="Q398" s="51"/>
      <c r="R398" s="5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22"/>
      <c r="C399" s="22"/>
      <c r="D399" s="47" t="s">
        <v>24</v>
      </c>
      <c r="E399" s="35" t="s">
        <v>175</v>
      </c>
      <c r="F399" s="13"/>
      <c r="G399" s="36">
        <v>100.0</v>
      </c>
      <c r="H399" s="36" t="s">
        <v>95</v>
      </c>
      <c r="I399" s="48">
        <v>100000.0</v>
      </c>
      <c r="J399" s="46">
        <f t="shared" si="156"/>
        <v>10000000</v>
      </c>
      <c r="K399" s="46"/>
      <c r="L399" s="46"/>
      <c r="M399" s="46"/>
      <c r="N399" s="46"/>
      <c r="O399" s="24">
        <f t="shared" si="5"/>
        <v>10000000</v>
      </c>
      <c r="P399" s="24">
        <f t="shared" si="6"/>
        <v>10000000</v>
      </c>
      <c r="Q399" s="51"/>
      <c r="R399" s="5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22"/>
      <c r="C400" s="22"/>
      <c r="D400" s="47" t="s">
        <v>24</v>
      </c>
      <c r="E400" s="35" t="s">
        <v>176</v>
      </c>
      <c r="F400" s="13"/>
      <c r="G400" s="36">
        <v>100.0</v>
      </c>
      <c r="H400" s="36" t="s">
        <v>95</v>
      </c>
      <c r="I400" s="48">
        <v>350000.0</v>
      </c>
      <c r="J400" s="46">
        <f t="shared" si="156"/>
        <v>35000000</v>
      </c>
      <c r="K400" s="46"/>
      <c r="L400" s="46"/>
      <c r="M400" s="46"/>
      <c r="N400" s="46"/>
      <c r="O400" s="24">
        <f t="shared" si="5"/>
        <v>35000000</v>
      </c>
      <c r="P400" s="24">
        <f t="shared" si="6"/>
        <v>35000000</v>
      </c>
      <c r="Q400" s="51"/>
      <c r="R400" s="5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22"/>
      <c r="C401" s="22"/>
      <c r="D401" s="47" t="s">
        <v>24</v>
      </c>
      <c r="E401" s="35" t="s">
        <v>177</v>
      </c>
      <c r="F401" s="13"/>
      <c r="G401" s="36">
        <v>50.0</v>
      </c>
      <c r="H401" s="36" t="s">
        <v>95</v>
      </c>
      <c r="I401" s="48">
        <v>175000.0</v>
      </c>
      <c r="J401" s="46">
        <f t="shared" si="156"/>
        <v>8750000</v>
      </c>
      <c r="K401" s="46"/>
      <c r="L401" s="46"/>
      <c r="M401" s="46"/>
      <c r="N401" s="46"/>
      <c r="O401" s="24">
        <f t="shared" si="5"/>
        <v>8750000</v>
      </c>
      <c r="P401" s="24">
        <f t="shared" si="6"/>
        <v>8750000</v>
      </c>
      <c r="Q401" s="51"/>
      <c r="R401" s="5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22"/>
      <c r="C402" s="22"/>
      <c r="D402" s="47" t="s">
        <v>24</v>
      </c>
      <c r="E402" s="35" t="s">
        <v>178</v>
      </c>
      <c r="F402" s="13"/>
      <c r="G402" s="36">
        <v>350.0</v>
      </c>
      <c r="H402" s="36" t="s">
        <v>95</v>
      </c>
      <c r="I402" s="48">
        <v>150000.0</v>
      </c>
      <c r="J402" s="46">
        <f t="shared" si="156"/>
        <v>52500000</v>
      </c>
      <c r="K402" s="46"/>
      <c r="L402" s="46"/>
      <c r="M402" s="46"/>
      <c r="N402" s="46"/>
      <c r="O402" s="24">
        <f t="shared" si="5"/>
        <v>52500000</v>
      </c>
      <c r="P402" s="24">
        <f t="shared" si="6"/>
        <v>52500000</v>
      </c>
      <c r="Q402" s="51"/>
      <c r="R402" s="5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22"/>
      <c r="C403" s="22"/>
      <c r="D403" s="47" t="s">
        <v>24</v>
      </c>
      <c r="E403" s="35" t="s">
        <v>179</v>
      </c>
      <c r="F403" s="13"/>
      <c r="G403" s="36">
        <v>350.0</v>
      </c>
      <c r="H403" s="36" t="s">
        <v>95</v>
      </c>
      <c r="I403" s="48">
        <v>200000.0</v>
      </c>
      <c r="J403" s="46">
        <f t="shared" si="156"/>
        <v>70000000</v>
      </c>
      <c r="K403" s="46"/>
      <c r="L403" s="46"/>
      <c r="M403" s="46"/>
      <c r="N403" s="46"/>
      <c r="O403" s="24">
        <f t="shared" si="5"/>
        <v>70000000</v>
      </c>
      <c r="P403" s="24">
        <f t="shared" si="6"/>
        <v>70000000</v>
      </c>
      <c r="Q403" s="51"/>
      <c r="R403" s="5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22"/>
      <c r="C404" s="22"/>
      <c r="D404" s="47" t="s">
        <v>24</v>
      </c>
      <c r="E404" s="35" t="s">
        <v>180</v>
      </c>
      <c r="F404" s="13"/>
      <c r="G404" s="36">
        <v>600.0</v>
      </c>
      <c r="H404" s="36" t="s">
        <v>95</v>
      </c>
      <c r="I404" s="48">
        <v>250000.0</v>
      </c>
      <c r="J404" s="46">
        <f t="shared" si="156"/>
        <v>150000000</v>
      </c>
      <c r="K404" s="46"/>
      <c r="L404" s="46"/>
      <c r="M404" s="46">
        <v>1.1891E7</v>
      </c>
      <c r="N404" s="46"/>
      <c r="O404" s="24">
        <f t="shared" si="5"/>
        <v>150000000</v>
      </c>
      <c r="P404" s="24">
        <f t="shared" si="6"/>
        <v>138109000</v>
      </c>
      <c r="Q404" s="51"/>
      <c r="R404" s="5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22"/>
      <c r="C405" s="22"/>
      <c r="D405" s="47" t="s">
        <v>24</v>
      </c>
      <c r="E405" s="35" t="s">
        <v>181</v>
      </c>
      <c r="F405" s="13"/>
      <c r="G405" s="36">
        <v>360.0</v>
      </c>
      <c r="H405" s="36" t="s">
        <v>95</v>
      </c>
      <c r="I405" s="48">
        <v>100000.0</v>
      </c>
      <c r="J405" s="46">
        <f t="shared" si="156"/>
        <v>36000000</v>
      </c>
      <c r="K405" s="46"/>
      <c r="L405" s="46"/>
      <c r="M405" s="46">
        <v>517000.0</v>
      </c>
      <c r="N405" s="46"/>
      <c r="O405" s="24">
        <f t="shared" si="5"/>
        <v>36000000</v>
      </c>
      <c r="P405" s="24">
        <f t="shared" si="6"/>
        <v>35483000</v>
      </c>
      <c r="Q405" s="51"/>
      <c r="R405" s="5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22"/>
      <c r="C406" s="22"/>
      <c r="D406" s="47" t="s">
        <v>24</v>
      </c>
      <c r="E406" s="35" t="s">
        <v>182</v>
      </c>
      <c r="F406" s="13"/>
      <c r="G406" s="36">
        <v>210.0</v>
      </c>
      <c r="H406" s="36" t="s">
        <v>95</v>
      </c>
      <c r="I406" s="48">
        <v>50000.0</v>
      </c>
      <c r="J406" s="46">
        <f t="shared" si="156"/>
        <v>10500000</v>
      </c>
      <c r="K406" s="46"/>
      <c r="L406" s="46"/>
      <c r="M406" s="46"/>
      <c r="N406" s="46"/>
      <c r="O406" s="24">
        <f t="shared" si="5"/>
        <v>10500000</v>
      </c>
      <c r="P406" s="24">
        <f t="shared" si="6"/>
        <v>10500000</v>
      </c>
      <c r="Q406" s="51"/>
      <c r="R406" s="5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41" t="s">
        <v>126</v>
      </c>
      <c r="C407" s="13"/>
      <c r="D407" s="41" t="s">
        <v>127</v>
      </c>
      <c r="E407" s="12"/>
      <c r="F407" s="13"/>
      <c r="G407" s="42"/>
      <c r="H407" s="22"/>
      <c r="I407" s="22"/>
      <c r="J407" s="43">
        <f t="shared" ref="J407:K407" si="157">J408</f>
        <v>190740000</v>
      </c>
      <c r="K407" s="43">
        <f t="shared" si="157"/>
        <v>0</v>
      </c>
      <c r="L407" s="43"/>
      <c r="M407" s="43">
        <f>M408</f>
        <v>0</v>
      </c>
      <c r="N407" s="43"/>
      <c r="O407" s="24">
        <f t="shared" si="5"/>
        <v>190740000</v>
      </c>
      <c r="P407" s="24">
        <f t="shared" si="6"/>
        <v>190740000</v>
      </c>
      <c r="Q407" s="51"/>
      <c r="R407" s="5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35" t="s">
        <v>68</v>
      </c>
      <c r="C408" s="13"/>
      <c r="D408" s="44" t="s">
        <v>69</v>
      </c>
      <c r="E408" s="12"/>
      <c r="F408" s="13"/>
      <c r="G408" s="45"/>
      <c r="H408" s="22"/>
      <c r="I408" s="22"/>
      <c r="J408" s="46">
        <f t="shared" ref="J408:K408" si="158">SUM(J410:J414)</f>
        <v>190740000</v>
      </c>
      <c r="K408" s="46">
        <f t="shared" si="158"/>
        <v>0</v>
      </c>
      <c r="L408" s="46"/>
      <c r="M408" s="46">
        <f>SUM(M410:M414)</f>
        <v>0</v>
      </c>
      <c r="N408" s="46"/>
      <c r="O408" s="24">
        <f t="shared" si="5"/>
        <v>190740000</v>
      </c>
      <c r="P408" s="24">
        <f t="shared" si="6"/>
        <v>190740000</v>
      </c>
      <c r="Q408" s="51"/>
      <c r="R408" s="5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22"/>
      <c r="C409" s="22"/>
      <c r="D409" s="35" t="s">
        <v>23</v>
      </c>
      <c r="E409" s="12"/>
      <c r="F409" s="13"/>
      <c r="G409" s="36"/>
      <c r="H409" s="22"/>
      <c r="I409" s="22"/>
      <c r="J409" s="22"/>
      <c r="K409" s="22"/>
      <c r="L409" s="22"/>
      <c r="M409" s="22"/>
      <c r="N409" s="22"/>
      <c r="O409" s="24">
        <f t="shared" si="5"/>
        <v>0</v>
      </c>
      <c r="P409" s="24">
        <f t="shared" si="6"/>
        <v>0</v>
      </c>
      <c r="Q409" s="51"/>
      <c r="R409" s="5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22"/>
      <c r="C410" s="22"/>
      <c r="D410" s="47" t="s">
        <v>24</v>
      </c>
      <c r="E410" s="35" t="s">
        <v>128</v>
      </c>
      <c r="F410" s="13"/>
      <c r="G410" s="36">
        <v>88.0</v>
      </c>
      <c r="H410" s="36" t="s">
        <v>129</v>
      </c>
      <c r="I410" s="48">
        <v>110000.0</v>
      </c>
      <c r="J410" s="46">
        <f t="shared" ref="J410:J414" si="159">G410*I410</f>
        <v>9680000</v>
      </c>
      <c r="K410" s="46"/>
      <c r="L410" s="46"/>
      <c r="M410" s="46"/>
      <c r="N410" s="46"/>
      <c r="O410" s="24">
        <f t="shared" si="5"/>
        <v>9680000</v>
      </c>
      <c r="P410" s="24">
        <f t="shared" si="6"/>
        <v>9680000</v>
      </c>
      <c r="Q410" s="51"/>
      <c r="R410" s="5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22"/>
      <c r="C411" s="22"/>
      <c r="D411" s="47" t="s">
        <v>24</v>
      </c>
      <c r="E411" s="35" t="s">
        <v>130</v>
      </c>
      <c r="F411" s="13"/>
      <c r="G411" s="36">
        <v>88.0</v>
      </c>
      <c r="H411" s="36" t="s">
        <v>129</v>
      </c>
      <c r="I411" s="48">
        <v>120000.0</v>
      </c>
      <c r="J411" s="46">
        <f t="shared" si="159"/>
        <v>10560000</v>
      </c>
      <c r="K411" s="46"/>
      <c r="L411" s="46"/>
      <c r="M411" s="46"/>
      <c r="N411" s="46"/>
      <c r="O411" s="24">
        <f t="shared" si="5"/>
        <v>10560000</v>
      </c>
      <c r="P411" s="24">
        <f t="shared" si="6"/>
        <v>10560000</v>
      </c>
      <c r="Q411" s="51"/>
      <c r="R411" s="5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22"/>
      <c r="C412" s="22"/>
      <c r="D412" s="47" t="s">
        <v>24</v>
      </c>
      <c r="E412" s="35" t="s">
        <v>131</v>
      </c>
      <c r="F412" s="13"/>
      <c r="G412" s="36">
        <v>88.0</v>
      </c>
      <c r="H412" s="36" t="s">
        <v>129</v>
      </c>
      <c r="I412" s="48">
        <v>350000.0</v>
      </c>
      <c r="J412" s="46">
        <f t="shared" si="159"/>
        <v>30800000</v>
      </c>
      <c r="K412" s="46"/>
      <c r="L412" s="46"/>
      <c r="M412" s="46"/>
      <c r="N412" s="46"/>
      <c r="O412" s="24">
        <f t="shared" si="5"/>
        <v>30800000</v>
      </c>
      <c r="P412" s="24">
        <f t="shared" si="6"/>
        <v>30800000</v>
      </c>
      <c r="Q412" s="51"/>
      <c r="R412" s="5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22"/>
      <c r="C413" s="22"/>
      <c r="D413" s="47" t="s">
        <v>24</v>
      </c>
      <c r="E413" s="35" t="s">
        <v>132</v>
      </c>
      <c r="F413" s="13"/>
      <c r="G413" s="36">
        <v>44.0</v>
      </c>
      <c r="H413" s="36" t="s">
        <v>129</v>
      </c>
      <c r="I413" s="48">
        <v>175000.0</v>
      </c>
      <c r="J413" s="46">
        <f t="shared" si="159"/>
        <v>7700000</v>
      </c>
      <c r="K413" s="46"/>
      <c r="L413" s="46"/>
      <c r="M413" s="46"/>
      <c r="N413" s="46"/>
      <c r="O413" s="24">
        <f t="shared" si="5"/>
        <v>7700000</v>
      </c>
      <c r="P413" s="24">
        <f t="shared" si="6"/>
        <v>7700000</v>
      </c>
      <c r="Q413" s="51"/>
      <c r="R413" s="5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22"/>
      <c r="C414" s="22"/>
      <c r="D414" s="47" t="s">
        <v>24</v>
      </c>
      <c r="E414" s="35" t="s">
        <v>201</v>
      </c>
      <c r="F414" s="13"/>
      <c r="G414" s="36">
        <v>528.0</v>
      </c>
      <c r="H414" s="36" t="s">
        <v>129</v>
      </c>
      <c r="I414" s="48">
        <v>250000.0</v>
      </c>
      <c r="J414" s="46">
        <f t="shared" si="159"/>
        <v>132000000</v>
      </c>
      <c r="K414" s="46"/>
      <c r="L414" s="46"/>
      <c r="M414" s="46"/>
      <c r="N414" s="46"/>
      <c r="O414" s="24">
        <f t="shared" si="5"/>
        <v>132000000</v>
      </c>
      <c r="P414" s="24">
        <f t="shared" si="6"/>
        <v>132000000</v>
      </c>
      <c r="Q414" s="51"/>
      <c r="R414" s="5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41" t="s">
        <v>134</v>
      </c>
      <c r="C415" s="13"/>
      <c r="D415" s="41" t="s">
        <v>135</v>
      </c>
      <c r="E415" s="12"/>
      <c r="F415" s="13"/>
      <c r="G415" s="42"/>
      <c r="H415" s="22"/>
      <c r="I415" s="22"/>
      <c r="J415" s="43">
        <f t="shared" ref="J415:K415" si="160">J416</f>
        <v>20020000</v>
      </c>
      <c r="K415" s="43">
        <f t="shared" si="160"/>
        <v>0</v>
      </c>
      <c r="L415" s="43"/>
      <c r="M415" s="43">
        <f>M416</f>
        <v>0</v>
      </c>
      <c r="N415" s="43"/>
      <c r="O415" s="24">
        <f t="shared" si="5"/>
        <v>20020000</v>
      </c>
      <c r="P415" s="24">
        <f t="shared" si="6"/>
        <v>20020000</v>
      </c>
      <c r="Q415" s="51"/>
      <c r="R415" s="5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35" t="s">
        <v>68</v>
      </c>
      <c r="C416" s="13"/>
      <c r="D416" s="44" t="s">
        <v>69</v>
      </c>
      <c r="E416" s="12"/>
      <c r="F416" s="13"/>
      <c r="G416" s="45"/>
      <c r="H416" s="22"/>
      <c r="I416" s="22"/>
      <c r="J416" s="46">
        <f t="shared" ref="J416:K416" si="161">SUM(J418:J422)</f>
        <v>20020000</v>
      </c>
      <c r="K416" s="46">
        <f t="shared" si="161"/>
        <v>0</v>
      </c>
      <c r="L416" s="46"/>
      <c r="M416" s="46">
        <f>SUM(M418:M422)</f>
        <v>0</v>
      </c>
      <c r="N416" s="46"/>
      <c r="O416" s="24">
        <f t="shared" si="5"/>
        <v>20020000</v>
      </c>
      <c r="P416" s="24">
        <f t="shared" si="6"/>
        <v>20020000</v>
      </c>
      <c r="Q416" s="51"/>
      <c r="R416" s="5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22"/>
      <c r="C417" s="22"/>
      <c r="D417" s="35" t="s">
        <v>23</v>
      </c>
      <c r="E417" s="12"/>
      <c r="F417" s="13"/>
      <c r="G417" s="36"/>
      <c r="H417" s="22"/>
      <c r="I417" s="22"/>
      <c r="J417" s="22"/>
      <c r="K417" s="22"/>
      <c r="L417" s="22"/>
      <c r="M417" s="22"/>
      <c r="N417" s="22"/>
      <c r="O417" s="24">
        <f t="shared" si="5"/>
        <v>0</v>
      </c>
      <c r="P417" s="24">
        <f t="shared" si="6"/>
        <v>0</v>
      </c>
      <c r="Q417" s="51"/>
      <c r="R417" s="5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22"/>
      <c r="C418" s="22"/>
      <c r="D418" s="47" t="s">
        <v>24</v>
      </c>
      <c r="E418" s="35" t="s">
        <v>183</v>
      </c>
      <c r="F418" s="13"/>
      <c r="G418" s="36">
        <v>150.0</v>
      </c>
      <c r="H418" s="36" t="s">
        <v>95</v>
      </c>
      <c r="I418" s="48">
        <v>75000.0</v>
      </c>
      <c r="J418" s="46">
        <f t="shared" ref="J418:J422" si="162">G418*I418</f>
        <v>11250000</v>
      </c>
      <c r="K418" s="46"/>
      <c r="L418" s="46"/>
      <c r="M418" s="46"/>
      <c r="N418" s="46"/>
      <c r="O418" s="24">
        <f t="shared" si="5"/>
        <v>11250000</v>
      </c>
      <c r="P418" s="24">
        <f t="shared" si="6"/>
        <v>11250000</v>
      </c>
      <c r="Q418" s="51"/>
      <c r="R418" s="5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22"/>
      <c r="C419" s="22"/>
      <c r="D419" s="47" t="s">
        <v>24</v>
      </c>
      <c r="E419" s="35" t="s">
        <v>137</v>
      </c>
      <c r="F419" s="13"/>
      <c r="G419" s="36">
        <v>2.0</v>
      </c>
      <c r="H419" s="36" t="s">
        <v>95</v>
      </c>
      <c r="I419" s="48">
        <v>360000.0</v>
      </c>
      <c r="J419" s="46">
        <f t="shared" si="162"/>
        <v>720000</v>
      </c>
      <c r="K419" s="46"/>
      <c r="L419" s="46"/>
      <c r="M419" s="46"/>
      <c r="N419" s="46"/>
      <c r="O419" s="24">
        <f t="shared" si="5"/>
        <v>720000</v>
      </c>
      <c r="P419" s="24">
        <f t="shared" si="6"/>
        <v>720000</v>
      </c>
      <c r="Q419" s="51"/>
      <c r="R419" s="5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22"/>
      <c r="C420" s="22"/>
      <c r="D420" s="47" t="s">
        <v>24</v>
      </c>
      <c r="E420" s="35" t="s">
        <v>184</v>
      </c>
      <c r="F420" s="13"/>
      <c r="G420" s="36">
        <v>50.0</v>
      </c>
      <c r="H420" s="36" t="s">
        <v>95</v>
      </c>
      <c r="I420" s="48">
        <v>93000.0</v>
      </c>
      <c r="J420" s="46">
        <f t="shared" si="162"/>
        <v>4650000</v>
      </c>
      <c r="K420" s="46"/>
      <c r="L420" s="46"/>
      <c r="M420" s="46"/>
      <c r="N420" s="46"/>
      <c r="O420" s="24">
        <f t="shared" si="5"/>
        <v>4650000</v>
      </c>
      <c r="P420" s="24">
        <f t="shared" si="6"/>
        <v>4650000</v>
      </c>
      <c r="Q420" s="51"/>
      <c r="R420" s="5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22"/>
      <c r="C421" s="22"/>
      <c r="D421" s="47" t="s">
        <v>24</v>
      </c>
      <c r="E421" s="35" t="s">
        <v>185</v>
      </c>
      <c r="F421" s="13"/>
      <c r="G421" s="36">
        <v>50.0</v>
      </c>
      <c r="H421" s="36" t="s">
        <v>95</v>
      </c>
      <c r="I421" s="48">
        <v>53000.0</v>
      </c>
      <c r="J421" s="46">
        <f t="shared" si="162"/>
        <v>2650000</v>
      </c>
      <c r="K421" s="46"/>
      <c r="L421" s="46"/>
      <c r="M421" s="46"/>
      <c r="N421" s="46"/>
      <c r="O421" s="24">
        <f t="shared" si="5"/>
        <v>2650000</v>
      </c>
      <c r="P421" s="24">
        <f t="shared" si="6"/>
        <v>2650000</v>
      </c>
      <c r="Q421" s="51"/>
      <c r="R421" s="5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22"/>
      <c r="C422" s="22"/>
      <c r="D422" s="47" t="s">
        <v>24</v>
      </c>
      <c r="E422" s="35" t="s">
        <v>186</v>
      </c>
      <c r="F422" s="13"/>
      <c r="G422" s="36">
        <v>50.0</v>
      </c>
      <c r="H422" s="36" t="s">
        <v>95</v>
      </c>
      <c r="I422" s="48">
        <v>15000.0</v>
      </c>
      <c r="J422" s="46">
        <f t="shared" si="162"/>
        <v>750000</v>
      </c>
      <c r="K422" s="46"/>
      <c r="L422" s="46"/>
      <c r="M422" s="46"/>
      <c r="N422" s="46"/>
      <c r="O422" s="24">
        <f t="shared" si="5"/>
        <v>750000</v>
      </c>
      <c r="P422" s="24">
        <f t="shared" si="6"/>
        <v>750000</v>
      </c>
      <c r="Q422" s="51"/>
      <c r="R422" s="5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41" t="s">
        <v>141</v>
      </c>
      <c r="C423" s="13"/>
      <c r="D423" s="41" t="s">
        <v>142</v>
      </c>
      <c r="E423" s="12"/>
      <c r="F423" s="13"/>
      <c r="G423" s="42"/>
      <c r="H423" s="22"/>
      <c r="I423" s="22"/>
      <c r="J423" s="43">
        <f t="shared" ref="J423:K423" si="163">J424</f>
        <v>145500000</v>
      </c>
      <c r="K423" s="43">
        <f t="shared" si="163"/>
        <v>0</v>
      </c>
      <c r="L423" s="43"/>
      <c r="M423" s="43">
        <f>M424</f>
        <v>0</v>
      </c>
      <c r="N423" s="43"/>
      <c r="O423" s="24">
        <f t="shared" si="5"/>
        <v>145500000</v>
      </c>
      <c r="P423" s="24">
        <f t="shared" si="6"/>
        <v>145500000</v>
      </c>
      <c r="Q423" s="51"/>
      <c r="R423" s="5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35" t="s">
        <v>68</v>
      </c>
      <c r="C424" s="13"/>
      <c r="D424" s="44" t="s">
        <v>69</v>
      </c>
      <c r="E424" s="12"/>
      <c r="F424" s="13"/>
      <c r="G424" s="45"/>
      <c r="H424" s="22"/>
      <c r="I424" s="22"/>
      <c r="J424" s="46">
        <f t="shared" ref="J424:K424" si="164">SUM(J426:J428)</f>
        <v>145500000</v>
      </c>
      <c r="K424" s="46">
        <f t="shared" si="164"/>
        <v>0</v>
      </c>
      <c r="L424" s="46"/>
      <c r="M424" s="46">
        <f>SUM(M426:M428)</f>
        <v>0</v>
      </c>
      <c r="N424" s="46"/>
      <c r="O424" s="24">
        <f t="shared" si="5"/>
        <v>145500000</v>
      </c>
      <c r="P424" s="24">
        <f t="shared" si="6"/>
        <v>145500000</v>
      </c>
      <c r="Q424" s="51"/>
      <c r="R424" s="5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22"/>
      <c r="C425" s="22"/>
      <c r="D425" s="35" t="s">
        <v>23</v>
      </c>
      <c r="E425" s="12"/>
      <c r="F425" s="13"/>
      <c r="G425" s="36"/>
      <c r="H425" s="22"/>
      <c r="I425" s="22"/>
      <c r="J425" s="22"/>
      <c r="K425" s="22"/>
      <c r="L425" s="22"/>
      <c r="M425" s="22"/>
      <c r="N425" s="22"/>
      <c r="O425" s="24">
        <f t="shared" si="5"/>
        <v>0</v>
      </c>
      <c r="P425" s="24">
        <f t="shared" si="6"/>
        <v>0</v>
      </c>
      <c r="Q425" s="51"/>
      <c r="R425" s="5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22"/>
      <c r="C426" s="22"/>
      <c r="D426" s="47" t="s">
        <v>24</v>
      </c>
      <c r="E426" s="35" t="s">
        <v>187</v>
      </c>
      <c r="F426" s="13"/>
      <c r="G426" s="36">
        <v>50.0</v>
      </c>
      <c r="H426" s="36" t="s">
        <v>95</v>
      </c>
      <c r="I426" s="48">
        <v>2000000.0</v>
      </c>
      <c r="J426" s="46">
        <f t="shared" ref="J426:J428" si="165">G426*I426</f>
        <v>100000000</v>
      </c>
      <c r="K426" s="46"/>
      <c r="L426" s="46"/>
      <c r="M426" s="46"/>
      <c r="N426" s="46"/>
      <c r="O426" s="24">
        <f t="shared" si="5"/>
        <v>100000000</v>
      </c>
      <c r="P426" s="24">
        <f t="shared" si="6"/>
        <v>100000000</v>
      </c>
      <c r="Q426" s="51"/>
      <c r="R426" s="5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22"/>
      <c r="C427" s="22"/>
      <c r="D427" s="47" t="s">
        <v>24</v>
      </c>
      <c r="E427" s="35" t="s">
        <v>188</v>
      </c>
      <c r="F427" s="13"/>
      <c r="G427" s="36">
        <v>50.0</v>
      </c>
      <c r="H427" s="36" t="s">
        <v>95</v>
      </c>
      <c r="I427" s="48">
        <v>750000.0</v>
      </c>
      <c r="J427" s="46">
        <f t="shared" si="165"/>
        <v>37500000</v>
      </c>
      <c r="K427" s="46"/>
      <c r="L427" s="46"/>
      <c r="M427" s="46"/>
      <c r="N427" s="46"/>
      <c r="O427" s="24">
        <f t="shared" si="5"/>
        <v>37500000</v>
      </c>
      <c r="P427" s="24">
        <f t="shared" si="6"/>
        <v>37500000</v>
      </c>
      <c r="Q427" s="51"/>
      <c r="R427" s="5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22"/>
      <c r="C428" s="22"/>
      <c r="D428" s="47" t="s">
        <v>24</v>
      </c>
      <c r="E428" s="35" t="s">
        <v>145</v>
      </c>
      <c r="F428" s="13"/>
      <c r="G428" s="36">
        <v>4.0</v>
      </c>
      <c r="H428" s="36" t="s">
        <v>95</v>
      </c>
      <c r="I428" s="48">
        <v>2000000.0</v>
      </c>
      <c r="J428" s="46">
        <f t="shared" si="165"/>
        <v>8000000</v>
      </c>
      <c r="K428" s="46"/>
      <c r="L428" s="46"/>
      <c r="M428" s="46"/>
      <c r="N428" s="46"/>
      <c r="O428" s="24">
        <f t="shared" si="5"/>
        <v>8000000</v>
      </c>
      <c r="P428" s="24">
        <f t="shared" si="6"/>
        <v>8000000</v>
      </c>
      <c r="Q428" s="51"/>
      <c r="R428" s="5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41" t="s">
        <v>146</v>
      </c>
      <c r="C429" s="13"/>
      <c r="D429" s="41" t="s">
        <v>147</v>
      </c>
      <c r="E429" s="12"/>
      <c r="F429" s="13"/>
      <c r="G429" s="42"/>
      <c r="H429" s="22"/>
      <c r="I429" s="22"/>
      <c r="J429" s="43">
        <f t="shared" ref="J429:K429" si="166">J430+J437</f>
        <v>219800000</v>
      </c>
      <c r="K429" s="43">
        <f t="shared" si="166"/>
        <v>0</v>
      </c>
      <c r="L429" s="43"/>
      <c r="M429" s="43">
        <f>M430+M437</f>
        <v>13260000</v>
      </c>
      <c r="N429" s="43"/>
      <c r="O429" s="24">
        <f t="shared" si="5"/>
        <v>219800000</v>
      </c>
      <c r="P429" s="24">
        <f t="shared" si="6"/>
        <v>206540000</v>
      </c>
      <c r="Q429" s="51"/>
      <c r="R429" s="5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35" t="s">
        <v>74</v>
      </c>
      <c r="C430" s="13"/>
      <c r="D430" s="44" t="s">
        <v>75</v>
      </c>
      <c r="E430" s="12"/>
      <c r="F430" s="13"/>
      <c r="G430" s="45"/>
      <c r="H430" s="22"/>
      <c r="I430" s="22"/>
      <c r="J430" s="46">
        <f t="shared" ref="J430:K430" si="167">SUM(J432:J436)</f>
        <v>195800000</v>
      </c>
      <c r="K430" s="46">
        <f t="shared" si="167"/>
        <v>0</v>
      </c>
      <c r="L430" s="46"/>
      <c r="M430" s="46">
        <f>SUM(M432:M436)</f>
        <v>0</v>
      </c>
      <c r="N430" s="46"/>
      <c r="O430" s="24">
        <f t="shared" si="5"/>
        <v>195800000</v>
      </c>
      <c r="P430" s="24">
        <f t="shared" si="6"/>
        <v>195800000</v>
      </c>
      <c r="Q430" s="51"/>
      <c r="R430" s="5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22"/>
      <c r="C431" s="22"/>
      <c r="D431" s="35" t="s">
        <v>23</v>
      </c>
      <c r="E431" s="12"/>
      <c r="F431" s="13"/>
      <c r="G431" s="36"/>
      <c r="H431" s="22"/>
      <c r="I431" s="22"/>
      <c r="J431" s="22"/>
      <c r="K431" s="22"/>
      <c r="L431" s="22"/>
      <c r="M431" s="22"/>
      <c r="N431" s="22"/>
      <c r="O431" s="24">
        <f t="shared" si="5"/>
        <v>0</v>
      </c>
      <c r="P431" s="24">
        <f t="shared" si="6"/>
        <v>0</v>
      </c>
      <c r="Q431" s="51"/>
      <c r="R431" s="5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22"/>
      <c r="C432" s="22"/>
      <c r="D432" s="47" t="s">
        <v>24</v>
      </c>
      <c r="E432" s="35" t="s">
        <v>148</v>
      </c>
      <c r="F432" s="13"/>
      <c r="G432" s="36">
        <v>75.0</v>
      </c>
      <c r="H432" s="36" t="s">
        <v>26</v>
      </c>
      <c r="I432" s="48">
        <v>430000.0</v>
      </c>
      <c r="J432" s="46">
        <f t="shared" ref="J432:J436" si="168">G432*I432</f>
        <v>32250000</v>
      </c>
      <c r="K432" s="46"/>
      <c r="L432" s="46"/>
      <c r="M432" s="46"/>
      <c r="N432" s="46"/>
      <c r="O432" s="24">
        <f t="shared" si="5"/>
        <v>32250000</v>
      </c>
      <c r="P432" s="24">
        <f t="shared" si="6"/>
        <v>32250000</v>
      </c>
      <c r="Q432" s="51"/>
      <c r="R432" s="5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22"/>
      <c r="C433" s="22"/>
      <c r="D433" s="47" t="s">
        <v>24</v>
      </c>
      <c r="E433" s="35" t="s">
        <v>149</v>
      </c>
      <c r="F433" s="13"/>
      <c r="G433" s="36">
        <v>50.0</v>
      </c>
      <c r="H433" s="36" t="s">
        <v>26</v>
      </c>
      <c r="I433" s="48">
        <v>783500.0</v>
      </c>
      <c r="J433" s="46">
        <f t="shared" si="168"/>
        <v>39175000</v>
      </c>
      <c r="K433" s="46"/>
      <c r="L433" s="46"/>
      <c r="M433" s="46"/>
      <c r="N433" s="46"/>
      <c r="O433" s="24">
        <f t="shared" si="5"/>
        <v>39175000</v>
      </c>
      <c r="P433" s="24">
        <f t="shared" si="6"/>
        <v>39175000</v>
      </c>
      <c r="Q433" s="51"/>
      <c r="R433" s="5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22"/>
      <c r="C434" s="22"/>
      <c r="D434" s="47" t="s">
        <v>24</v>
      </c>
      <c r="E434" s="35" t="s">
        <v>150</v>
      </c>
      <c r="F434" s="13"/>
      <c r="G434" s="36">
        <v>25.0</v>
      </c>
      <c r="H434" s="36" t="s">
        <v>26</v>
      </c>
      <c r="I434" s="48">
        <v>875000.0</v>
      </c>
      <c r="J434" s="46">
        <f t="shared" si="168"/>
        <v>21875000</v>
      </c>
      <c r="K434" s="46"/>
      <c r="L434" s="46"/>
      <c r="M434" s="46"/>
      <c r="N434" s="46"/>
      <c r="O434" s="24">
        <f t="shared" si="5"/>
        <v>21875000</v>
      </c>
      <c r="P434" s="24">
        <f t="shared" si="6"/>
        <v>21875000</v>
      </c>
      <c r="Q434" s="51"/>
      <c r="R434" s="5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22"/>
      <c r="C435" s="22"/>
      <c r="D435" s="47" t="s">
        <v>24</v>
      </c>
      <c r="E435" s="35" t="s">
        <v>189</v>
      </c>
      <c r="F435" s="13"/>
      <c r="G435" s="36">
        <v>100.0</v>
      </c>
      <c r="H435" s="36" t="s">
        <v>26</v>
      </c>
      <c r="I435" s="48">
        <v>500000.0</v>
      </c>
      <c r="J435" s="46">
        <f t="shared" si="168"/>
        <v>50000000</v>
      </c>
      <c r="K435" s="46"/>
      <c r="L435" s="46"/>
      <c r="M435" s="46"/>
      <c r="N435" s="46"/>
      <c r="O435" s="24">
        <f t="shared" si="5"/>
        <v>50000000</v>
      </c>
      <c r="P435" s="24">
        <f t="shared" si="6"/>
        <v>50000000</v>
      </c>
      <c r="Q435" s="51"/>
      <c r="R435" s="5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22"/>
      <c r="C436" s="22"/>
      <c r="D436" s="47" t="s">
        <v>24</v>
      </c>
      <c r="E436" s="35" t="s">
        <v>190</v>
      </c>
      <c r="F436" s="13"/>
      <c r="G436" s="36">
        <v>150.0</v>
      </c>
      <c r="H436" s="36" t="s">
        <v>26</v>
      </c>
      <c r="I436" s="48">
        <v>350000.0</v>
      </c>
      <c r="J436" s="46">
        <f t="shared" si="168"/>
        <v>52500000</v>
      </c>
      <c r="K436" s="46"/>
      <c r="L436" s="46"/>
      <c r="M436" s="46"/>
      <c r="N436" s="46"/>
      <c r="O436" s="24">
        <f t="shared" si="5"/>
        <v>52500000</v>
      </c>
      <c r="P436" s="24">
        <f t="shared" si="6"/>
        <v>52500000</v>
      </c>
      <c r="Q436" s="51"/>
      <c r="R436" s="5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35" t="s">
        <v>79</v>
      </c>
      <c r="C437" s="13"/>
      <c r="D437" s="44" t="s">
        <v>80</v>
      </c>
      <c r="E437" s="12"/>
      <c r="F437" s="13"/>
      <c r="G437" s="45"/>
      <c r="H437" s="22"/>
      <c r="I437" s="22"/>
      <c r="J437" s="46">
        <f t="shared" ref="J437:K437" si="169">J439</f>
        <v>24000000</v>
      </c>
      <c r="K437" s="46" t="str">
        <f t="shared" si="169"/>
        <v/>
      </c>
      <c r="L437" s="46"/>
      <c r="M437" s="46">
        <f>M439</f>
        <v>13260000</v>
      </c>
      <c r="N437" s="46"/>
      <c r="O437" s="24">
        <f t="shared" si="5"/>
        <v>24000000</v>
      </c>
      <c r="P437" s="24">
        <f t="shared" si="6"/>
        <v>10740000</v>
      </c>
      <c r="Q437" s="51"/>
      <c r="R437" s="5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22"/>
      <c r="C438" s="22"/>
      <c r="D438" s="35" t="s">
        <v>23</v>
      </c>
      <c r="E438" s="12"/>
      <c r="F438" s="13"/>
      <c r="G438" s="36"/>
      <c r="H438" s="22"/>
      <c r="I438" s="22"/>
      <c r="J438" s="22"/>
      <c r="K438" s="22"/>
      <c r="L438" s="22"/>
      <c r="M438" s="22"/>
      <c r="N438" s="22"/>
      <c r="O438" s="24">
        <f t="shared" si="5"/>
        <v>0</v>
      </c>
      <c r="P438" s="24">
        <f t="shared" si="6"/>
        <v>0</v>
      </c>
      <c r="Q438" s="51"/>
      <c r="R438" s="5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22"/>
      <c r="C439" s="22"/>
      <c r="D439" s="47" t="s">
        <v>24</v>
      </c>
      <c r="E439" s="35" t="s">
        <v>153</v>
      </c>
      <c r="F439" s="13"/>
      <c r="G439" s="36">
        <v>160.0</v>
      </c>
      <c r="H439" s="36" t="s">
        <v>26</v>
      </c>
      <c r="I439" s="48">
        <v>150000.0</v>
      </c>
      <c r="J439" s="46">
        <f>G439*I439</f>
        <v>24000000</v>
      </c>
      <c r="K439" s="46"/>
      <c r="L439" s="46"/>
      <c r="M439" s="46">
        <f>7050000+6210000</f>
        <v>13260000</v>
      </c>
      <c r="N439" s="46"/>
      <c r="O439" s="24">
        <f t="shared" si="5"/>
        <v>24000000</v>
      </c>
      <c r="P439" s="24">
        <f t="shared" si="6"/>
        <v>10740000</v>
      </c>
      <c r="Q439" s="52"/>
      <c r="R439" s="52" t="s">
        <v>195</v>
      </c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37" t="s">
        <v>202</v>
      </c>
      <c r="C440" s="13"/>
      <c r="D440" s="37" t="s">
        <v>203</v>
      </c>
      <c r="E440" s="12"/>
      <c r="F440" s="13"/>
      <c r="G440" s="38"/>
      <c r="H440" s="38"/>
      <c r="I440" s="39"/>
      <c r="J440" s="40">
        <f t="shared" ref="J440:K440" si="170">J441+J455+J467+J480+J497+J506+J516+J521+J537+J551+J559+J567+J573</f>
        <v>2060121000</v>
      </c>
      <c r="K440" s="40">
        <f t="shared" si="170"/>
        <v>39475500</v>
      </c>
      <c r="L440" s="40"/>
      <c r="M440" s="40">
        <f>M441+M455+M467+M480+M497+M506+M516+M521+M537+M551+M559+M567+M573</f>
        <v>75503736</v>
      </c>
      <c r="N440" s="40"/>
      <c r="O440" s="24">
        <f t="shared" si="5"/>
        <v>2020645500</v>
      </c>
      <c r="P440" s="24">
        <f t="shared" si="6"/>
        <v>1984617264</v>
      </c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41" t="s">
        <v>20</v>
      </c>
      <c r="C441" s="13"/>
      <c r="D441" s="41" t="s">
        <v>21</v>
      </c>
      <c r="E441" s="12"/>
      <c r="F441" s="13"/>
      <c r="G441" s="42"/>
      <c r="H441" s="22"/>
      <c r="I441" s="22"/>
      <c r="J441" s="43">
        <f t="shared" ref="J441:K441" si="171">J442+J451</f>
        <v>90140000</v>
      </c>
      <c r="K441" s="43">
        <f t="shared" si="171"/>
        <v>0</v>
      </c>
      <c r="L441" s="43"/>
      <c r="M441" s="43">
        <f>M442+M451</f>
        <v>16360448</v>
      </c>
      <c r="N441" s="43"/>
      <c r="O441" s="24">
        <f t="shared" si="5"/>
        <v>90140000</v>
      </c>
      <c r="P441" s="24">
        <f t="shared" si="6"/>
        <v>73779552</v>
      </c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35" t="s">
        <v>40</v>
      </c>
      <c r="C442" s="13"/>
      <c r="D442" s="44" t="s">
        <v>22</v>
      </c>
      <c r="E442" s="12"/>
      <c r="F442" s="13"/>
      <c r="G442" s="45"/>
      <c r="H442" s="22"/>
      <c r="I442" s="22"/>
      <c r="J442" s="46">
        <f t="shared" ref="J442:K442" si="172">SUM(J444:J450)</f>
        <v>82140000</v>
      </c>
      <c r="K442" s="46">
        <f t="shared" si="172"/>
        <v>0</v>
      </c>
      <c r="L442" s="46"/>
      <c r="M442" s="46">
        <f>SUM(M444:M450)</f>
        <v>16360448</v>
      </c>
      <c r="N442" s="46"/>
      <c r="O442" s="24">
        <f t="shared" si="5"/>
        <v>82140000</v>
      </c>
      <c r="P442" s="24">
        <f t="shared" si="6"/>
        <v>65779552</v>
      </c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22"/>
      <c r="C443" s="22"/>
      <c r="D443" s="35" t="s">
        <v>23</v>
      </c>
      <c r="E443" s="12"/>
      <c r="F443" s="13"/>
      <c r="G443" s="36"/>
      <c r="H443" s="22"/>
      <c r="I443" s="22"/>
      <c r="J443" s="22"/>
      <c r="K443" s="22"/>
      <c r="L443" s="22"/>
      <c r="M443" s="22"/>
      <c r="N443" s="22"/>
      <c r="O443" s="24">
        <f t="shared" si="5"/>
        <v>0</v>
      </c>
      <c r="P443" s="24">
        <f t="shared" si="6"/>
        <v>0</v>
      </c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22"/>
      <c r="C444" s="22"/>
      <c r="D444" s="47" t="s">
        <v>24</v>
      </c>
      <c r="E444" s="35" t="s">
        <v>25</v>
      </c>
      <c r="F444" s="13"/>
      <c r="G444" s="36">
        <v>12.0</v>
      </c>
      <c r="H444" s="36" t="s">
        <v>26</v>
      </c>
      <c r="I444" s="48">
        <v>500000.0</v>
      </c>
      <c r="J444" s="46">
        <f t="shared" ref="J444:J450" si="173">G444*I444</f>
        <v>6000000</v>
      </c>
      <c r="K444" s="46"/>
      <c r="L444" s="46"/>
      <c r="M444" s="46">
        <v>2933000.0</v>
      </c>
      <c r="N444" s="46"/>
      <c r="O444" s="24">
        <f t="shared" si="5"/>
        <v>6000000</v>
      </c>
      <c r="P444" s="24">
        <f t="shared" si="6"/>
        <v>3067000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22"/>
      <c r="C445" s="22"/>
      <c r="D445" s="47" t="s">
        <v>24</v>
      </c>
      <c r="E445" s="35" t="s">
        <v>27</v>
      </c>
      <c r="F445" s="13"/>
      <c r="G445" s="36">
        <v>2.0</v>
      </c>
      <c r="H445" s="36" t="s">
        <v>26</v>
      </c>
      <c r="I445" s="48">
        <v>2000000.0</v>
      </c>
      <c r="J445" s="46">
        <f t="shared" si="173"/>
        <v>4000000</v>
      </c>
      <c r="K445" s="46"/>
      <c r="L445" s="46"/>
      <c r="M445" s="46"/>
      <c r="N445" s="46"/>
      <c r="O445" s="24">
        <f t="shared" si="5"/>
        <v>4000000</v>
      </c>
      <c r="P445" s="24">
        <f t="shared" si="6"/>
        <v>4000000</v>
      </c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22"/>
      <c r="C446" s="22"/>
      <c r="D446" s="47" t="s">
        <v>24</v>
      </c>
      <c r="E446" s="35" t="s">
        <v>28</v>
      </c>
      <c r="F446" s="13"/>
      <c r="G446" s="36">
        <v>10.0</v>
      </c>
      <c r="H446" s="36" t="s">
        <v>26</v>
      </c>
      <c r="I446" s="48">
        <v>500000.0</v>
      </c>
      <c r="J446" s="46">
        <f t="shared" si="173"/>
        <v>5000000</v>
      </c>
      <c r="K446" s="46"/>
      <c r="L446" s="46"/>
      <c r="M446" s="46"/>
      <c r="N446" s="46"/>
      <c r="O446" s="24">
        <f t="shared" si="5"/>
        <v>5000000</v>
      </c>
      <c r="P446" s="24">
        <f t="shared" si="6"/>
        <v>5000000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22"/>
      <c r="C447" s="22"/>
      <c r="D447" s="47" t="s">
        <v>24</v>
      </c>
      <c r="E447" s="35" t="s">
        <v>30</v>
      </c>
      <c r="F447" s="13"/>
      <c r="G447" s="36">
        <v>100.0</v>
      </c>
      <c r="H447" s="36" t="s">
        <v>26</v>
      </c>
      <c r="I447" s="48">
        <v>25000.0</v>
      </c>
      <c r="J447" s="46">
        <f t="shared" si="173"/>
        <v>2500000</v>
      </c>
      <c r="K447" s="46"/>
      <c r="L447" s="46"/>
      <c r="M447" s="46">
        <v>42000.0</v>
      </c>
      <c r="N447" s="46"/>
      <c r="O447" s="24">
        <f t="shared" si="5"/>
        <v>2500000</v>
      </c>
      <c r="P447" s="24">
        <f t="shared" si="6"/>
        <v>2458000</v>
      </c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22"/>
      <c r="C448" s="22"/>
      <c r="D448" s="47" t="s">
        <v>24</v>
      </c>
      <c r="E448" s="35" t="s">
        <v>31</v>
      </c>
      <c r="F448" s="13"/>
      <c r="G448" s="36">
        <v>320.0</v>
      </c>
      <c r="H448" s="36" t="s">
        <v>26</v>
      </c>
      <c r="I448" s="48">
        <v>53000.0</v>
      </c>
      <c r="J448" s="46">
        <f t="shared" si="173"/>
        <v>16960000</v>
      </c>
      <c r="K448" s="46"/>
      <c r="L448" s="46"/>
      <c r="M448" s="46">
        <v>8278000.0</v>
      </c>
      <c r="N448" s="46"/>
      <c r="O448" s="24">
        <f t="shared" si="5"/>
        <v>16960000</v>
      </c>
      <c r="P448" s="24">
        <f t="shared" si="6"/>
        <v>8682000</v>
      </c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22"/>
      <c r="C449" s="22"/>
      <c r="D449" s="47" t="s">
        <v>24</v>
      </c>
      <c r="E449" s="35" t="s">
        <v>32</v>
      </c>
      <c r="F449" s="13"/>
      <c r="G449" s="36">
        <v>320.0</v>
      </c>
      <c r="H449" s="36" t="s">
        <v>26</v>
      </c>
      <c r="I449" s="48">
        <v>24000.0</v>
      </c>
      <c r="J449" s="46">
        <f t="shared" si="173"/>
        <v>7680000</v>
      </c>
      <c r="K449" s="46"/>
      <c r="L449" s="46"/>
      <c r="M449" s="46"/>
      <c r="N449" s="46"/>
      <c r="O449" s="24">
        <f t="shared" si="5"/>
        <v>7680000</v>
      </c>
      <c r="P449" s="24">
        <f t="shared" si="6"/>
        <v>7680000</v>
      </c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22"/>
      <c r="C450" s="22"/>
      <c r="D450" s="47" t="s">
        <v>24</v>
      </c>
      <c r="E450" s="35" t="s">
        <v>204</v>
      </c>
      <c r="F450" s="13"/>
      <c r="G450" s="36">
        <v>50.0</v>
      </c>
      <c r="H450" s="36" t="s">
        <v>26</v>
      </c>
      <c r="I450" s="48">
        <v>800000.0</v>
      </c>
      <c r="J450" s="46">
        <f t="shared" si="173"/>
        <v>40000000</v>
      </c>
      <c r="K450" s="46"/>
      <c r="L450" s="46"/>
      <c r="M450" s="46">
        <v>5107448.0</v>
      </c>
      <c r="N450" s="46"/>
      <c r="O450" s="24">
        <f t="shared" si="5"/>
        <v>40000000</v>
      </c>
      <c r="P450" s="24">
        <f t="shared" si="6"/>
        <v>34892552</v>
      </c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35" t="s">
        <v>58</v>
      </c>
      <c r="C451" s="13"/>
      <c r="D451" s="44" t="s">
        <v>34</v>
      </c>
      <c r="E451" s="12"/>
      <c r="F451" s="13"/>
      <c r="G451" s="45"/>
      <c r="H451" s="22"/>
      <c r="I451" s="22"/>
      <c r="J451" s="46">
        <f t="shared" ref="J451:K451" si="174">SUM(J453:J454)</f>
        <v>8000000</v>
      </c>
      <c r="K451" s="46">
        <f t="shared" si="174"/>
        <v>0</v>
      </c>
      <c r="L451" s="46"/>
      <c r="M451" s="46">
        <f>SUM(M453:M454)</f>
        <v>0</v>
      </c>
      <c r="N451" s="46"/>
      <c r="O451" s="24">
        <f t="shared" si="5"/>
        <v>8000000</v>
      </c>
      <c r="P451" s="24">
        <f t="shared" si="6"/>
        <v>8000000</v>
      </c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22"/>
      <c r="C452" s="22"/>
      <c r="D452" s="35" t="s">
        <v>23</v>
      </c>
      <c r="E452" s="12"/>
      <c r="F452" s="13"/>
      <c r="G452" s="36"/>
      <c r="H452" s="22"/>
      <c r="I452" s="22"/>
      <c r="J452" s="22"/>
      <c r="K452" s="22"/>
      <c r="L452" s="22"/>
      <c r="M452" s="22"/>
      <c r="N452" s="22"/>
      <c r="O452" s="24">
        <f t="shared" si="5"/>
        <v>0</v>
      </c>
      <c r="P452" s="24">
        <f t="shared" si="6"/>
        <v>0</v>
      </c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22"/>
      <c r="C453" s="22"/>
      <c r="D453" s="47" t="s">
        <v>24</v>
      </c>
      <c r="E453" s="35" t="s">
        <v>35</v>
      </c>
      <c r="F453" s="13"/>
      <c r="G453" s="36">
        <v>8.0</v>
      </c>
      <c r="H453" s="36" t="s">
        <v>26</v>
      </c>
      <c r="I453" s="48">
        <v>500000.0</v>
      </c>
      <c r="J453" s="46">
        <f t="shared" ref="J453:J454" si="175">G453*I453</f>
        <v>4000000</v>
      </c>
      <c r="K453" s="46"/>
      <c r="L453" s="46"/>
      <c r="M453" s="46"/>
      <c r="N453" s="46"/>
      <c r="O453" s="24">
        <f t="shared" si="5"/>
        <v>4000000</v>
      </c>
      <c r="P453" s="24">
        <f t="shared" si="6"/>
        <v>4000000</v>
      </c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22"/>
      <c r="C454" s="22"/>
      <c r="D454" s="47" t="s">
        <v>24</v>
      </c>
      <c r="E454" s="35" t="s">
        <v>36</v>
      </c>
      <c r="F454" s="13"/>
      <c r="G454" s="36">
        <v>8.0</v>
      </c>
      <c r="H454" s="36" t="s">
        <v>26</v>
      </c>
      <c r="I454" s="48">
        <v>500000.0</v>
      </c>
      <c r="J454" s="46">
        <f t="shared" si="175"/>
        <v>4000000</v>
      </c>
      <c r="K454" s="46"/>
      <c r="L454" s="46"/>
      <c r="M454" s="46"/>
      <c r="N454" s="46"/>
      <c r="O454" s="24">
        <f t="shared" si="5"/>
        <v>4000000</v>
      </c>
      <c r="P454" s="24">
        <f t="shared" si="6"/>
        <v>4000000</v>
      </c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41" t="s">
        <v>37</v>
      </c>
      <c r="C455" s="13"/>
      <c r="D455" s="41" t="s">
        <v>38</v>
      </c>
      <c r="E455" s="12"/>
      <c r="F455" s="13"/>
      <c r="G455" s="42"/>
      <c r="H455" s="22"/>
      <c r="I455" s="22"/>
      <c r="J455" s="43">
        <f t="shared" ref="J455:K455" si="176">J456+J461+J464</f>
        <v>13750000</v>
      </c>
      <c r="K455" s="43">
        <f t="shared" si="176"/>
        <v>0</v>
      </c>
      <c r="L455" s="43"/>
      <c r="M455" s="43">
        <f>M456+M461+M464</f>
        <v>0</v>
      </c>
      <c r="N455" s="43"/>
      <c r="O455" s="24">
        <f t="shared" si="5"/>
        <v>13750000</v>
      </c>
      <c r="P455" s="24">
        <f t="shared" si="6"/>
        <v>13750000</v>
      </c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35" t="s">
        <v>40</v>
      </c>
      <c r="C456" s="13"/>
      <c r="D456" s="44" t="s">
        <v>22</v>
      </c>
      <c r="E456" s="12"/>
      <c r="F456" s="13"/>
      <c r="G456" s="45"/>
      <c r="H456" s="22"/>
      <c r="I456" s="22"/>
      <c r="J456" s="46">
        <f t="shared" ref="J456:K456" si="177">SUM(J458:J460)</f>
        <v>3750000</v>
      </c>
      <c r="K456" s="46">
        <f t="shared" si="177"/>
        <v>0</v>
      </c>
      <c r="L456" s="46"/>
      <c r="M456" s="46">
        <f>SUM(M458:M460)</f>
        <v>0</v>
      </c>
      <c r="N456" s="46"/>
      <c r="O456" s="24">
        <f t="shared" si="5"/>
        <v>3750000</v>
      </c>
      <c r="P456" s="24">
        <f t="shared" si="6"/>
        <v>3750000</v>
      </c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22"/>
      <c r="C457" s="22"/>
      <c r="D457" s="35" t="s">
        <v>23</v>
      </c>
      <c r="E457" s="12"/>
      <c r="F457" s="13"/>
      <c r="G457" s="36"/>
      <c r="H457" s="22"/>
      <c r="I457" s="22"/>
      <c r="J457" s="22"/>
      <c r="K457" s="22"/>
      <c r="L457" s="22"/>
      <c r="M457" s="22"/>
      <c r="N457" s="22"/>
      <c r="O457" s="24">
        <f t="shared" si="5"/>
        <v>0</v>
      </c>
      <c r="P457" s="24">
        <f t="shared" si="6"/>
        <v>0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22"/>
      <c r="C458" s="22"/>
      <c r="D458" s="47" t="s">
        <v>24</v>
      </c>
      <c r="E458" s="35" t="s">
        <v>41</v>
      </c>
      <c r="F458" s="13"/>
      <c r="G458" s="36">
        <v>50.0</v>
      </c>
      <c r="H458" s="36" t="s">
        <v>26</v>
      </c>
      <c r="I458" s="48">
        <v>53000.0</v>
      </c>
      <c r="J458" s="46">
        <f t="shared" ref="J458:J460" si="178">G458*I458</f>
        <v>2650000</v>
      </c>
      <c r="K458" s="46"/>
      <c r="L458" s="46"/>
      <c r="M458" s="46"/>
      <c r="N458" s="46"/>
      <c r="O458" s="24">
        <f t="shared" si="5"/>
        <v>2650000</v>
      </c>
      <c r="P458" s="24">
        <f t="shared" si="6"/>
        <v>2650000</v>
      </c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22"/>
      <c r="C459" s="22"/>
      <c r="D459" s="47" t="s">
        <v>24</v>
      </c>
      <c r="E459" s="35" t="s">
        <v>42</v>
      </c>
      <c r="F459" s="13"/>
      <c r="G459" s="36">
        <v>2.0</v>
      </c>
      <c r="H459" s="36" t="s">
        <v>26</v>
      </c>
      <c r="I459" s="48">
        <v>250000.0</v>
      </c>
      <c r="J459" s="46">
        <f t="shared" si="178"/>
        <v>500000</v>
      </c>
      <c r="K459" s="46"/>
      <c r="L459" s="46"/>
      <c r="M459" s="46"/>
      <c r="N459" s="46"/>
      <c r="O459" s="24">
        <f t="shared" si="5"/>
        <v>500000</v>
      </c>
      <c r="P459" s="24">
        <f t="shared" si="6"/>
        <v>500000</v>
      </c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22"/>
      <c r="C460" s="22"/>
      <c r="D460" s="47" t="s">
        <v>24</v>
      </c>
      <c r="E460" s="35" t="s">
        <v>43</v>
      </c>
      <c r="F460" s="13"/>
      <c r="G460" s="36">
        <v>2.0</v>
      </c>
      <c r="H460" s="36" t="s">
        <v>26</v>
      </c>
      <c r="I460" s="48">
        <v>300000.0</v>
      </c>
      <c r="J460" s="46">
        <f t="shared" si="178"/>
        <v>600000</v>
      </c>
      <c r="K460" s="46"/>
      <c r="L460" s="46"/>
      <c r="M460" s="46"/>
      <c r="N460" s="46"/>
      <c r="O460" s="24">
        <f t="shared" si="5"/>
        <v>600000</v>
      </c>
      <c r="P460" s="24">
        <f t="shared" si="6"/>
        <v>600000</v>
      </c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35" t="s">
        <v>44</v>
      </c>
      <c r="C461" s="13"/>
      <c r="D461" s="44" t="s">
        <v>45</v>
      </c>
      <c r="E461" s="12"/>
      <c r="F461" s="13"/>
      <c r="G461" s="45"/>
      <c r="H461" s="22"/>
      <c r="I461" s="22"/>
      <c r="J461" s="46">
        <f t="shared" ref="J461:K461" si="179">J463</f>
        <v>2000000</v>
      </c>
      <c r="K461" s="46" t="str">
        <f t="shared" si="179"/>
        <v/>
      </c>
      <c r="L461" s="46"/>
      <c r="M461" s="46" t="str">
        <f>M463</f>
        <v/>
      </c>
      <c r="N461" s="46"/>
      <c r="O461" s="24">
        <f t="shared" si="5"/>
        <v>2000000</v>
      </c>
      <c r="P461" s="24">
        <f t="shared" si="6"/>
        <v>2000000</v>
      </c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22"/>
      <c r="C462" s="22"/>
      <c r="D462" s="35" t="s">
        <v>23</v>
      </c>
      <c r="E462" s="12"/>
      <c r="F462" s="13"/>
      <c r="G462" s="36"/>
      <c r="H462" s="22"/>
      <c r="I462" s="22"/>
      <c r="J462" s="22"/>
      <c r="K462" s="22"/>
      <c r="L462" s="22"/>
      <c r="M462" s="22"/>
      <c r="N462" s="22"/>
      <c r="O462" s="24">
        <f t="shared" si="5"/>
        <v>0</v>
      </c>
      <c r="P462" s="24">
        <f t="shared" si="6"/>
        <v>0</v>
      </c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22"/>
      <c r="C463" s="22"/>
      <c r="D463" s="47" t="s">
        <v>24</v>
      </c>
      <c r="E463" s="35" t="s">
        <v>205</v>
      </c>
      <c r="F463" s="13"/>
      <c r="G463" s="36">
        <v>4.0</v>
      </c>
      <c r="H463" s="36" t="s">
        <v>26</v>
      </c>
      <c r="I463" s="48">
        <v>500000.0</v>
      </c>
      <c r="J463" s="46">
        <f>G463*I463</f>
        <v>2000000</v>
      </c>
      <c r="K463" s="46"/>
      <c r="L463" s="46"/>
      <c r="M463" s="46"/>
      <c r="N463" s="46"/>
      <c r="O463" s="24">
        <f t="shared" si="5"/>
        <v>2000000</v>
      </c>
      <c r="P463" s="24">
        <f t="shared" si="6"/>
        <v>2000000</v>
      </c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35" t="s">
        <v>47</v>
      </c>
      <c r="C464" s="13"/>
      <c r="D464" s="44" t="s">
        <v>48</v>
      </c>
      <c r="E464" s="12"/>
      <c r="F464" s="13"/>
      <c r="G464" s="45"/>
      <c r="H464" s="22"/>
      <c r="I464" s="22"/>
      <c r="J464" s="46">
        <f t="shared" ref="J464:K464" si="180">J466</f>
        <v>8000000</v>
      </c>
      <c r="K464" s="46" t="str">
        <f t="shared" si="180"/>
        <v/>
      </c>
      <c r="L464" s="46"/>
      <c r="M464" s="46" t="str">
        <f>M466</f>
        <v/>
      </c>
      <c r="N464" s="46"/>
      <c r="O464" s="24">
        <f t="shared" si="5"/>
        <v>8000000</v>
      </c>
      <c r="P464" s="24">
        <f t="shared" si="6"/>
        <v>8000000</v>
      </c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22"/>
      <c r="C465" s="22"/>
      <c r="D465" s="35" t="s">
        <v>23</v>
      </c>
      <c r="E465" s="12"/>
      <c r="F465" s="13"/>
      <c r="G465" s="36"/>
      <c r="H465" s="22"/>
      <c r="I465" s="22"/>
      <c r="J465" s="22"/>
      <c r="K465" s="22"/>
      <c r="L465" s="22"/>
      <c r="M465" s="22"/>
      <c r="N465" s="22"/>
      <c r="O465" s="24">
        <f t="shared" si="5"/>
        <v>0</v>
      </c>
      <c r="P465" s="24">
        <f t="shared" si="6"/>
        <v>0</v>
      </c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22"/>
      <c r="C466" s="22"/>
      <c r="D466" s="47" t="s">
        <v>24</v>
      </c>
      <c r="E466" s="35" t="s">
        <v>49</v>
      </c>
      <c r="F466" s="13"/>
      <c r="G466" s="36">
        <v>2.0</v>
      </c>
      <c r="H466" s="36" t="s">
        <v>26</v>
      </c>
      <c r="I466" s="48">
        <v>4000000.0</v>
      </c>
      <c r="J466" s="46">
        <f>G466*I466</f>
        <v>8000000</v>
      </c>
      <c r="K466" s="46"/>
      <c r="L466" s="46"/>
      <c r="M466" s="46"/>
      <c r="N466" s="46"/>
      <c r="O466" s="24">
        <f t="shared" si="5"/>
        <v>8000000</v>
      </c>
      <c r="P466" s="24">
        <f t="shared" si="6"/>
        <v>8000000</v>
      </c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41" t="s">
        <v>50</v>
      </c>
      <c r="C467" s="13"/>
      <c r="D467" s="41" t="s">
        <v>51</v>
      </c>
      <c r="E467" s="12"/>
      <c r="F467" s="13"/>
      <c r="G467" s="42"/>
      <c r="H467" s="22"/>
      <c r="I467" s="22"/>
      <c r="J467" s="43">
        <f t="shared" ref="J467:K467" si="181">J468+J474+J477</f>
        <v>30400000</v>
      </c>
      <c r="K467" s="43">
        <f t="shared" si="181"/>
        <v>0</v>
      </c>
      <c r="L467" s="43"/>
      <c r="M467" s="43">
        <f>M468+M474+M477</f>
        <v>0</v>
      </c>
      <c r="N467" s="43"/>
      <c r="O467" s="24">
        <f t="shared" si="5"/>
        <v>30400000</v>
      </c>
      <c r="P467" s="24">
        <f t="shared" si="6"/>
        <v>30400000</v>
      </c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35" t="s">
        <v>40</v>
      </c>
      <c r="C468" s="13"/>
      <c r="D468" s="44" t="s">
        <v>22</v>
      </c>
      <c r="E468" s="12"/>
      <c r="F468" s="13"/>
      <c r="G468" s="45"/>
      <c r="H468" s="22"/>
      <c r="I468" s="22"/>
      <c r="J468" s="46">
        <f t="shared" ref="J468:K468" si="182">SUM(J470:J473)</f>
        <v>20400000</v>
      </c>
      <c r="K468" s="46">
        <f t="shared" si="182"/>
        <v>0</v>
      </c>
      <c r="L468" s="46"/>
      <c r="M468" s="46">
        <f>SUM(M470:M473)</f>
        <v>0</v>
      </c>
      <c r="N468" s="46"/>
      <c r="O468" s="24">
        <f t="shared" si="5"/>
        <v>20400000</v>
      </c>
      <c r="P468" s="24">
        <f t="shared" si="6"/>
        <v>20400000</v>
      </c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22"/>
      <c r="C469" s="22"/>
      <c r="D469" s="35" t="s">
        <v>23</v>
      </c>
      <c r="E469" s="12"/>
      <c r="F469" s="13"/>
      <c r="G469" s="36"/>
      <c r="H469" s="22"/>
      <c r="I469" s="22"/>
      <c r="J469" s="22"/>
      <c r="K469" s="22"/>
      <c r="L469" s="22"/>
      <c r="M469" s="22"/>
      <c r="N469" s="22"/>
      <c r="O469" s="24">
        <f t="shared" si="5"/>
        <v>0</v>
      </c>
      <c r="P469" s="24">
        <f t="shared" si="6"/>
        <v>0</v>
      </c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22"/>
      <c r="C470" s="22"/>
      <c r="D470" s="47" t="s">
        <v>24</v>
      </c>
      <c r="E470" s="35" t="s">
        <v>52</v>
      </c>
      <c r="F470" s="13"/>
      <c r="G470" s="36">
        <v>50.0</v>
      </c>
      <c r="H470" s="36" t="s">
        <v>26</v>
      </c>
      <c r="I470" s="48">
        <v>53000.0</v>
      </c>
      <c r="J470" s="46">
        <f t="shared" ref="J470:J473" si="183">G470*I470</f>
        <v>2650000</v>
      </c>
      <c r="K470" s="46"/>
      <c r="L470" s="46"/>
      <c r="M470" s="46"/>
      <c r="N470" s="46"/>
      <c r="O470" s="24">
        <f t="shared" si="5"/>
        <v>2650000</v>
      </c>
      <c r="P470" s="24">
        <f t="shared" si="6"/>
        <v>2650000</v>
      </c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22"/>
      <c r="C471" s="22"/>
      <c r="D471" s="47" t="s">
        <v>24</v>
      </c>
      <c r="E471" s="35" t="s">
        <v>53</v>
      </c>
      <c r="F471" s="13"/>
      <c r="G471" s="36">
        <v>5.0</v>
      </c>
      <c r="H471" s="36" t="s">
        <v>26</v>
      </c>
      <c r="I471" s="48">
        <v>500000.0</v>
      </c>
      <c r="J471" s="46">
        <f t="shared" si="183"/>
        <v>2500000</v>
      </c>
      <c r="K471" s="46"/>
      <c r="L471" s="46"/>
      <c r="M471" s="46"/>
      <c r="N471" s="46"/>
      <c r="O471" s="24">
        <f t="shared" si="5"/>
        <v>2500000</v>
      </c>
      <c r="P471" s="24">
        <f t="shared" si="6"/>
        <v>2500000</v>
      </c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22"/>
      <c r="C472" s="22"/>
      <c r="D472" s="47" t="s">
        <v>24</v>
      </c>
      <c r="E472" s="35" t="s">
        <v>54</v>
      </c>
      <c r="F472" s="13"/>
      <c r="G472" s="36">
        <v>1.0</v>
      </c>
      <c r="H472" s="36" t="s">
        <v>55</v>
      </c>
      <c r="I472" s="48">
        <v>250000.0</v>
      </c>
      <c r="J472" s="46">
        <f t="shared" si="183"/>
        <v>250000</v>
      </c>
      <c r="K472" s="46"/>
      <c r="L472" s="46"/>
      <c r="M472" s="46"/>
      <c r="N472" s="46"/>
      <c r="O472" s="24">
        <f t="shared" si="5"/>
        <v>250000</v>
      </c>
      <c r="P472" s="24">
        <f t="shared" si="6"/>
        <v>250000</v>
      </c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22"/>
      <c r="C473" s="22"/>
      <c r="D473" s="47" t="s">
        <v>24</v>
      </c>
      <c r="E473" s="35" t="s">
        <v>56</v>
      </c>
      <c r="F473" s="13"/>
      <c r="G473" s="36">
        <v>50.0</v>
      </c>
      <c r="H473" s="36" t="s">
        <v>26</v>
      </c>
      <c r="I473" s="48">
        <v>300000.0</v>
      </c>
      <c r="J473" s="46">
        <f t="shared" si="183"/>
        <v>15000000</v>
      </c>
      <c r="K473" s="46"/>
      <c r="L473" s="46"/>
      <c r="M473" s="46"/>
      <c r="N473" s="46"/>
      <c r="O473" s="24">
        <f t="shared" si="5"/>
        <v>15000000</v>
      </c>
      <c r="P473" s="24">
        <f t="shared" si="6"/>
        <v>15000000</v>
      </c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35" t="s">
        <v>47</v>
      </c>
      <c r="C474" s="13"/>
      <c r="D474" s="44" t="s">
        <v>48</v>
      </c>
      <c r="E474" s="12"/>
      <c r="F474" s="13"/>
      <c r="G474" s="45"/>
      <c r="H474" s="22"/>
      <c r="I474" s="22"/>
      <c r="J474" s="46">
        <f t="shared" ref="J474:K474" si="184">J476</f>
        <v>8000000</v>
      </c>
      <c r="K474" s="46" t="str">
        <f t="shared" si="184"/>
        <v/>
      </c>
      <c r="L474" s="46"/>
      <c r="M474" s="46" t="str">
        <f>M476</f>
        <v/>
      </c>
      <c r="N474" s="46"/>
      <c r="O474" s="24">
        <f t="shared" si="5"/>
        <v>8000000</v>
      </c>
      <c r="P474" s="24">
        <f t="shared" si="6"/>
        <v>8000000</v>
      </c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22"/>
      <c r="C475" s="22"/>
      <c r="D475" s="35" t="s">
        <v>23</v>
      </c>
      <c r="E475" s="12"/>
      <c r="F475" s="13"/>
      <c r="G475" s="36"/>
      <c r="H475" s="22"/>
      <c r="I475" s="22"/>
      <c r="J475" s="22"/>
      <c r="K475" s="22"/>
      <c r="L475" s="22"/>
      <c r="M475" s="22"/>
      <c r="N475" s="22"/>
      <c r="O475" s="24">
        <f t="shared" si="5"/>
        <v>0</v>
      </c>
      <c r="P475" s="24">
        <f t="shared" si="6"/>
        <v>0</v>
      </c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22"/>
      <c r="C476" s="22"/>
      <c r="D476" s="47" t="s">
        <v>24</v>
      </c>
      <c r="E476" s="35" t="s">
        <v>57</v>
      </c>
      <c r="F476" s="13"/>
      <c r="G476" s="36">
        <v>2.0</v>
      </c>
      <c r="H476" s="36" t="s">
        <v>26</v>
      </c>
      <c r="I476" s="48">
        <v>4000000.0</v>
      </c>
      <c r="J476" s="46">
        <f>G476*I476</f>
        <v>8000000</v>
      </c>
      <c r="K476" s="46"/>
      <c r="L476" s="46"/>
      <c r="M476" s="46"/>
      <c r="N476" s="46"/>
      <c r="O476" s="24">
        <f t="shared" si="5"/>
        <v>8000000</v>
      </c>
      <c r="P476" s="24">
        <f t="shared" si="6"/>
        <v>8000000</v>
      </c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35" t="s">
        <v>58</v>
      </c>
      <c r="C477" s="13"/>
      <c r="D477" s="44" t="s">
        <v>34</v>
      </c>
      <c r="E477" s="12"/>
      <c r="F477" s="13"/>
      <c r="G477" s="45"/>
      <c r="H477" s="22"/>
      <c r="I477" s="22"/>
      <c r="J477" s="46">
        <f t="shared" ref="J477:K477" si="185">J479</f>
        <v>2000000</v>
      </c>
      <c r="K477" s="46" t="str">
        <f t="shared" si="185"/>
        <v/>
      </c>
      <c r="L477" s="46"/>
      <c r="M477" s="46" t="str">
        <f>M479</f>
        <v/>
      </c>
      <c r="N477" s="46"/>
      <c r="O477" s="24">
        <f t="shared" si="5"/>
        <v>2000000</v>
      </c>
      <c r="P477" s="24">
        <f t="shared" si="6"/>
        <v>2000000</v>
      </c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22"/>
      <c r="C478" s="22"/>
      <c r="D478" s="35" t="s">
        <v>23</v>
      </c>
      <c r="E478" s="12"/>
      <c r="F478" s="13"/>
      <c r="G478" s="36"/>
      <c r="H478" s="22"/>
      <c r="I478" s="22"/>
      <c r="J478" s="22"/>
      <c r="K478" s="22"/>
      <c r="L478" s="22"/>
      <c r="M478" s="22"/>
      <c r="N478" s="22"/>
      <c r="O478" s="24">
        <f t="shared" si="5"/>
        <v>0</v>
      </c>
      <c r="P478" s="24">
        <f t="shared" si="6"/>
        <v>0</v>
      </c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22"/>
      <c r="C479" s="22"/>
      <c r="D479" s="47" t="s">
        <v>24</v>
      </c>
      <c r="E479" s="35" t="s">
        <v>59</v>
      </c>
      <c r="F479" s="13"/>
      <c r="G479" s="36">
        <v>4.0</v>
      </c>
      <c r="H479" s="36" t="s">
        <v>26</v>
      </c>
      <c r="I479" s="48">
        <v>500000.0</v>
      </c>
      <c r="J479" s="46">
        <f>G479*I479</f>
        <v>2000000</v>
      </c>
      <c r="K479" s="46"/>
      <c r="L479" s="46"/>
      <c r="M479" s="46"/>
      <c r="N479" s="46"/>
      <c r="O479" s="24">
        <f t="shared" si="5"/>
        <v>2000000</v>
      </c>
      <c r="P479" s="24">
        <f t="shared" si="6"/>
        <v>2000000</v>
      </c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41" t="s">
        <v>60</v>
      </c>
      <c r="C480" s="13"/>
      <c r="D480" s="41" t="s">
        <v>61</v>
      </c>
      <c r="E480" s="12"/>
      <c r="F480" s="13"/>
      <c r="G480" s="42"/>
      <c r="H480" s="22"/>
      <c r="I480" s="22"/>
      <c r="J480" s="43">
        <f t="shared" ref="J480:K480" si="186">J481+J484+J488+J491+J494</f>
        <v>186900000</v>
      </c>
      <c r="K480" s="43">
        <f t="shared" si="186"/>
        <v>0</v>
      </c>
      <c r="L480" s="43"/>
      <c r="M480" s="43">
        <f>M481+M484+M488+M491+M494</f>
        <v>2543000</v>
      </c>
      <c r="N480" s="43"/>
      <c r="O480" s="24">
        <f t="shared" si="5"/>
        <v>186900000</v>
      </c>
      <c r="P480" s="24">
        <f t="shared" si="6"/>
        <v>184357000</v>
      </c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35" t="s">
        <v>40</v>
      </c>
      <c r="C481" s="13"/>
      <c r="D481" s="44" t="s">
        <v>22</v>
      </c>
      <c r="E481" s="12"/>
      <c r="F481" s="13"/>
      <c r="G481" s="45"/>
      <c r="H481" s="22"/>
      <c r="I481" s="22"/>
      <c r="J481" s="46">
        <f t="shared" ref="J481:K481" si="187">J483</f>
        <v>15900000</v>
      </c>
      <c r="K481" s="46" t="str">
        <f t="shared" si="187"/>
        <v/>
      </c>
      <c r="L481" s="46"/>
      <c r="M481" s="46" t="str">
        <f>M483</f>
        <v/>
      </c>
      <c r="N481" s="46"/>
      <c r="O481" s="24">
        <f t="shared" si="5"/>
        <v>15900000</v>
      </c>
      <c r="P481" s="24">
        <f t="shared" si="6"/>
        <v>15900000</v>
      </c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22"/>
      <c r="C482" s="22"/>
      <c r="D482" s="35" t="s">
        <v>23</v>
      </c>
      <c r="E482" s="12"/>
      <c r="F482" s="13"/>
      <c r="G482" s="36"/>
      <c r="H482" s="22"/>
      <c r="I482" s="22"/>
      <c r="J482" s="22"/>
      <c r="K482" s="22"/>
      <c r="L482" s="22"/>
      <c r="M482" s="22"/>
      <c r="N482" s="22"/>
      <c r="O482" s="24">
        <f t="shared" si="5"/>
        <v>0</v>
      </c>
      <c r="P482" s="24">
        <f t="shared" si="6"/>
        <v>0</v>
      </c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22"/>
      <c r="C483" s="22"/>
      <c r="D483" s="47" t="s">
        <v>24</v>
      </c>
      <c r="E483" s="35" t="s">
        <v>62</v>
      </c>
      <c r="F483" s="13"/>
      <c r="G483" s="36">
        <v>300.0</v>
      </c>
      <c r="H483" s="36" t="s">
        <v>26</v>
      </c>
      <c r="I483" s="48">
        <v>53000.0</v>
      </c>
      <c r="J483" s="46">
        <f>G483*I483</f>
        <v>15900000</v>
      </c>
      <c r="K483" s="46"/>
      <c r="L483" s="46"/>
      <c r="M483" s="46"/>
      <c r="N483" s="46"/>
      <c r="O483" s="24">
        <f t="shared" si="5"/>
        <v>15900000</v>
      </c>
      <c r="P483" s="24">
        <f t="shared" si="6"/>
        <v>15900000</v>
      </c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35" t="s">
        <v>63</v>
      </c>
      <c r="C484" s="13"/>
      <c r="D484" s="44" t="s">
        <v>64</v>
      </c>
      <c r="E484" s="12"/>
      <c r="F484" s="13"/>
      <c r="G484" s="45"/>
      <c r="H484" s="22"/>
      <c r="I484" s="22"/>
      <c r="J484" s="46">
        <f t="shared" ref="J484:K484" si="188">SUM(J486:J487)</f>
        <v>105000000</v>
      </c>
      <c r="K484" s="46">
        <f t="shared" si="188"/>
        <v>0</v>
      </c>
      <c r="L484" s="46"/>
      <c r="M484" s="46">
        <f>SUM(M486:M487)</f>
        <v>0</v>
      </c>
      <c r="N484" s="46"/>
      <c r="O484" s="24">
        <f t="shared" si="5"/>
        <v>105000000</v>
      </c>
      <c r="P484" s="24">
        <f t="shared" si="6"/>
        <v>105000000</v>
      </c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22"/>
      <c r="C485" s="22"/>
      <c r="D485" s="35" t="s">
        <v>23</v>
      </c>
      <c r="E485" s="12"/>
      <c r="F485" s="13"/>
      <c r="G485" s="36"/>
      <c r="H485" s="22"/>
      <c r="I485" s="22"/>
      <c r="J485" s="22"/>
      <c r="K485" s="22"/>
      <c r="L485" s="22"/>
      <c r="M485" s="22"/>
      <c r="N485" s="22"/>
      <c r="O485" s="24">
        <f t="shared" si="5"/>
        <v>0</v>
      </c>
      <c r="P485" s="24">
        <f t="shared" si="6"/>
        <v>0</v>
      </c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22"/>
      <c r="C486" s="22"/>
      <c r="D486" s="47" t="s">
        <v>24</v>
      </c>
      <c r="E486" s="35" t="s">
        <v>65</v>
      </c>
      <c r="F486" s="13"/>
      <c r="G486" s="36">
        <v>1.0</v>
      </c>
      <c r="H486" s="36" t="s">
        <v>66</v>
      </c>
      <c r="I486" s="48">
        <v>9.5E7</v>
      </c>
      <c r="J486" s="46">
        <f t="shared" ref="J486:J487" si="189">G486*I486</f>
        <v>95000000</v>
      </c>
      <c r="K486" s="46"/>
      <c r="L486" s="46"/>
      <c r="M486" s="46"/>
      <c r="N486" s="46"/>
      <c r="O486" s="24">
        <f t="shared" si="5"/>
        <v>95000000</v>
      </c>
      <c r="P486" s="24">
        <f t="shared" si="6"/>
        <v>95000000</v>
      </c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22"/>
      <c r="C487" s="22"/>
      <c r="D487" s="47" t="s">
        <v>24</v>
      </c>
      <c r="E487" s="35" t="s">
        <v>67</v>
      </c>
      <c r="F487" s="13"/>
      <c r="G487" s="36">
        <v>50.0</v>
      </c>
      <c r="H487" s="36" t="s">
        <v>26</v>
      </c>
      <c r="I487" s="48">
        <v>200000.0</v>
      </c>
      <c r="J487" s="46">
        <f t="shared" si="189"/>
        <v>10000000</v>
      </c>
      <c r="K487" s="46"/>
      <c r="L487" s="46"/>
      <c r="M487" s="46"/>
      <c r="N487" s="46"/>
      <c r="O487" s="24">
        <f t="shared" si="5"/>
        <v>10000000</v>
      </c>
      <c r="P487" s="24">
        <f t="shared" si="6"/>
        <v>10000000</v>
      </c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35" t="s">
        <v>68</v>
      </c>
      <c r="C488" s="13"/>
      <c r="D488" s="44" t="s">
        <v>69</v>
      </c>
      <c r="E488" s="12"/>
      <c r="F488" s="13"/>
      <c r="G488" s="45"/>
      <c r="H488" s="22"/>
      <c r="I488" s="22"/>
      <c r="J488" s="46">
        <f t="shared" ref="J488:K488" si="190">J490</f>
        <v>10000000</v>
      </c>
      <c r="K488" s="46" t="str">
        <f t="shared" si="190"/>
        <v/>
      </c>
      <c r="L488" s="46"/>
      <c r="M488" s="46">
        <f>M490</f>
        <v>2543000</v>
      </c>
      <c r="N488" s="46"/>
      <c r="O488" s="24">
        <f t="shared" si="5"/>
        <v>10000000</v>
      </c>
      <c r="P488" s="24">
        <f t="shared" si="6"/>
        <v>7457000</v>
      </c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22"/>
      <c r="C489" s="22"/>
      <c r="D489" s="35" t="s">
        <v>23</v>
      </c>
      <c r="E489" s="12"/>
      <c r="F489" s="13"/>
      <c r="G489" s="36"/>
      <c r="H489" s="22"/>
      <c r="I489" s="22"/>
      <c r="J489" s="22"/>
      <c r="K489" s="22"/>
      <c r="L489" s="22"/>
      <c r="M489" s="22"/>
      <c r="N489" s="22"/>
      <c r="O489" s="24">
        <f t="shared" si="5"/>
        <v>0</v>
      </c>
      <c r="P489" s="24">
        <f t="shared" si="6"/>
        <v>0</v>
      </c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22"/>
      <c r="C490" s="22"/>
      <c r="D490" s="47" t="s">
        <v>24</v>
      </c>
      <c r="E490" s="35" t="s">
        <v>70</v>
      </c>
      <c r="F490" s="13"/>
      <c r="G490" s="36">
        <v>20.0</v>
      </c>
      <c r="H490" s="36" t="s">
        <v>26</v>
      </c>
      <c r="I490" s="48">
        <v>500000.0</v>
      </c>
      <c r="J490" s="46">
        <f>G490*I490</f>
        <v>10000000</v>
      </c>
      <c r="K490" s="46"/>
      <c r="L490" s="46"/>
      <c r="M490" s="46">
        <v>2543000.0</v>
      </c>
      <c r="N490" s="46"/>
      <c r="O490" s="24">
        <f t="shared" si="5"/>
        <v>10000000</v>
      </c>
      <c r="P490" s="24">
        <f t="shared" si="6"/>
        <v>7457000</v>
      </c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35" t="s">
        <v>47</v>
      </c>
      <c r="C491" s="13"/>
      <c r="D491" s="44" t="s">
        <v>48</v>
      </c>
      <c r="E491" s="12"/>
      <c r="F491" s="13"/>
      <c r="G491" s="45"/>
      <c r="H491" s="22"/>
      <c r="I491" s="22"/>
      <c r="J491" s="46">
        <f t="shared" ref="J491:K491" si="191">J493</f>
        <v>8000000</v>
      </c>
      <c r="K491" s="46" t="str">
        <f t="shared" si="191"/>
        <v/>
      </c>
      <c r="L491" s="46"/>
      <c r="M491" s="46" t="str">
        <f>M493</f>
        <v/>
      </c>
      <c r="N491" s="46"/>
      <c r="O491" s="24">
        <f t="shared" si="5"/>
        <v>8000000</v>
      </c>
      <c r="P491" s="24">
        <f t="shared" si="6"/>
        <v>8000000</v>
      </c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22"/>
      <c r="C492" s="22"/>
      <c r="D492" s="35" t="s">
        <v>23</v>
      </c>
      <c r="E492" s="12"/>
      <c r="F492" s="13"/>
      <c r="G492" s="36"/>
      <c r="H492" s="22"/>
      <c r="I492" s="22"/>
      <c r="J492" s="22"/>
      <c r="K492" s="22"/>
      <c r="L492" s="22"/>
      <c r="M492" s="22"/>
      <c r="N492" s="22"/>
      <c r="O492" s="24">
        <f t="shared" si="5"/>
        <v>0</v>
      </c>
      <c r="P492" s="24">
        <f t="shared" si="6"/>
        <v>0</v>
      </c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22"/>
      <c r="C493" s="22"/>
      <c r="D493" s="47" t="s">
        <v>24</v>
      </c>
      <c r="E493" s="35" t="s">
        <v>57</v>
      </c>
      <c r="F493" s="13"/>
      <c r="G493" s="36">
        <v>2.0</v>
      </c>
      <c r="H493" s="36" t="s">
        <v>26</v>
      </c>
      <c r="I493" s="48">
        <v>4000000.0</v>
      </c>
      <c r="J493" s="46">
        <f>G493*I493</f>
        <v>8000000</v>
      </c>
      <c r="K493" s="46"/>
      <c r="L493" s="46"/>
      <c r="M493" s="46"/>
      <c r="N493" s="46"/>
      <c r="O493" s="24">
        <f t="shared" si="5"/>
        <v>8000000</v>
      </c>
      <c r="P493" s="24">
        <f t="shared" si="6"/>
        <v>8000000</v>
      </c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35" t="s">
        <v>58</v>
      </c>
      <c r="C494" s="13"/>
      <c r="D494" s="44" t="s">
        <v>34</v>
      </c>
      <c r="E494" s="12"/>
      <c r="F494" s="13"/>
      <c r="G494" s="45"/>
      <c r="H494" s="22"/>
      <c r="I494" s="22"/>
      <c r="J494" s="46">
        <f t="shared" ref="J494:K494" si="192">J496</f>
        <v>48000000</v>
      </c>
      <c r="K494" s="46" t="str">
        <f t="shared" si="192"/>
        <v/>
      </c>
      <c r="L494" s="46"/>
      <c r="M494" s="46" t="str">
        <f>M496</f>
        <v/>
      </c>
      <c r="N494" s="46"/>
      <c r="O494" s="24">
        <f t="shared" si="5"/>
        <v>48000000</v>
      </c>
      <c r="P494" s="24">
        <f t="shared" si="6"/>
        <v>48000000</v>
      </c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22"/>
      <c r="C495" s="22"/>
      <c r="D495" s="35" t="s">
        <v>23</v>
      </c>
      <c r="E495" s="12"/>
      <c r="F495" s="13"/>
      <c r="G495" s="36"/>
      <c r="H495" s="22"/>
      <c r="I495" s="22"/>
      <c r="J495" s="22"/>
      <c r="K495" s="22"/>
      <c r="L495" s="22"/>
      <c r="M495" s="22"/>
      <c r="N495" s="22"/>
      <c r="O495" s="24">
        <f t="shared" si="5"/>
        <v>0</v>
      </c>
      <c r="P495" s="24">
        <f t="shared" si="6"/>
        <v>0</v>
      </c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22"/>
      <c r="C496" s="22"/>
      <c r="D496" s="47" t="s">
        <v>24</v>
      </c>
      <c r="E496" s="35" t="s">
        <v>71</v>
      </c>
      <c r="F496" s="13"/>
      <c r="G496" s="36">
        <v>96.0</v>
      </c>
      <c r="H496" s="36" t="s">
        <v>26</v>
      </c>
      <c r="I496" s="48">
        <v>500000.0</v>
      </c>
      <c r="J496" s="46">
        <f>G496*I496</f>
        <v>48000000</v>
      </c>
      <c r="K496" s="46"/>
      <c r="L496" s="46"/>
      <c r="M496" s="46"/>
      <c r="N496" s="46"/>
      <c r="O496" s="24">
        <f t="shared" si="5"/>
        <v>48000000</v>
      </c>
      <c r="P496" s="24">
        <f t="shared" si="6"/>
        <v>48000000</v>
      </c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41" t="s">
        <v>72</v>
      </c>
      <c r="C497" s="13"/>
      <c r="D497" s="41" t="s">
        <v>73</v>
      </c>
      <c r="E497" s="12"/>
      <c r="F497" s="13"/>
      <c r="G497" s="42"/>
      <c r="H497" s="22"/>
      <c r="I497" s="22"/>
      <c r="J497" s="43">
        <f t="shared" ref="J497:K497" si="193">J498+J503</f>
        <v>151200000</v>
      </c>
      <c r="K497" s="43">
        <f t="shared" si="193"/>
        <v>0</v>
      </c>
      <c r="L497" s="43"/>
      <c r="M497" s="43">
        <f>M498+M503</f>
        <v>0</v>
      </c>
      <c r="N497" s="43"/>
      <c r="O497" s="24">
        <f t="shared" si="5"/>
        <v>151200000</v>
      </c>
      <c r="P497" s="24">
        <f t="shared" si="6"/>
        <v>151200000</v>
      </c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35" t="s">
        <v>74</v>
      </c>
      <c r="C498" s="13"/>
      <c r="D498" s="44" t="s">
        <v>75</v>
      </c>
      <c r="E498" s="12"/>
      <c r="F498" s="13"/>
      <c r="G498" s="45"/>
      <c r="H498" s="22"/>
      <c r="I498" s="22"/>
      <c r="J498" s="46">
        <f t="shared" ref="J498:K498" si="194">SUM(J500:J502)</f>
        <v>142700000</v>
      </c>
      <c r="K498" s="46">
        <f t="shared" si="194"/>
        <v>0</v>
      </c>
      <c r="L498" s="46"/>
      <c r="M498" s="46">
        <f>SUM(M500:M502)</f>
        <v>0</v>
      </c>
      <c r="N498" s="46"/>
      <c r="O498" s="24">
        <f t="shared" si="5"/>
        <v>142700000</v>
      </c>
      <c r="P498" s="24">
        <f t="shared" si="6"/>
        <v>142700000</v>
      </c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22"/>
      <c r="C499" s="22"/>
      <c r="D499" s="35" t="s">
        <v>23</v>
      </c>
      <c r="E499" s="12"/>
      <c r="F499" s="13"/>
      <c r="G499" s="36"/>
      <c r="H499" s="22"/>
      <c r="I499" s="22"/>
      <c r="J499" s="22"/>
      <c r="K499" s="22"/>
      <c r="L499" s="22"/>
      <c r="M499" s="22"/>
      <c r="N499" s="22"/>
      <c r="O499" s="24">
        <f t="shared" si="5"/>
        <v>0</v>
      </c>
      <c r="P499" s="24">
        <f t="shared" si="6"/>
        <v>0</v>
      </c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22"/>
      <c r="C500" s="22"/>
      <c r="D500" s="47" t="s">
        <v>24</v>
      </c>
      <c r="E500" s="35" t="s">
        <v>76</v>
      </c>
      <c r="F500" s="13"/>
      <c r="G500" s="36">
        <v>20.0</v>
      </c>
      <c r="H500" s="36" t="s">
        <v>26</v>
      </c>
      <c r="I500" s="48">
        <v>5000000.0</v>
      </c>
      <c r="J500" s="46">
        <f t="shared" ref="J500:J502" si="195">G500*I500</f>
        <v>100000000</v>
      </c>
      <c r="K500" s="46"/>
      <c r="L500" s="46"/>
      <c r="M500" s="46"/>
      <c r="N500" s="46"/>
      <c r="O500" s="24">
        <f t="shared" si="5"/>
        <v>100000000</v>
      </c>
      <c r="P500" s="24">
        <f t="shared" si="6"/>
        <v>100000000</v>
      </c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22"/>
      <c r="C501" s="22"/>
      <c r="D501" s="47" t="s">
        <v>24</v>
      </c>
      <c r="E501" s="35" t="s">
        <v>77</v>
      </c>
      <c r="F501" s="13"/>
      <c r="G501" s="36">
        <v>30.0</v>
      </c>
      <c r="H501" s="36" t="s">
        <v>26</v>
      </c>
      <c r="I501" s="48">
        <v>850000.0</v>
      </c>
      <c r="J501" s="46">
        <f t="shared" si="195"/>
        <v>25500000</v>
      </c>
      <c r="K501" s="46"/>
      <c r="L501" s="46"/>
      <c r="M501" s="46"/>
      <c r="N501" s="46"/>
      <c r="O501" s="24">
        <f t="shared" si="5"/>
        <v>25500000</v>
      </c>
      <c r="P501" s="24">
        <f t="shared" si="6"/>
        <v>25500000</v>
      </c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22"/>
      <c r="C502" s="22"/>
      <c r="D502" s="47" t="s">
        <v>24</v>
      </c>
      <c r="E502" s="35" t="s">
        <v>78</v>
      </c>
      <c r="F502" s="13"/>
      <c r="G502" s="36">
        <v>40.0</v>
      </c>
      <c r="H502" s="36" t="s">
        <v>26</v>
      </c>
      <c r="I502" s="48">
        <v>430000.0</v>
      </c>
      <c r="J502" s="46">
        <f t="shared" si="195"/>
        <v>17200000</v>
      </c>
      <c r="K502" s="46"/>
      <c r="L502" s="46"/>
      <c r="M502" s="46"/>
      <c r="N502" s="46"/>
      <c r="O502" s="24">
        <f t="shared" si="5"/>
        <v>17200000</v>
      </c>
      <c r="P502" s="24">
        <f t="shared" si="6"/>
        <v>17200000</v>
      </c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35" t="s">
        <v>79</v>
      </c>
      <c r="C503" s="13"/>
      <c r="D503" s="44" t="s">
        <v>80</v>
      </c>
      <c r="E503" s="12"/>
      <c r="F503" s="13"/>
      <c r="G503" s="45"/>
      <c r="H503" s="22"/>
      <c r="I503" s="22"/>
      <c r="J503" s="46">
        <f t="shared" ref="J503:K503" si="196">J505</f>
        <v>8500000</v>
      </c>
      <c r="K503" s="46" t="str">
        <f t="shared" si="196"/>
        <v/>
      </c>
      <c r="L503" s="46"/>
      <c r="M503" s="46" t="str">
        <f>M505</f>
        <v/>
      </c>
      <c r="N503" s="46"/>
      <c r="O503" s="24">
        <f t="shared" si="5"/>
        <v>8500000</v>
      </c>
      <c r="P503" s="24">
        <f t="shared" si="6"/>
        <v>8500000</v>
      </c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22"/>
      <c r="C504" s="22"/>
      <c r="D504" s="35" t="s">
        <v>23</v>
      </c>
      <c r="E504" s="12"/>
      <c r="F504" s="13"/>
      <c r="G504" s="36"/>
      <c r="H504" s="22"/>
      <c r="I504" s="22"/>
      <c r="J504" s="22"/>
      <c r="K504" s="22"/>
      <c r="L504" s="22"/>
      <c r="M504" s="22"/>
      <c r="N504" s="22"/>
      <c r="O504" s="24">
        <f t="shared" si="5"/>
        <v>0</v>
      </c>
      <c r="P504" s="24">
        <f t="shared" si="6"/>
        <v>0</v>
      </c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22"/>
      <c r="C505" s="22"/>
      <c r="D505" s="47" t="s">
        <v>24</v>
      </c>
      <c r="E505" s="35" t="s">
        <v>81</v>
      </c>
      <c r="F505" s="13"/>
      <c r="G505" s="36">
        <v>50.0</v>
      </c>
      <c r="H505" s="36" t="s">
        <v>26</v>
      </c>
      <c r="I505" s="48">
        <v>170000.0</v>
      </c>
      <c r="J505" s="46">
        <f>G505*I505</f>
        <v>8500000</v>
      </c>
      <c r="K505" s="46"/>
      <c r="L505" s="46"/>
      <c r="M505" s="46"/>
      <c r="N505" s="46"/>
      <c r="O505" s="24">
        <f t="shared" si="5"/>
        <v>8500000</v>
      </c>
      <c r="P505" s="24">
        <f t="shared" si="6"/>
        <v>8500000</v>
      </c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41" t="s">
        <v>82</v>
      </c>
      <c r="C506" s="13"/>
      <c r="D506" s="41" t="s">
        <v>83</v>
      </c>
      <c r="E506" s="12"/>
      <c r="F506" s="13"/>
      <c r="G506" s="42"/>
      <c r="H506" s="22"/>
      <c r="I506" s="22"/>
      <c r="J506" s="43">
        <f t="shared" ref="J506:K506" si="197">J507+J512</f>
        <v>874500000</v>
      </c>
      <c r="K506" s="43">
        <f t="shared" si="197"/>
        <v>39475500</v>
      </c>
      <c r="L506" s="43"/>
      <c r="M506" s="43">
        <f>M507+M512</f>
        <v>48626000</v>
      </c>
      <c r="N506" s="43"/>
      <c r="O506" s="24">
        <f t="shared" si="5"/>
        <v>835024500</v>
      </c>
      <c r="P506" s="24">
        <f t="shared" si="6"/>
        <v>825874000</v>
      </c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35" t="s">
        <v>84</v>
      </c>
      <c r="C507" s="13"/>
      <c r="D507" s="44" t="s">
        <v>85</v>
      </c>
      <c r="E507" s="12"/>
      <c r="F507" s="13"/>
      <c r="G507" s="45"/>
      <c r="H507" s="22"/>
      <c r="I507" s="22"/>
      <c r="J507" s="46">
        <f t="shared" ref="J507:K507" si="198">SUM(J509:J511)</f>
        <v>772500000</v>
      </c>
      <c r="K507" s="46">
        <f t="shared" si="198"/>
        <v>39475500</v>
      </c>
      <c r="L507" s="46"/>
      <c r="M507" s="46">
        <f>SUM(M509:M511)</f>
        <v>48596500</v>
      </c>
      <c r="N507" s="46"/>
      <c r="O507" s="24">
        <f t="shared" si="5"/>
        <v>733024500</v>
      </c>
      <c r="P507" s="24">
        <f t="shared" si="6"/>
        <v>723903500</v>
      </c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22"/>
      <c r="C508" s="22"/>
      <c r="D508" s="35" t="s">
        <v>23</v>
      </c>
      <c r="E508" s="12"/>
      <c r="F508" s="13"/>
      <c r="G508" s="36"/>
      <c r="H508" s="22"/>
      <c r="I508" s="22"/>
      <c r="J508" s="22"/>
      <c r="K508" s="22"/>
      <c r="L508" s="22"/>
      <c r="M508" s="22"/>
      <c r="N508" s="22"/>
      <c r="O508" s="24">
        <f t="shared" si="5"/>
        <v>0</v>
      </c>
      <c r="P508" s="24">
        <f t="shared" si="6"/>
        <v>0</v>
      </c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22"/>
      <c r="C509" s="22"/>
      <c r="D509" s="47" t="s">
        <v>24</v>
      </c>
      <c r="E509" s="35" t="s">
        <v>86</v>
      </c>
      <c r="F509" s="13"/>
      <c r="G509" s="36">
        <v>27375.0</v>
      </c>
      <c r="H509" s="36" t="s">
        <v>87</v>
      </c>
      <c r="I509" s="48">
        <v>15000.0</v>
      </c>
      <c r="J509" s="46">
        <f t="shared" ref="J509:J511" si="199">G509*I509</f>
        <v>410625000</v>
      </c>
      <c r="K509" s="46">
        <v>2.8353E7</v>
      </c>
      <c r="L509" s="46"/>
      <c r="M509" s="46">
        <v>3.4653E7</v>
      </c>
      <c r="N509" s="46"/>
      <c r="O509" s="24">
        <f t="shared" si="5"/>
        <v>382272000</v>
      </c>
      <c r="P509" s="24">
        <f t="shared" si="6"/>
        <v>375972000</v>
      </c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22"/>
      <c r="C510" s="22"/>
      <c r="D510" s="47" t="s">
        <v>24</v>
      </c>
      <c r="E510" s="35" t="s">
        <v>88</v>
      </c>
      <c r="F510" s="13"/>
      <c r="G510" s="36">
        <v>9000.0</v>
      </c>
      <c r="H510" s="36" t="s">
        <v>87</v>
      </c>
      <c r="I510" s="48">
        <v>25000.0</v>
      </c>
      <c r="J510" s="46">
        <f t="shared" si="199"/>
        <v>225000000</v>
      </c>
      <c r="K510" s="46"/>
      <c r="L510" s="46"/>
      <c r="M510" s="46">
        <v>616000.0</v>
      </c>
      <c r="N510" s="46"/>
      <c r="O510" s="24">
        <f t="shared" si="5"/>
        <v>225000000</v>
      </c>
      <c r="P510" s="24">
        <f t="shared" si="6"/>
        <v>224384000</v>
      </c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22"/>
      <c r="C511" s="22"/>
      <c r="D511" s="47" t="s">
        <v>24</v>
      </c>
      <c r="E511" s="35" t="s">
        <v>89</v>
      </c>
      <c r="F511" s="13"/>
      <c r="G511" s="36">
        <v>18250.0</v>
      </c>
      <c r="H511" s="36" t="s">
        <v>87</v>
      </c>
      <c r="I511" s="48">
        <v>7500.0</v>
      </c>
      <c r="J511" s="46">
        <f t="shared" si="199"/>
        <v>136875000</v>
      </c>
      <c r="K511" s="46">
        <v>1.11225E7</v>
      </c>
      <c r="L511" s="46"/>
      <c r="M511" s="46">
        <v>1.33275E7</v>
      </c>
      <c r="N511" s="46"/>
      <c r="O511" s="24">
        <f t="shared" si="5"/>
        <v>125752500</v>
      </c>
      <c r="P511" s="24">
        <f t="shared" si="6"/>
        <v>123547500</v>
      </c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35" t="s">
        <v>63</v>
      </c>
      <c r="C512" s="13"/>
      <c r="D512" s="44" t="s">
        <v>64</v>
      </c>
      <c r="E512" s="12"/>
      <c r="F512" s="13"/>
      <c r="G512" s="45"/>
      <c r="H512" s="22"/>
      <c r="I512" s="22"/>
      <c r="J512" s="46">
        <f t="shared" ref="J512:K512" si="200">SUM(J514:J515)</f>
        <v>102000000</v>
      </c>
      <c r="K512" s="46">
        <f t="shared" si="200"/>
        <v>0</v>
      </c>
      <c r="L512" s="46"/>
      <c r="M512" s="46">
        <f>SUM(M514:M515)</f>
        <v>29500</v>
      </c>
      <c r="N512" s="46"/>
      <c r="O512" s="24">
        <f t="shared" si="5"/>
        <v>102000000</v>
      </c>
      <c r="P512" s="24">
        <f t="shared" si="6"/>
        <v>101970500</v>
      </c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22"/>
      <c r="C513" s="22"/>
      <c r="D513" s="35" t="s">
        <v>23</v>
      </c>
      <c r="E513" s="12"/>
      <c r="F513" s="13"/>
      <c r="G513" s="36"/>
      <c r="H513" s="22"/>
      <c r="I513" s="22"/>
      <c r="J513" s="22"/>
      <c r="K513" s="22"/>
      <c r="L513" s="22"/>
      <c r="M513" s="22"/>
      <c r="N513" s="22"/>
      <c r="O513" s="24">
        <f t="shared" si="5"/>
        <v>0</v>
      </c>
      <c r="P513" s="24">
        <f t="shared" si="6"/>
        <v>0</v>
      </c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22"/>
      <c r="C514" s="22"/>
      <c r="D514" s="47" t="s">
        <v>24</v>
      </c>
      <c r="E514" s="35" t="s">
        <v>90</v>
      </c>
      <c r="F514" s="13"/>
      <c r="G514" s="36">
        <v>180.0</v>
      </c>
      <c r="H514" s="36" t="s">
        <v>87</v>
      </c>
      <c r="I514" s="48">
        <v>500000.0</v>
      </c>
      <c r="J514" s="46">
        <f t="shared" ref="J514:J515" si="201">G514*I514</f>
        <v>90000000</v>
      </c>
      <c r="K514" s="46"/>
      <c r="L514" s="46"/>
      <c r="M514" s="46">
        <v>29500.0</v>
      </c>
      <c r="N514" s="46"/>
      <c r="O514" s="24">
        <f t="shared" si="5"/>
        <v>90000000</v>
      </c>
      <c r="P514" s="24">
        <f t="shared" si="6"/>
        <v>89970500</v>
      </c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22"/>
      <c r="C515" s="22"/>
      <c r="D515" s="47" t="s">
        <v>24</v>
      </c>
      <c r="E515" s="35" t="s">
        <v>91</v>
      </c>
      <c r="F515" s="13"/>
      <c r="G515" s="36">
        <v>300.0</v>
      </c>
      <c r="H515" s="36" t="s">
        <v>87</v>
      </c>
      <c r="I515" s="48">
        <v>40000.0</v>
      </c>
      <c r="J515" s="46">
        <f t="shared" si="201"/>
        <v>12000000</v>
      </c>
      <c r="K515" s="46"/>
      <c r="L515" s="46"/>
      <c r="M515" s="46"/>
      <c r="N515" s="46"/>
      <c r="O515" s="24">
        <f t="shared" si="5"/>
        <v>12000000</v>
      </c>
      <c r="P515" s="24">
        <f t="shared" si="6"/>
        <v>12000000</v>
      </c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41" t="s">
        <v>92</v>
      </c>
      <c r="C516" s="13"/>
      <c r="D516" s="41" t="s">
        <v>93</v>
      </c>
      <c r="E516" s="12"/>
      <c r="F516" s="13"/>
      <c r="G516" s="42"/>
      <c r="H516" s="22"/>
      <c r="I516" s="22"/>
      <c r="J516" s="43">
        <f t="shared" ref="J516:K516" si="202">J517</f>
        <v>40936000</v>
      </c>
      <c r="K516" s="43">
        <f t="shared" si="202"/>
        <v>0</v>
      </c>
      <c r="L516" s="43"/>
      <c r="M516" s="43">
        <f>M517</f>
        <v>0</v>
      </c>
      <c r="N516" s="43"/>
      <c r="O516" s="24">
        <f t="shared" si="5"/>
        <v>40936000</v>
      </c>
      <c r="P516" s="24">
        <f t="shared" si="6"/>
        <v>40936000</v>
      </c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35" t="s">
        <v>68</v>
      </c>
      <c r="C517" s="13"/>
      <c r="D517" s="44" t="s">
        <v>69</v>
      </c>
      <c r="E517" s="12"/>
      <c r="F517" s="13"/>
      <c r="G517" s="45"/>
      <c r="H517" s="22"/>
      <c r="I517" s="22"/>
      <c r="J517" s="46">
        <f t="shared" ref="J517:K517" si="203">SUM(J519:J520)</f>
        <v>40936000</v>
      </c>
      <c r="K517" s="46">
        <f t="shared" si="203"/>
        <v>0</v>
      </c>
      <c r="L517" s="46"/>
      <c r="M517" s="46">
        <f>SUM(M519:M520)</f>
        <v>0</v>
      </c>
      <c r="N517" s="46"/>
      <c r="O517" s="24">
        <f t="shared" si="5"/>
        <v>40936000</v>
      </c>
      <c r="P517" s="24">
        <f t="shared" si="6"/>
        <v>40936000</v>
      </c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22"/>
      <c r="C518" s="22"/>
      <c r="D518" s="35" t="s">
        <v>23</v>
      </c>
      <c r="E518" s="12"/>
      <c r="F518" s="13"/>
      <c r="G518" s="36"/>
      <c r="H518" s="22"/>
      <c r="I518" s="22"/>
      <c r="J518" s="22"/>
      <c r="K518" s="22"/>
      <c r="L518" s="22"/>
      <c r="M518" s="22"/>
      <c r="N518" s="22"/>
      <c r="O518" s="24">
        <f t="shared" si="5"/>
        <v>0</v>
      </c>
      <c r="P518" s="24">
        <f t="shared" si="6"/>
        <v>0</v>
      </c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22"/>
      <c r="C519" s="22"/>
      <c r="D519" s="47" t="s">
        <v>24</v>
      </c>
      <c r="E519" s="35" t="s">
        <v>94</v>
      </c>
      <c r="F519" s="13"/>
      <c r="G519" s="36">
        <v>12.0</v>
      </c>
      <c r="H519" s="36" t="s">
        <v>95</v>
      </c>
      <c r="I519" s="48">
        <v>2500000.0</v>
      </c>
      <c r="J519" s="46">
        <f t="shared" ref="J519:J520" si="204">G519*I519</f>
        <v>30000000</v>
      </c>
      <c r="K519" s="46"/>
      <c r="L519" s="46"/>
      <c r="M519" s="46"/>
      <c r="N519" s="46"/>
      <c r="O519" s="24">
        <f t="shared" si="5"/>
        <v>30000000</v>
      </c>
      <c r="P519" s="24">
        <f t="shared" si="6"/>
        <v>30000000</v>
      </c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22"/>
      <c r="C520" s="22"/>
      <c r="D520" s="47" t="s">
        <v>24</v>
      </c>
      <c r="E520" s="35" t="s">
        <v>171</v>
      </c>
      <c r="F520" s="13"/>
      <c r="G520" s="36">
        <v>1.0</v>
      </c>
      <c r="H520" s="36" t="s">
        <v>97</v>
      </c>
      <c r="I520" s="48">
        <v>1.0936E7</v>
      </c>
      <c r="J520" s="46">
        <f t="shared" si="204"/>
        <v>10936000</v>
      </c>
      <c r="K520" s="46"/>
      <c r="L520" s="46"/>
      <c r="M520" s="46"/>
      <c r="N520" s="46"/>
      <c r="O520" s="24">
        <f t="shared" si="5"/>
        <v>10936000</v>
      </c>
      <c r="P520" s="24">
        <f t="shared" si="6"/>
        <v>10936000</v>
      </c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41" t="s">
        <v>98</v>
      </c>
      <c r="C521" s="13"/>
      <c r="D521" s="41" t="s">
        <v>99</v>
      </c>
      <c r="E521" s="12"/>
      <c r="F521" s="13"/>
      <c r="G521" s="42"/>
      <c r="H521" s="22"/>
      <c r="I521" s="22"/>
      <c r="J521" s="43">
        <f t="shared" ref="J521:K521" si="205">J522+J531</f>
        <v>6760000</v>
      </c>
      <c r="K521" s="43">
        <f t="shared" si="205"/>
        <v>0</v>
      </c>
      <c r="L521" s="43"/>
      <c r="M521" s="43">
        <f>M522+M531</f>
        <v>0</v>
      </c>
      <c r="N521" s="43"/>
      <c r="O521" s="24">
        <f t="shared" si="5"/>
        <v>6760000</v>
      </c>
      <c r="P521" s="24">
        <f t="shared" si="6"/>
        <v>6760000</v>
      </c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35" t="s">
        <v>100</v>
      </c>
      <c r="C522" s="13"/>
      <c r="D522" s="44" t="s">
        <v>101</v>
      </c>
      <c r="E522" s="12"/>
      <c r="F522" s="13"/>
      <c r="G522" s="45"/>
      <c r="H522" s="22"/>
      <c r="I522" s="22"/>
      <c r="J522" s="46">
        <f t="shared" ref="J522:K522" si="206">SUM(J524:J530)</f>
        <v>5600000</v>
      </c>
      <c r="K522" s="46">
        <f t="shared" si="206"/>
        <v>0</v>
      </c>
      <c r="L522" s="46"/>
      <c r="M522" s="46">
        <f>SUM(M524:M530)</f>
        <v>0</v>
      </c>
      <c r="N522" s="46"/>
      <c r="O522" s="24">
        <f t="shared" si="5"/>
        <v>5600000</v>
      </c>
      <c r="P522" s="24">
        <f t="shared" si="6"/>
        <v>5600000</v>
      </c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22"/>
      <c r="C523" s="22"/>
      <c r="D523" s="35" t="s">
        <v>23</v>
      </c>
      <c r="E523" s="12"/>
      <c r="F523" s="13"/>
      <c r="G523" s="36"/>
      <c r="H523" s="22"/>
      <c r="I523" s="22"/>
      <c r="J523" s="22"/>
      <c r="K523" s="22"/>
      <c r="L523" s="22"/>
      <c r="M523" s="22"/>
      <c r="N523" s="22"/>
      <c r="O523" s="24">
        <f t="shared" si="5"/>
        <v>0</v>
      </c>
      <c r="P523" s="24">
        <f t="shared" si="6"/>
        <v>0</v>
      </c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22"/>
      <c r="C524" s="22"/>
      <c r="D524" s="47" t="s">
        <v>24</v>
      </c>
      <c r="E524" s="35" t="s">
        <v>102</v>
      </c>
      <c r="F524" s="13"/>
      <c r="G524" s="36">
        <v>2.0</v>
      </c>
      <c r="H524" s="36" t="s">
        <v>95</v>
      </c>
      <c r="I524" s="48">
        <v>350000.0</v>
      </c>
      <c r="J524" s="46">
        <f t="shared" ref="J524:J530" si="207">G524*I524</f>
        <v>700000</v>
      </c>
      <c r="K524" s="46"/>
      <c r="L524" s="46"/>
      <c r="M524" s="46"/>
      <c r="N524" s="46"/>
      <c r="O524" s="24">
        <f t="shared" si="5"/>
        <v>700000</v>
      </c>
      <c r="P524" s="24">
        <f t="shared" si="6"/>
        <v>700000</v>
      </c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22"/>
      <c r="C525" s="22"/>
      <c r="D525" s="47" t="s">
        <v>24</v>
      </c>
      <c r="E525" s="35" t="s">
        <v>103</v>
      </c>
      <c r="F525" s="13"/>
      <c r="G525" s="36">
        <v>2.0</v>
      </c>
      <c r="H525" s="36" t="s">
        <v>95</v>
      </c>
      <c r="I525" s="48">
        <v>225000.0</v>
      </c>
      <c r="J525" s="46">
        <f t="shared" si="207"/>
        <v>450000</v>
      </c>
      <c r="K525" s="46"/>
      <c r="L525" s="46"/>
      <c r="M525" s="46"/>
      <c r="N525" s="46"/>
      <c r="O525" s="24">
        <f t="shared" si="5"/>
        <v>450000</v>
      </c>
      <c r="P525" s="24">
        <f t="shared" si="6"/>
        <v>450000</v>
      </c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22"/>
      <c r="C526" s="22"/>
      <c r="D526" s="47" t="s">
        <v>24</v>
      </c>
      <c r="E526" s="35" t="s">
        <v>104</v>
      </c>
      <c r="F526" s="13"/>
      <c r="G526" s="36">
        <v>2.0</v>
      </c>
      <c r="H526" s="36" t="s">
        <v>95</v>
      </c>
      <c r="I526" s="48">
        <v>450000.0</v>
      </c>
      <c r="J526" s="46">
        <f t="shared" si="207"/>
        <v>900000</v>
      </c>
      <c r="K526" s="46"/>
      <c r="L526" s="46"/>
      <c r="M526" s="46"/>
      <c r="N526" s="46"/>
      <c r="O526" s="24">
        <f t="shared" si="5"/>
        <v>900000</v>
      </c>
      <c r="P526" s="24">
        <f t="shared" si="6"/>
        <v>900000</v>
      </c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22"/>
      <c r="C527" s="22"/>
      <c r="D527" s="47" t="s">
        <v>24</v>
      </c>
      <c r="E527" s="35" t="s">
        <v>105</v>
      </c>
      <c r="F527" s="13"/>
      <c r="G527" s="36">
        <v>2.0</v>
      </c>
      <c r="H527" s="36" t="s">
        <v>95</v>
      </c>
      <c r="I527" s="48">
        <v>250000.0</v>
      </c>
      <c r="J527" s="46">
        <f t="shared" si="207"/>
        <v>500000</v>
      </c>
      <c r="K527" s="46"/>
      <c r="L527" s="46"/>
      <c r="M527" s="46"/>
      <c r="N527" s="46"/>
      <c r="O527" s="24">
        <f t="shared" si="5"/>
        <v>500000</v>
      </c>
      <c r="P527" s="24">
        <f t="shared" si="6"/>
        <v>500000</v>
      </c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22"/>
      <c r="C528" s="22"/>
      <c r="D528" s="47" t="s">
        <v>24</v>
      </c>
      <c r="E528" s="35" t="s">
        <v>106</v>
      </c>
      <c r="F528" s="13"/>
      <c r="G528" s="36">
        <v>2.0</v>
      </c>
      <c r="H528" s="36" t="s">
        <v>95</v>
      </c>
      <c r="I528" s="48">
        <v>100000.0</v>
      </c>
      <c r="J528" s="46">
        <f t="shared" si="207"/>
        <v>200000</v>
      </c>
      <c r="K528" s="46"/>
      <c r="L528" s="46"/>
      <c r="M528" s="46"/>
      <c r="N528" s="46"/>
      <c r="O528" s="24">
        <f t="shared" si="5"/>
        <v>200000</v>
      </c>
      <c r="P528" s="24">
        <f t="shared" si="6"/>
        <v>200000</v>
      </c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22"/>
      <c r="C529" s="22"/>
      <c r="D529" s="47" t="s">
        <v>24</v>
      </c>
      <c r="E529" s="35" t="s">
        <v>107</v>
      </c>
      <c r="F529" s="13"/>
      <c r="G529" s="36">
        <v>2.0</v>
      </c>
      <c r="H529" s="36" t="s">
        <v>95</v>
      </c>
      <c r="I529" s="48">
        <v>725000.0</v>
      </c>
      <c r="J529" s="46">
        <f t="shared" si="207"/>
        <v>1450000</v>
      </c>
      <c r="K529" s="46"/>
      <c r="L529" s="46"/>
      <c r="M529" s="46"/>
      <c r="N529" s="46"/>
      <c r="O529" s="24">
        <f t="shared" si="5"/>
        <v>1450000</v>
      </c>
      <c r="P529" s="24">
        <f t="shared" si="6"/>
        <v>1450000</v>
      </c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22"/>
      <c r="C530" s="22"/>
      <c r="D530" s="47" t="s">
        <v>24</v>
      </c>
      <c r="E530" s="35" t="s">
        <v>108</v>
      </c>
      <c r="F530" s="13"/>
      <c r="G530" s="36">
        <v>2.0</v>
      </c>
      <c r="H530" s="36" t="s">
        <v>95</v>
      </c>
      <c r="I530" s="48">
        <v>700000.0</v>
      </c>
      <c r="J530" s="46">
        <f t="shared" si="207"/>
        <v>1400000</v>
      </c>
      <c r="K530" s="46"/>
      <c r="L530" s="46"/>
      <c r="M530" s="46"/>
      <c r="N530" s="46"/>
      <c r="O530" s="24">
        <f t="shared" si="5"/>
        <v>1400000</v>
      </c>
      <c r="P530" s="24">
        <f t="shared" si="6"/>
        <v>1400000</v>
      </c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35" t="s">
        <v>68</v>
      </c>
      <c r="C531" s="13"/>
      <c r="D531" s="44" t="s">
        <v>69</v>
      </c>
      <c r="E531" s="12"/>
      <c r="F531" s="13"/>
      <c r="G531" s="45"/>
      <c r="H531" s="22"/>
      <c r="I531" s="22"/>
      <c r="J531" s="46">
        <f t="shared" ref="J531:K531" si="208">SUM(J533:J536)</f>
        <v>1160000</v>
      </c>
      <c r="K531" s="46">
        <f t="shared" si="208"/>
        <v>0</v>
      </c>
      <c r="L531" s="46"/>
      <c r="M531" s="46">
        <f>SUM(M533:M536)</f>
        <v>0</v>
      </c>
      <c r="N531" s="46"/>
      <c r="O531" s="24">
        <f t="shared" si="5"/>
        <v>1160000</v>
      </c>
      <c r="P531" s="24">
        <f t="shared" si="6"/>
        <v>1160000</v>
      </c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22"/>
      <c r="C532" s="22"/>
      <c r="D532" s="35" t="s">
        <v>23</v>
      </c>
      <c r="E532" s="12"/>
      <c r="F532" s="13"/>
      <c r="G532" s="36"/>
      <c r="H532" s="22"/>
      <c r="I532" s="22"/>
      <c r="J532" s="22"/>
      <c r="K532" s="22"/>
      <c r="L532" s="22"/>
      <c r="M532" s="22"/>
      <c r="N532" s="22"/>
      <c r="O532" s="24">
        <f t="shared" si="5"/>
        <v>0</v>
      </c>
      <c r="P532" s="24">
        <f t="shared" si="6"/>
        <v>0</v>
      </c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22"/>
      <c r="C533" s="22"/>
      <c r="D533" s="47" t="s">
        <v>24</v>
      </c>
      <c r="E533" s="35" t="s">
        <v>109</v>
      </c>
      <c r="F533" s="13"/>
      <c r="G533" s="36">
        <v>10.0</v>
      </c>
      <c r="H533" s="36" t="s">
        <v>95</v>
      </c>
      <c r="I533" s="48">
        <v>50000.0</v>
      </c>
      <c r="J533" s="46">
        <f t="shared" ref="J533:J536" si="209">G533*I533</f>
        <v>500000</v>
      </c>
      <c r="K533" s="46"/>
      <c r="L533" s="46"/>
      <c r="M533" s="46"/>
      <c r="N533" s="46"/>
      <c r="O533" s="24">
        <f t="shared" si="5"/>
        <v>500000</v>
      </c>
      <c r="P533" s="24">
        <f t="shared" si="6"/>
        <v>500000</v>
      </c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22"/>
      <c r="C534" s="22"/>
      <c r="D534" s="47" t="s">
        <v>24</v>
      </c>
      <c r="E534" s="35" t="s">
        <v>110</v>
      </c>
      <c r="F534" s="13"/>
      <c r="G534" s="36">
        <v>2.0</v>
      </c>
      <c r="H534" s="36" t="s">
        <v>95</v>
      </c>
      <c r="I534" s="48">
        <v>100000.0</v>
      </c>
      <c r="J534" s="46">
        <f t="shared" si="209"/>
        <v>200000</v>
      </c>
      <c r="K534" s="46"/>
      <c r="L534" s="46"/>
      <c r="M534" s="46"/>
      <c r="N534" s="46"/>
      <c r="O534" s="24">
        <f t="shared" si="5"/>
        <v>200000</v>
      </c>
      <c r="P534" s="24">
        <f t="shared" si="6"/>
        <v>200000</v>
      </c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22"/>
      <c r="C535" s="22"/>
      <c r="D535" s="47" t="s">
        <v>24</v>
      </c>
      <c r="E535" s="35" t="s">
        <v>111</v>
      </c>
      <c r="F535" s="13"/>
      <c r="G535" s="36">
        <v>2.0</v>
      </c>
      <c r="H535" s="36" t="s">
        <v>95</v>
      </c>
      <c r="I535" s="48">
        <v>200000.0</v>
      </c>
      <c r="J535" s="46">
        <f t="shared" si="209"/>
        <v>400000</v>
      </c>
      <c r="K535" s="46"/>
      <c r="L535" s="46"/>
      <c r="M535" s="46"/>
      <c r="N535" s="46"/>
      <c r="O535" s="24">
        <f t="shared" si="5"/>
        <v>400000</v>
      </c>
      <c r="P535" s="24">
        <f t="shared" si="6"/>
        <v>400000</v>
      </c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22"/>
      <c r="C536" s="22"/>
      <c r="D536" s="47" t="s">
        <v>24</v>
      </c>
      <c r="E536" s="35" t="s">
        <v>112</v>
      </c>
      <c r="F536" s="13"/>
      <c r="G536" s="36">
        <v>2.0</v>
      </c>
      <c r="H536" s="36" t="s">
        <v>95</v>
      </c>
      <c r="I536" s="48">
        <v>30000.0</v>
      </c>
      <c r="J536" s="46">
        <f t="shared" si="209"/>
        <v>60000</v>
      </c>
      <c r="K536" s="46"/>
      <c r="L536" s="46"/>
      <c r="M536" s="46"/>
      <c r="N536" s="46"/>
      <c r="O536" s="24">
        <f t="shared" si="5"/>
        <v>60000</v>
      </c>
      <c r="P536" s="24">
        <f t="shared" si="6"/>
        <v>60000</v>
      </c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41" t="s">
        <v>113</v>
      </c>
      <c r="C537" s="13"/>
      <c r="D537" s="41" t="s">
        <v>114</v>
      </c>
      <c r="E537" s="12"/>
      <c r="F537" s="13"/>
      <c r="G537" s="42"/>
      <c r="H537" s="22"/>
      <c r="I537" s="22"/>
      <c r="J537" s="43">
        <f t="shared" ref="J537:K537" si="210">J538</f>
        <v>205375000</v>
      </c>
      <c r="K537" s="43">
        <f t="shared" si="210"/>
        <v>0</v>
      </c>
      <c r="L537" s="43"/>
      <c r="M537" s="43">
        <f>M538</f>
        <v>7760288</v>
      </c>
      <c r="N537" s="43"/>
      <c r="O537" s="24">
        <f t="shared" si="5"/>
        <v>205375000</v>
      </c>
      <c r="P537" s="24">
        <f t="shared" si="6"/>
        <v>197614712</v>
      </c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35" t="s">
        <v>68</v>
      </c>
      <c r="C538" s="13"/>
      <c r="D538" s="44" t="s">
        <v>69</v>
      </c>
      <c r="E538" s="12"/>
      <c r="F538" s="13"/>
      <c r="G538" s="45"/>
      <c r="H538" s="22"/>
      <c r="I538" s="22"/>
      <c r="J538" s="46">
        <f t="shared" ref="J538:K538" si="211">SUM(J540:J550)</f>
        <v>205375000</v>
      </c>
      <c r="K538" s="46">
        <f t="shared" si="211"/>
        <v>0</v>
      </c>
      <c r="L538" s="46"/>
      <c r="M538" s="46">
        <f>SUM(M540:M550)</f>
        <v>7760288</v>
      </c>
      <c r="N538" s="46"/>
      <c r="O538" s="24">
        <f t="shared" si="5"/>
        <v>205375000</v>
      </c>
      <c r="P538" s="24">
        <f t="shared" si="6"/>
        <v>197614712</v>
      </c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22"/>
      <c r="C539" s="22"/>
      <c r="D539" s="35" t="s">
        <v>23</v>
      </c>
      <c r="E539" s="12"/>
      <c r="F539" s="13"/>
      <c r="G539" s="36"/>
      <c r="H539" s="22"/>
      <c r="I539" s="22"/>
      <c r="J539" s="22"/>
      <c r="K539" s="22"/>
      <c r="L539" s="22"/>
      <c r="M539" s="22"/>
      <c r="N539" s="22"/>
      <c r="O539" s="24">
        <f t="shared" si="5"/>
        <v>0</v>
      </c>
      <c r="P539" s="24">
        <f t="shared" si="6"/>
        <v>0</v>
      </c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22"/>
      <c r="C540" s="22"/>
      <c r="D540" s="47" t="s">
        <v>24</v>
      </c>
      <c r="E540" s="35" t="s">
        <v>115</v>
      </c>
      <c r="F540" s="13"/>
      <c r="G540" s="36">
        <v>50.0</v>
      </c>
      <c r="H540" s="36" t="s">
        <v>95</v>
      </c>
      <c r="I540" s="48">
        <v>110000.0</v>
      </c>
      <c r="J540" s="46">
        <f t="shared" ref="J540:J550" si="212">G540*I540</f>
        <v>5500000</v>
      </c>
      <c r="K540" s="46"/>
      <c r="L540" s="46"/>
      <c r="M540" s="46"/>
      <c r="N540" s="46"/>
      <c r="O540" s="24">
        <f t="shared" si="5"/>
        <v>5500000</v>
      </c>
      <c r="P540" s="24">
        <f t="shared" si="6"/>
        <v>5500000</v>
      </c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22"/>
      <c r="C541" s="22"/>
      <c r="D541" s="47" t="s">
        <v>24</v>
      </c>
      <c r="E541" s="35" t="s">
        <v>116</v>
      </c>
      <c r="F541" s="13"/>
      <c r="G541" s="36">
        <v>50.0</v>
      </c>
      <c r="H541" s="36" t="s">
        <v>95</v>
      </c>
      <c r="I541" s="48">
        <v>120000.0</v>
      </c>
      <c r="J541" s="46">
        <f t="shared" si="212"/>
        <v>6000000</v>
      </c>
      <c r="K541" s="46"/>
      <c r="L541" s="46"/>
      <c r="M541" s="46"/>
      <c r="N541" s="46"/>
      <c r="O541" s="24">
        <f t="shared" si="5"/>
        <v>6000000</v>
      </c>
      <c r="P541" s="24">
        <f t="shared" si="6"/>
        <v>6000000</v>
      </c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22"/>
      <c r="C542" s="22"/>
      <c r="D542" s="47" t="s">
        <v>24</v>
      </c>
      <c r="E542" s="35" t="s">
        <v>117</v>
      </c>
      <c r="F542" s="13"/>
      <c r="G542" s="36">
        <v>50.0</v>
      </c>
      <c r="H542" s="36" t="s">
        <v>95</v>
      </c>
      <c r="I542" s="48">
        <v>150000.0</v>
      </c>
      <c r="J542" s="46">
        <f t="shared" si="212"/>
        <v>7500000</v>
      </c>
      <c r="K542" s="46"/>
      <c r="L542" s="46"/>
      <c r="M542" s="46"/>
      <c r="N542" s="46"/>
      <c r="O542" s="24">
        <f t="shared" si="5"/>
        <v>7500000</v>
      </c>
      <c r="P542" s="24">
        <f t="shared" si="6"/>
        <v>7500000</v>
      </c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22"/>
      <c r="C543" s="22"/>
      <c r="D543" s="47" t="s">
        <v>24</v>
      </c>
      <c r="E543" s="35" t="s">
        <v>118</v>
      </c>
      <c r="F543" s="13"/>
      <c r="G543" s="36">
        <v>50.0</v>
      </c>
      <c r="H543" s="36" t="s">
        <v>95</v>
      </c>
      <c r="I543" s="48">
        <v>100000.0</v>
      </c>
      <c r="J543" s="46">
        <f t="shared" si="212"/>
        <v>5000000</v>
      </c>
      <c r="K543" s="46"/>
      <c r="L543" s="46"/>
      <c r="M543" s="46"/>
      <c r="N543" s="46"/>
      <c r="O543" s="24">
        <f t="shared" si="5"/>
        <v>5000000</v>
      </c>
      <c r="P543" s="24">
        <f t="shared" si="6"/>
        <v>5000000</v>
      </c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22"/>
      <c r="C544" s="22"/>
      <c r="D544" s="47" t="s">
        <v>24</v>
      </c>
      <c r="E544" s="35" t="s">
        <v>206</v>
      </c>
      <c r="F544" s="13"/>
      <c r="G544" s="36">
        <v>50.0</v>
      </c>
      <c r="H544" s="36" t="s">
        <v>95</v>
      </c>
      <c r="I544" s="48">
        <v>350000.0</v>
      </c>
      <c r="J544" s="46">
        <f t="shared" si="212"/>
        <v>17500000</v>
      </c>
      <c r="K544" s="46"/>
      <c r="L544" s="46"/>
      <c r="M544" s="46"/>
      <c r="N544" s="46"/>
      <c r="O544" s="24">
        <f t="shared" si="5"/>
        <v>17500000</v>
      </c>
      <c r="P544" s="24">
        <f t="shared" si="6"/>
        <v>17500000</v>
      </c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22"/>
      <c r="C545" s="22"/>
      <c r="D545" s="47" t="s">
        <v>24</v>
      </c>
      <c r="E545" s="35" t="s">
        <v>120</v>
      </c>
      <c r="F545" s="13"/>
      <c r="G545" s="36">
        <v>25.0</v>
      </c>
      <c r="H545" s="36" t="s">
        <v>95</v>
      </c>
      <c r="I545" s="48">
        <v>175000.0</v>
      </c>
      <c r="J545" s="46">
        <f t="shared" si="212"/>
        <v>4375000</v>
      </c>
      <c r="K545" s="46"/>
      <c r="L545" s="46"/>
      <c r="M545" s="46"/>
      <c r="N545" s="46"/>
      <c r="O545" s="24">
        <f t="shared" si="5"/>
        <v>4375000</v>
      </c>
      <c r="P545" s="24">
        <f t="shared" si="6"/>
        <v>4375000</v>
      </c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22"/>
      <c r="C546" s="22"/>
      <c r="D546" s="47" t="s">
        <v>24</v>
      </c>
      <c r="E546" s="35" t="s">
        <v>121</v>
      </c>
      <c r="F546" s="13"/>
      <c r="G546" s="36">
        <v>175.0</v>
      </c>
      <c r="H546" s="36" t="s">
        <v>95</v>
      </c>
      <c r="I546" s="48">
        <v>150000.0</v>
      </c>
      <c r="J546" s="46">
        <f t="shared" si="212"/>
        <v>26250000</v>
      </c>
      <c r="K546" s="46"/>
      <c r="L546" s="46"/>
      <c r="M546" s="46"/>
      <c r="N546" s="46"/>
      <c r="O546" s="24">
        <f t="shared" si="5"/>
        <v>26250000</v>
      </c>
      <c r="P546" s="24">
        <f t="shared" si="6"/>
        <v>26250000</v>
      </c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22"/>
      <c r="C547" s="22"/>
      <c r="D547" s="47" t="s">
        <v>24</v>
      </c>
      <c r="E547" s="35" t="s">
        <v>122</v>
      </c>
      <c r="F547" s="13"/>
      <c r="G547" s="36">
        <v>175.0</v>
      </c>
      <c r="H547" s="36" t="s">
        <v>95</v>
      </c>
      <c r="I547" s="48">
        <v>200000.0</v>
      </c>
      <c r="J547" s="46">
        <f t="shared" si="212"/>
        <v>35000000</v>
      </c>
      <c r="K547" s="46"/>
      <c r="L547" s="46"/>
      <c r="M547" s="46"/>
      <c r="N547" s="46"/>
      <c r="O547" s="24">
        <f t="shared" si="5"/>
        <v>35000000</v>
      </c>
      <c r="P547" s="24">
        <f t="shared" si="6"/>
        <v>35000000</v>
      </c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22"/>
      <c r="C548" s="22"/>
      <c r="D548" s="47" t="s">
        <v>24</v>
      </c>
      <c r="E548" s="35" t="s">
        <v>123</v>
      </c>
      <c r="F548" s="13"/>
      <c r="G548" s="36">
        <v>300.0</v>
      </c>
      <c r="H548" s="36" t="s">
        <v>95</v>
      </c>
      <c r="I548" s="48">
        <v>250000.0</v>
      </c>
      <c r="J548" s="46">
        <f t="shared" si="212"/>
        <v>75000000</v>
      </c>
      <c r="K548" s="46"/>
      <c r="L548" s="46"/>
      <c r="M548" s="46">
        <v>7424238.0</v>
      </c>
      <c r="N548" s="46"/>
      <c r="O548" s="24">
        <f t="shared" si="5"/>
        <v>75000000</v>
      </c>
      <c r="P548" s="24">
        <f t="shared" si="6"/>
        <v>67575762</v>
      </c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22"/>
      <c r="C549" s="22"/>
      <c r="D549" s="47" t="s">
        <v>24</v>
      </c>
      <c r="E549" s="35" t="s">
        <v>124</v>
      </c>
      <c r="F549" s="13"/>
      <c r="G549" s="36">
        <v>180.0</v>
      </c>
      <c r="H549" s="36" t="s">
        <v>95</v>
      </c>
      <c r="I549" s="48">
        <v>100000.0</v>
      </c>
      <c r="J549" s="46">
        <f t="shared" si="212"/>
        <v>18000000</v>
      </c>
      <c r="K549" s="46"/>
      <c r="L549" s="46"/>
      <c r="M549" s="46">
        <v>336050.0</v>
      </c>
      <c r="N549" s="46"/>
      <c r="O549" s="24">
        <f t="shared" si="5"/>
        <v>18000000</v>
      </c>
      <c r="P549" s="24">
        <f t="shared" si="6"/>
        <v>17663950</v>
      </c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22"/>
      <c r="C550" s="22"/>
      <c r="D550" s="47" t="s">
        <v>24</v>
      </c>
      <c r="E550" s="35" t="s">
        <v>125</v>
      </c>
      <c r="F550" s="13"/>
      <c r="G550" s="36">
        <v>105.0</v>
      </c>
      <c r="H550" s="36" t="s">
        <v>95</v>
      </c>
      <c r="I550" s="48">
        <v>50000.0</v>
      </c>
      <c r="J550" s="46">
        <f t="shared" si="212"/>
        <v>5250000</v>
      </c>
      <c r="K550" s="46"/>
      <c r="L550" s="46"/>
      <c r="M550" s="46"/>
      <c r="N550" s="46"/>
      <c r="O550" s="24">
        <f t="shared" si="5"/>
        <v>5250000</v>
      </c>
      <c r="P550" s="24">
        <f t="shared" si="6"/>
        <v>5250000</v>
      </c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41" t="s">
        <v>126</v>
      </c>
      <c r="C551" s="13"/>
      <c r="D551" s="41" t="s">
        <v>127</v>
      </c>
      <c r="E551" s="12"/>
      <c r="F551" s="13"/>
      <c r="G551" s="42"/>
      <c r="H551" s="22"/>
      <c r="I551" s="22"/>
      <c r="J551" s="43">
        <f t="shared" ref="J551:K551" si="213">J552</f>
        <v>190740000</v>
      </c>
      <c r="K551" s="43">
        <f t="shared" si="213"/>
        <v>0</v>
      </c>
      <c r="L551" s="43"/>
      <c r="M551" s="43">
        <f>M552</f>
        <v>0</v>
      </c>
      <c r="N551" s="43"/>
      <c r="O551" s="24">
        <f t="shared" si="5"/>
        <v>190740000</v>
      </c>
      <c r="P551" s="24">
        <f t="shared" si="6"/>
        <v>190740000</v>
      </c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35" t="s">
        <v>68</v>
      </c>
      <c r="C552" s="13"/>
      <c r="D552" s="44" t="s">
        <v>69</v>
      </c>
      <c r="E552" s="12"/>
      <c r="F552" s="13"/>
      <c r="G552" s="45"/>
      <c r="H552" s="22"/>
      <c r="I552" s="22"/>
      <c r="J552" s="46">
        <f t="shared" ref="J552:K552" si="214">SUM(J554:J558)</f>
        <v>190740000</v>
      </c>
      <c r="K552" s="46">
        <f t="shared" si="214"/>
        <v>0</v>
      </c>
      <c r="L552" s="46"/>
      <c r="M552" s="46">
        <f>SUM(M554:M558)</f>
        <v>0</v>
      </c>
      <c r="N552" s="46"/>
      <c r="O552" s="24">
        <f t="shared" si="5"/>
        <v>190740000</v>
      </c>
      <c r="P552" s="24">
        <f t="shared" si="6"/>
        <v>190740000</v>
      </c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22"/>
      <c r="C553" s="22"/>
      <c r="D553" s="35" t="s">
        <v>23</v>
      </c>
      <c r="E553" s="12"/>
      <c r="F553" s="13"/>
      <c r="G553" s="36"/>
      <c r="H553" s="22"/>
      <c r="I553" s="22"/>
      <c r="J553" s="22"/>
      <c r="K553" s="22"/>
      <c r="L553" s="22"/>
      <c r="M553" s="22"/>
      <c r="N553" s="22"/>
      <c r="O553" s="24">
        <f t="shared" si="5"/>
        <v>0</v>
      </c>
      <c r="P553" s="24">
        <f t="shared" si="6"/>
        <v>0</v>
      </c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22"/>
      <c r="C554" s="22"/>
      <c r="D554" s="47" t="s">
        <v>24</v>
      </c>
      <c r="E554" s="35" t="s">
        <v>128</v>
      </c>
      <c r="F554" s="13"/>
      <c r="G554" s="36">
        <v>88.0</v>
      </c>
      <c r="H554" s="36" t="s">
        <v>129</v>
      </c>
      <c r="I554" s="48">
        <v>110000.0</v>
      </c>
      <c r="J554" s="46">
        <f t="shared" ref="J554:J558" si="215">G554*I554</f>
        <v>9680000</v>
      </c>
      <c r="K554" s="46"/>
      <c r="L554" s="46"/>
      <c r="M554" s="46"/>
      <c r="N554" s="46"/>
      <c r="O554" s="24">
        <f t="shared" si="5"/>
        <v>9680000</v>
      </c>
      <c r="P554" s="24">
        <f t="shared" si="6"/>
        <v>9680000</v>
      </c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22"/>
      <c r="C555" s="22"/>
      <c r="D555" s="47" t="s">
        <v>24</v>
      </c>
      <c r="E555" s="35" t="s">
        <v>130</v>
      </c>
      <c r="F555" s="13"/>
      <c r="G555" s="36">
        <v>88.0</v>
      </c>
      <c r="H555" s="36" t="s">
        <v>129</v>
      </c>
      <c r="I555" s="48">
        <v>120000.0</v>
      </c>
      <c r="J555" s="46">
        <f t="shared" si="215"/>
        <v>10560000</v>
      </c>
      <c r="K555" s="46"/>
      <c r="L555" s="46"/>
      <c r="M555" s="46"/>
      <c r="N555" s="46"/>
      <c r="O555" s="24">
        <f t="shared" si="5"/>
        <v>10560000</v>
      </c>
      <c r="P555" s="24">
        <f t="shared" si="6"/>
        <v>10560000</v>
      </c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22"/>
      <c r="C556" s="22"/>
      <c r="D556" s="47" t="s">
        <v>24</v>
      </c>
      <c r="E556" s="35" t="s">
        <v>131</v>
      </c>
      <c r="F556" s="13"/>
      <c r="G556" s="36">
        <v>88.0</v>
      </c>
      <c r="H556" s="36" t="s">
        <v>129</v>
      </c>
      <c r="I556" s="48">
        <v>350000.0</v>
      </c>
      <c r="J556" s="46">
        <f t="shared" si="215"/>
        <v>30800000</v>
      </c>
      <c r="K556" s="46"/>
      <c r="L556" s="46"/>
      <c r="M556" s="46"/>
      <c r="N556" s="46"/>
      <c r="O556" s="24">
        <f t="shared" si="5"/>
        <v>30800000</v>
      </c>
      <c r="P556" s="24">
        <f t="shared" si="6"/>
        <v>30800000</v>
      </c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22"/>
      <c r="C557" s="22"/>
      <c r="D557" s="47" t="s">
        <v>24</v>
      </c>
      <c r="E557" s="35" t="s">
        <v>132</v>
      </c>
      <c r="F557" s="13"/>
      <c r="G557" s="36">
        <v>44.0</v>
      </c>
      <c r="H557" s="36" t="s">
        <v>129</v>
      </c>
      <c r="I557" s="48">
        <v>175000.0</v>
      </c>
      <c r="J557" s="46">
        <f t="shared" si="215"/>
        <v>7700000</v>
      </c>
      <c r="K557" s="46"/>
      <c r="L557" s="46"/>
      <c r="M557" s="46"/>
      <c r="N557" s="46"/>
      <c r="O557" s="24">
        <f t="shared" si="5"/>
        <v>7700000</v>
      </c>
      <c r="P557" s="24">
        <f t="shared" si="6"/>
        <v>7700000</v>
      </c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22"/>
      <c r="C558" s="22"/>
      <c r="D558" s="47" t="s">
        <v>24</v>
      </c>
      <c r="E558" s="35" t="s">
        <v>207</v>
      </c>
      <c r="F558" s="13"/>
      <c r="G558" s="36">
        <v>528.0</v>
      </c>
      <c r="H558" s="36" t="s">
        <v>129</v>
      </c>
      <c r="I558" s="48">
        <v>250000.0</v>
      </c>
      <c r="J558" s="46">
        <f t="shared" si="215"/>
        <v>132000000</v>
      </c>
      <c r="K558" s="46"/>
      <c r="L558" s="46"/>
      <c r="M558" s="46"/>
      <c r="N558" s="46"/>
      <c r="O558" s="24">
        <f t="shared" si="5"/>
        <v>132000000</v>
      </c>
      <c r="P558" s="24">
        <f t="shared" si="6"/>
        <v>132000000</v>
      </c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41" t="s">
        <v>134</v>
      </c>
      <c r="C559" s="13"/>
      <c r="D559" s="41" t="s">
        <v>135</v>
      </c>
      <c r="E559" s="12"/>
      <c r="F559" s="13"/>
      <c r="G559" s="42"/>
      <c r="H559" s="22"/>
      <c r="I559" s="22"/>
      <c r="J559" s="43">
        <f t="shared" ref="J559:K559" si="216">J560</f>
        <v>10370000</v>
      </c>
      <c r="K559" s="43">
        <f t="shared" si="216"/>
        <v>0</v>
      </c>
      <c r="L559" s="43"/>
      <c r="M559" s="43">
        <f>M560</f>
        <v>214000</v>
      </c>
      <c r="N559" s="43"/>
      <c r="O559" s="24">
        <f t="shared" si="5"/>
        <v>10370000</v>
      </c>
      <c r="P559" s="24">
        <f t="shared" si="6"/>
        <v>10156000</v>
      </c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35" t="s">
        <v>68</v>
      </c>
      <c r="C560" s="13"/>
      <c r="D560" s="44" t="s">
        <v>69</v>
      </c>
      <c r="E560" s="12"/>
      <c r="F560" s="13"/>
      <c r="G560" s="45"/>
      <c r="H560" s="22"/>
      <c r="I560" s="22"/>
      <c r="J560" s="46">
        <f t="shared" ref="J560:K560" si="217">SUM(J562:J566)</f>
        <v>10370000</v>
      </c>
      <c r="K560" s="46">
        <f t="shared" si="217"/>
        <v>0</v>
      </c>
      <c r="L560" s="46"/>
      <c r="M560" s="46">
        <f>SUM(M562:M566)</f>
        <v>214000</v>
      </c>
      <c r="N560" s="46"/>
      <c r="O560" s="24">
        <f t="shared" si="5"/>
        <v>10370000</v>
      </c>
      <c r="P560" s="24">
        <f t="shared" si="6"/>
        <v>10156000</v>
      </c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22"/>
      <c r="C561" s="22"/>
      <c r="D561" s="35" t="s">
        <v>23</v>
      </c>
      <c r="E561" s="12"/>
      <c r="F561" s="13"/>
      <c r="G561" s="36"/>
      <c r="H561" s="22"/>
      <c r="I561" s="22"/>
      <c r="J561" s="22"/>
      <c r="K561" s="22"/>
      <c r="L561" s="22"/>
      <c r="M561" s="22"/>
      <c r="N561" s="22"/>
      <c r="O561" s="24">
        <f t="shared" si="5"/>
        <v>0</v>
      </c>
      <c r="P561" s="24">
        <f t="shared" si="6"/>
        <v>0</v>
      </c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22"/>
      <c r="C562" s="22"/>
      <c r="D562" s="47" t="s">
        <v>24</v>
      </c>
      <c r="E562" s="35" t="s">
        <v>136</v>
      </c>
      <c r="F562" s="13"/>
      <c r="G562" s="36">
        <v>75.0</v>
      </c>
      <c r="H562" s="36" t="s">
        <v>95</v>
      </c>
      <c r="I562" s="48">
        <v>75000.0</v>
      </c>
      <c r="J562" s="46">
        <f t="shared" ref="J562:J566" si="218">G562*I562</f>
        <v>5625000</v>
      </c>
      <c r="K562" s="46"/>
      <c r="L562" s="46"/>
      <c r="M562" s="46"/>
      <c r="N562" s="46"/>
      <c r="O562" s="24">
        <f t="shared" si="5"/>
        <v>5625000</v>
      </c>
      <c r="P562" s="24">
        <f t="shared" si="6"/>
        <v>5625000</v>
      </c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22"/>
      <c r="C563" s="22"/>
      <c r="D563" s="47" t="s">
        <v>24</v>
      </c>
      <c r="E563" s="35" t="s">
        <v>137</v>
      </c>
      <c r="F563" s="13"/>
      <c r="G563" s="36">
        <v>2.0</v>
      </c>
      <c r="H563" s="36" t="s">
        <v>95</v>
      </c>
      <c r="I563" s="48">
        <v>360000.0</v>
      </c>
      <c r="J563" s="46">
        <f t="shared" si="218"/>
        <v>720000</v>
      </c>
      <c r="K563" s="46"/>
      <c r="L563" s="46"/>
      <c r="M563" s="46"/>
      <c r="N563" s="46"/>
      <c r="O563" s="24">
        <f t="shared" si="5"/>
        <v>720000</v>
      </c>
      <c r="P563" s="24">
        <f t="shared" si="6"/>
        <v>720000</v>
      </c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22"/>
      <c r="C564" s="22"/>
      <c r="D564" s="47" t="s">
        <v>24</v>
      </c>
      <c r="E564" s="35" t="s">
        <v>138</v>
      </c>
      <c r="F564" s="13"/>
      <c r="G564" s="36">
        <v>25.0</v>
      </c>
      <c r="H564" s="36" t="s">
        <v>95</v>
      </c>
      <c r="I564" s="48">
        <v>93000.0</v>
      </c>
      <c r="J564" s="46">
        <f t="shared" si="218"/>
        <v>2325000</v>
      </c>
      <c r="K564" s="46"/>
      <c r="L564" s="46"/>
      <c r="M564" s="46">
        <v>214000.0</v>
      </c>
      <c r="N564" s="46"/>
      <c r="O564" s="24">
        <f t="shared" si="5"/>
        <v>2325000</v>
      </c>
      <c r="P564" s="24">
        <f t="shared" si="6"/>
        <v>2111000</v>
      </c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22"/>
      <c r="C565" s="22"/>
      <c r="D565" s="47" t="s">
        <v>24</v>
      </c>
      <c r="E565" s="35" t="s">
        <v>139</v>
      </c>
      <c r="F565" s="13"/>
      <c r="G565" s="36">
        <v>25.0</v>
      </c>
      <c r="H565" s="36" t="s">
        <v>95</v>
      </c>
      <c r="I565" s="48">
        <v>53000.0</v>
      </c>
      <c r="J565" s="46">
        <f t="shared" si="218"/>
        <v>1325000</v>
      </c>
      <c r="K565" s="46"/>
      <c r="L565" s="46"/>
      <c r="M565" s="46"/>
      <c r="N565" s="46"/>
      <c r="O565" s="24">
        <f t="shared" si="5"/>
        <v>1325000</v>
      </c>
      <c r="P565" s="24">
        <f t="shared" si="6"/>
        <v>1325000</v>
      </c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22"/>
      <c r="C566" s="22"/>
      <c r="D566" s="47" t="s">
        <v>24</v>
      </c>
      <c r="E566" s="35" t="s">
        <v>140</v>
      </c>
      <c r="F566" s="13"/>
      <c r="G566" s="36">
        <v>25.0</v>
      </c>
      <c r="H566" s="36" t="s">
        <v>95</v>
      </c>
      <c r="I566" s="48">
        <v>15000.0</v>
      </c>
      <c r="J566" s="46">
        <f t="shared" si="218"/>
        <v>375000</v>
      </c>
      <c r="K566" s="46"/>
      <c r="L566" s="46"/>
      <c r="M566" s="46"/>
      <c r="N566" s="46"/>
      <c r="O566" s="24">
        <f t="shared" si="5"/>
        <v>375000</v>
      </c>
      <c r="P566" s="24">
        <f t="shared" si="6"/>
        <v>375000</v>
      </c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41" t="s">
        <v>141</v>
      </c>
      <c r="C567" s="13"/>
      <c r="D567" s="41" t="s">
        <v>142</v>
      </c>
      <c r="E567" s="12"/>
      <c r="F567" s="13"/>
      <c r="G567" s="42"/>
      <c r="H567" s="22"/>
      <c r="I567" s="22"/>
      <c r="J567" s="43">
        <f t="shared" ref="J567:K567" si="219">J568</f>
        <v>76750000</v>
      </c>
      <c r="K567" s="43">
        <f t="shared" si="219"/>
        <v>0</v>
      </c>
      <c r="L567" s="43"/>
      <c r="M567" s="43">
        <f>M568</f>
        <v>0</v>
      </c>
      <c r="N567" s="43"/>
      <c r="O567" s="24">
        <f t="shared" si="5"/>
        <v>76750000</v>
      </c>
      <c r="P567" s="24">
        <f t="shared" si="6"/>
        <v>76750000</v>
      </c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35" t="s">
        <v>68</v>
      </c>
      <c r="C568" s="13"/>
      <c r="D568" s="44" t="s">
        <v>69</v>
      </c>
      <c r="E568" s="12"/>
      <c r="F568" s="13"/>
      <c r="G568" s="45"/>
      <c r="H568" s="22"/>
      <c r="I568" s="22"/>
      <c r="J568" s="46">
        <f t="shared" ref="J568:K568" si="220">SUM(J570:J572)</f>
        <v>76750000</v>
      </c>
      <c r="K568" s="46">
        <f t="shared" si="220"/>
        <v>0</v>
      </c>
      <c r="L568" s="46"/>
      <c r="M568" s="46">
        <f>SUM(M570:M572)</f>
        <v>0</v>
      </c>
      <c r="N568" s="46"/>
      <c r="O568" s="24">
        <f t="shared" si="5"/>
        <v>76750000</v>
      </c>
      <c r="P568" s="24">
        <f t="shared" si="6"/>
        <v>76750000</v>
      </c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22"/>
      <c r="C569" s="22"/>
      <c r="D569" s="35" t="s">
        <v>23</v>
      </c>
      <c r="E569" s="12"/>
      <c r="F569" s="13"/>
      <c r="G569" s="36"/>
      <c r="H569" s="22"/>
      <c r="I569" s="22"/>
      <c r="J569" s="22"/>
      <c r="K569" s="22"/>
      <c r="L569" s="22"/>
      <c r="M569" s="22"/>
      <c r="N569" s="22"/>
      <c r="O569" s="24">
        <f t="shared" si="5"/>
        <v>0</v>
      </c>
      <c r="P569" s="24">
        <f t="shared" si="6"/>
        <v>0</v>
      </c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22"/>
      <c r="C570" s="22"/>
      <c r="D570" s="47" t="s">
        <v>24</v>
      </c>
      <c r="E570" s="35" t="s">
        <v>143</v>
      </c>
      <c r="F570" s="13"/>
      <c r="G570" s="36">
        <v>25.0</v>
      </c>
      <c r="H570" s="36" t="s">
        <v>95</v>
      </c>
      <c r="I570" s="48">
        <v>2000000.0</v>
      </c>
      <c r="J570" s="46">
        <f t="shared" ref="J570:J572" si="221">G570*I570</f>
        <v>50000000</v>
      </c>
      <c r="K570" s="46"/>
      <c r="L570" s="46"/>
      <c r="M570" s="46"/>
      <c r="N570" s="46"/>
      <c r="O570" s="24">
        <f t="shared" si="5"/>
        <v>50000000</v>
      </c>
      <c r="P570" s="24">
        <f t="shared" si="6"/>
        <v>50000000</v>
      </c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22"/>
      <c r="C571" s="22"/>
      <c r="D571" s="47" t="s">
        <v>24</v>
      </c>
      <c r="E571" s="35" t="s">
        <v>144</v>
      </c>
      <c r="F571" s="13"/>
      <c r="G571" s="36">
        <v>25.0</v>
      </c>
      <c r="H571" s="36" t="s">
        <v>95</v>
      </c>
      <c r="I571" s="48">
        <v>750000.0</v>
      </c>
      <c r="J571" s="46">
        <f t="shared" si="221"/>
        <v>18750000</v>
      </c>
      <c r="K571" s="46"/>
      <c r="L571" s="46"/>
      <c r="M571" s="46"/>
      <c r="N571" s="46"/>
      <c r="O571" s="24">
        <f t="shared" si="5"/>
        <v>18750000</v>
      </c>
      <c r="P571" s="24">
        <f t="shared" si="6"/>
        <v>18750000</v>
      </c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22"/>
      <c r="C572" s="22"/>
      <c r="D572" s="47" t="s">
        <v>24</v>
      </c>
      <c r="E572" s="35" t="s">
        <v>145</v>
      </c>
      <c r="F572" s="13"/>
      <c r="G572" s="36">
        <v>4.0</v>
      </c>
      <c r="H572" s="36" t="s">
        <v>95</v>
      </c>
      <c r="I572" s="48">
        <v>2000000.0</v>
      </c>
      <c r="J572" s="46">
        <f t="shared" si="221"/>
        <v>8000000</v>
      </c>
      <c r="K572" s="46"/>
      <c r="L572" s="46"/>
      <c r="M572" s="46"/>
      <c r="N572" s="46"/>
      <c r="O572" s="24">
        <f t="shared" si="5"/>
        <v>8000000</v>
      </c>
      <c r="P572" s="24">
        <f t="shared" si="6"/>
        <v>8000000</v>
      </c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41" t="s">
        <v>146</v>
      </c>
      <c r="C573" s="13"/>
      <c r="D573" s="41" t="s">
        <v>147</v>
      </c>
      <c r="E573" s="12"/>
      <c r="F573" s="13"/>
      <c r="G573" s="42"/>
      <c r="H573" s="22"/>
      <c r="I573" s="22"/>
      <c r="J573" s="43">
        <f t="shared" ref="J573:K573" si="222">J574+J581</f>
        <v>182300000</v>
      </c>
      <c r="K573" s="43">
        <f t="shared" si="222"/>
        <v>0</v>
      </c>
      <c r="L573" s="43"/>
      <c r="M573" s="43">
        <f>M574+M581</f>
        <v>0</v>
      </c>
      <c r="N573" s="43"/>
      <c r="O573" s="24">
        <f t="shared" si="5"/>
        <v>182300000</v>
      </c>
      <c r="P573" s="24">
        <f t="shared" si="6"/>
        <v>182300000</v>
      </c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35" t="s">
        <v>74</v>
      </c>
      <c r="C574" s="13"/>
      <c r="D574" s="44" t="s">
        <v>75</v>
      </c>
      <c r="E574" s="12"/>
      <c r="F574" s="13"/>
      <c r="G574" s="45"/>
      <c r="H574" s="22"/>
      <c r="I574" s="22"/>
      <c r="J574" s="46">
        <f t="shared" ref="J574:K574" si="223">SUM(J576:J580)</f>
        <v>158300000</v>
      </c>
      <c r="K574" s="46">
        <f t="shared" si="223"/>
        <v>0</v>
      </c>
      <c r="L574" s="46"/>
      <c r="M574" s="46">
        <f>SUM(M576:M580)</f>
        <v>0</v>
      </c>
      <c r="N574" s="46"/>
      <c r="O574" s="24">
        <f t="shared" si="5"/>
        <v>158300000</v>
      </c>
      <c r="P574" s="24">
        <f t="shared" si="6"/>
        <v>158300000</v>
      </c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22"/>
      <c r="C575" s="22"/>
      <c r="D575" s="35" t="s">
        <v>23</v>
      </c>
      <c r="E575" s="12"/>
      <c r="F575" s="13"/>
      <c r="G575" s="36"/>
      <c r="H575" s="22"/>
      <c r="I575" s="22"/>
      <c r="J575" s="22"/>
      <c r="K575" s="22"/>
      <c r="L575" s="22"/>
      <c r="M575" s="22"/>
      <c r="N575" s="22"/>
      <c r="O575" s="24">
        <f t="shared" si="5"/>
        <v>0</v>
      </c>
      <c r="P575" s="24">
        <f t="shared" si="6"/>
        <v>0</v>
      </c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22"/>
      <c r="C576" s="22"/>
      <c r="D576" s="47" t="s">
        <v>24</v>
      </c>
      <c r="E576" s="35" t="s">
        <v>148</v>
      </c>
      <c r="F576" s="13"/>
      <c r="G576" s="36">
        <v>75.0</v>
      </c>
      <c r="H576" s="36" t="s">
        <v>26</v>
      </c>
      <c r="I576" s="48">
        <v>430000.0</v>
      </c>
      <c r="J576" s="46">
        <f t="shared" ref="J576:J580" si="224">G576*I576</f>
        <v>32250000</v>
      </c>
      <c r="K576" s="46"/>
      <c r="L576" s="46"/>
      <c r="M576" s="46"/>
      <c r="N576" s="46"/>
      <c r="O576" s="24">
        <f t="shared" si="5"/>
        <v>32250000</v>
      </c>
      <c r="P576" s="24">
        <f t="shared" si="6"/>
        <v>32250000</v>
      </c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22"/>
      <c r="C577" s="22"/>
      <c r="D577" s="47" t="s">
        <v>24</v>
      </c>
      <c r="E577" s="35" t="s">
        <v>149</v>
      </c>
      <c r="F577" s="13"/>
      <c r="G577" s="36">
        <v>50.0</v>
      </c>
      <c r="H577" s="36" t="s">
        <v>26</v>
      </c>
      <c r="I577" s="48">
        <v>891000.0</v>
      </c>
      <c r="J577" s="46">
        <f t="shared" si="224"/>
        <v>44550000</v>
      </c>
      <c r="K577" s="46"/>
      <c r="L577" s="46"/>
      <c r="M577" s="46"/>
      <c r="N577" s="46"/>
      <c r="O577" s="24">
        <f t="shared" si="5"/>
        <v>44550000</v>
      </c>
      <c r="P577" s="24">
        <f t="shared" si="6"/>
        <v>44550000</v>
      </c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22"/>
      <c r="C578" s="22"/>
      <c r="D578" s="47" t="s">
        <v>24</v>
      </c>
      <c r="E578" s="35" t="s">
        <v>150</v>
      </c>
      <c r="F578" s="13"/>
      <c r="G578" s="36">
        <v>25.0</v>
      </c>
      <c r="H578" s="36" t="s">
        <v>26</v>
      </c>
      <c r="I578" s="48">
        <v>910000.0</v>
      </c>
      <c r="J578" s="46">
        <f t="shared" si="224"/>
        <v>22750000</v>
      </c>
      <c r="K578" s="46"/>
      <c r="L578" s="46"/>
      <c r="M578" s="46"/>
      <c r="N578" s="46"/>
      <c r="O578" s="24">
        <f t="shared" si="5"/>
        <v>22750000</v>
      </c>
      <c r="P578" s="24">
        <f t="shared" si="6"/>
        <v>22750000</v>
      </c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22"/>
      <c r="C579" s="22"/>
      <c r="D579" s="47" t="s">
        <v>24</v>
      </c>
      <c r="E579" s="35" t="s">
        <v>151</v>
      </c>
      <c r="F579" s="13"/>
      <c r="G579" s="36">
        <v>50.0</v>
      </c>
      <c r="H579" s="36" t="s">
        <v>26</v>
      </c>
      <c r="I579" s="48">
        <v>500000.0</v>
      </c>
      <c r="J579" s="46">
        <f t="shared" si="224"/>
        <v>25000000</v>
      </c>
      <c r="K579" s="46"/>
      <c r="L579" s="46"/>
      <c r="M579" s="46"/>
      <c r="N579" s="46"/>
      <c r="O579" s="24">
        <f t="shared" si="5"/>
        <v>25000000</v>
      </c>
      <c r="P579" s="24">
        <f t="shared" si="6"/>
        <v>25000000</v>
      </c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22"/>
      <c r="C580" s="22"/>
      <c r="D580" s="47" t="s">
        <v>24</v>
      </c>
      <c r="E580" s="35" t="s">
        <v>152</v>
      </c>
      <c r="F580" s="13"/>
      <c r="G580" s="36">
        <v>75.0</v>
      </c>
      <c r="H580" s="36" t="s">
        <v>26</v>
      </c>
      <c r="I580" s="48">
        <v>450000.0</v>
      </c>
      <c r="J580" s="46">
        <f t="shared" si="224"/>
        <v>33750000</v>
      </c>
      <c r="K580" s="46"/>
      <c r="L580" s="46"/>
      <c r="M580" s="46"/>
      <c r="N580" s="46"/>
      <c r="O580" s="24">
        <f t="shared" si="5"/>
        <v>33750000</v>
      </c>
      <c r="P580" s="24">
        <f t="shared" si="6"/>
        <v>33750000</v>
      </c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35" t="s">
        <v>79</v>
      </c>
      <c r="C581" s="13"/>
      <c r="D581" s="44" t="s">
        <v>80</v>
      </c>
      <c r="E581" s="12"/>
      <c r="F581" s="13"/>
      <c r="G581" s="45"/>
      <c r="H581" s="22"/>
      <c r="I581" s="22"/>
      <c r="J581" s="46">
        <f t="shared" ref="J581:K581" si="225">J583</f>
        <v>24000000</v>
      </c>
      <c r="K581" s="46" t="str">
        <f t="shared" si="225"/>
        <v/>
      </c>
      <c r="L581" s="46"/>
      <c r="M581" s="46" t="str">
        <f>M583</f>
        <v/>
      </c>
      <c r="N581" s="46"/>
      <c r="O581" s="24">
        <f t="shared" si="5"/>
        <v>24000000</v>
      </c>
      <c r="P581" s="24">
        <f t="shared" si="6"/>
        <v>24000000</v>
      </c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22"/>
      <c r="C582" s="22"/>
      <c r="D582" s="35" t="s">
        <v>23</v>
      </c>
      <c r="E582" s="12"/>
      <c r="F582" s="13"/>
      <c r="G582" s="36"/>
      <c r="H582" s="22"/>
      <c r="I582" s="22"/>
      <c r="J582" s="22"/>
      <c r="K582" s="22"/>
      <c r="L582" s="22"/>
      <c r="M582" s="22"/>
      <c r="N582" s="22"/>
      <c r="O582" s="24">
        <f t="shared" si="5"/>
        <v>0</v>
      </c>
      <c r="P582" s="24">
        <f t="shared" si="6"/>
        <v>0</v>
      </c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22"/>
      <c r="C583" s="22"/>
      <c r="D583" s="47" t="s">
        <v>24</v>
      </c>
      <c r="E583" s="35" t="s">
        <v>153</v>
      </c>
      <c r="F583" s="13"/>
      <c r="G583" s="36">
        <v>160.0</v>
      </c>
      <c r="H583" s="36" t="s">
        <v>26</v>
      </c>
      <c r="I583" s="48">
        <v>150000.0</v>
      </c>
      <c r="J583" s="46">
        <f>G583*I583</f>
        <v>24000000</v>
      </c>
      <c r="K583" s="46"/>
      <c r="L583" s="46"/>
      <c r="M583" s="46"/>
      <c r="N583" s="46"/>
      <c r="O583" s="24">
        <f t="shared" si="5"/>
        <v>24000000</v>
      </c>
      <c r="P583" s="24">
        <f t="shared" si="6"/>
        <v>24000000</v>
      </c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0" customHeight="1">
      <c r="A584" s="1"/>
      <c r="B584" s="37" t="s">
        <v>208</v>
      </c>
      <c r="C584" s="13"/>
      <c r="D584" s="37" t="s">
        <v>209</v>
      </c>
      <c r="E584" s="12"/>
      <c r="F584" s="13"/>
      <c r="G584" s="38"/>
      <c r="H584" s="38"/>
      <c r="I584" s="39"/>
      <c r="J584" s="40">
        <f t="shared" ref="J584:K584" si="226">J585+J599+J611+J624+J641+J650+J660+J665+J681+J695+J703+J711+J717</f>
        <v>3064496000</v>
      </c>
      <c r="K584" s="40">
        <f t="shared" si="226"/>
        <v>40651000</v>
      </c>
      <c r="L584" s="40"/>
      <c r="M584" s="40">
        <f>M585+M599+M611+M624+M641+M650+M660+M665+M681+M695+M703+M711+M717</f>
        <v>56500261</v>
      </c>
      <c r="N584" s="40"/>
      <c r="O584" s="24">
        <f t="shared" si="5"/>
        <v>3023845000</v>
      </c>
      <c r="P584" s="24">
        <f t="shared" si="6"/>
        <v>3007995739</v>
      </c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41" t="s">
        <v>20</v>
      </c>
      <c r="C585" s="13"/>
      <c r="D585" s="41" t="s">
        <v>21</v>
      </c>
      <c r="E585" s="12"/>
      <c r="F585" s="13"/>
      <c r="G585" s="42"/>
      <c r="H585" s="22"/>
      <c r="I585" s="22"/>
      <c r="J585" s="43">
        <f t="shared" ref="J585:K585" si="227">J586+J595</f>
        <v>142640000</v>
      </c>
      <c r="K585" s="43">
        <f t="shared" si="227"/>
        <v>0</v>
      </c>
      <c r="L585" s="43"/>
      <c r="M585" s="43">
        <f>M586+M595</f>
        <v>13496750</v>
      </c>
      <c r="N585" s="43"/>
      <c r="O585" s="24">
        <f t="shared" si="5"/>
        <v>142640000</v>
      </c>
      <c r="P585" s="24">
        <f t="shared" si="6"/>
        <v>129143250</v>
      </c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35" t="s">
        <v>40</v>
      </c>
      <c r="C586" s="13"/>
      <c r="D586" s="44" t="s">
        <v>22</v>
      </c>
      <c r="E586" s="12"/>
      <c r="F586" s="13"/>
      <c r="G586" s="45"/>
      <c r="H586" s="22"/>
      <c r="I586" s="22"/>
      <c r="J586" s="46">
        <f t="shared" ref="J586:K586" si="228">SUM(J588:J594)</f>
        <v>130640000</v>
      </c>
      <c r="K586" s="46">
        <f t="shared" si="228"/>
        <v>0</v>
      </c>
      <c r="L586" s="46"/>
      <c r="M586" s="46">
        <f>SUM(M588:M594)</f>
        <v>7996750</v>
      </c>
      <c r="N586" s="46"/>
      <c r="O586" s="24">
        <f t="shared" si="5"/>
        <v>130640000</v>
      </c>
      <c r="P586" s="24">
        <f t="shared" si="6"/>
        <v>122643250</v>
      </c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22"/>
      <c r="C587" s="22"/>
      <c r="D587" s="35" t="s">
        <v>23</v>
      </c>
      <c r="E587" s="12"/>
      <c r="F587" s="13"/>
      <c r="G587" s="36"/>
      <c r="H587" s="22"/>
      <c r="I587" s="22"/>
      <c r="J587" s="22"/>
      <c r="K587" s="22"/>
      <c r="L587" s="22"/>
      <c r="M587" s="22"/>
      <c r="N587" s="22"/>
      <c r="O587" s="24">
        <f t="shared" si="5"/>
        <v>0</v>
      </c>
      <c r="P587" s="24">
        <f t="shared" si="6"/>
        <v>0</v>
      </c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22"/>
      <c r="C588" s="22"/>
      <c r="D588" s="47" t="s">
        <v>24</v>
      </c>
      <c r="E588" s="35" t="s">
        <v>156</v>
      </c>
      <c r="F588" s="13"/>
      <c r="G588" s="36">
        <v>24.0</v>
      </c>
      <c r="H588" s="36" t="s">
        <v>26</v>
      </c>
      <c r="I588" s="48">
        <v>500000.0</v>
      </c>
      <c r="J588" s="46">
        <f t="shared" ref="J588:J594" si="229">G588*I588</f>
        <v>12000000</v>
      </c>
      <c r="K588" s="46"/>
      <c r="L588" s="46"/>
      <c r="M588" s="53">
        <v>418000.0</v>
      </c>
      <c r="N588" s="46"/>
      <c r="O588" s="24">
        <f t="shared" si="5"/>
        <v>12000000</v>
      </c>
      <c r="P588" s="24">
        <f t="shared" si="6"/>
        <v>11582000</v>
      </c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22"/>
      <c r="C589" s="22"/>
      <c r="D589" s="47" t="s">
        <v>24</v>
      </c>
      <c r="E589" s="35" t="s">
        <v>27</v>
      </c>
      <c r="F589" s="13"/>
      <c r="G589" s="36">
        <v>2.0</v>
      </c>
      <c r="H589" s="36" t="s">
        <v>26</v>
      </c>
      <c r="I589" s="48">
        <v>2000000.0</v>
      </c>
      <c r="J589" s="46">
        <f t="shared" si="229"/>
        <v>4000000</v>
      </c>
      <c r="K589" s="46"/>
      <c r="L589" s="46"/>
      <c r="M589" s="53">
        <v>2093500.0</v>
      </c>
      <c r="N589" s="46"/>
      <c r="O589" s="24">
        <f t="shared" si="5"/>
        <v>4000000</v>
      </c>
      <c r="P589" s="24">
        <f t="shared" si="6"/>
        <v>1906500</v>
      </c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22"/>
      <c r="C590" s="22"/>
      <c r="D590" s="47" t="s">
        <v>24</v>
      </c>
      <c r="E590" s="35" t="s">
        <v>28</v>
      </c>
      <c r="F590" s="13"/>
      <c r="G590" s="36">
        <v>10.0</v>
      </c>
      <c r="H590" s="36" t="s">
        <v>26</v>
      </c>
      <c r="I590" s="48">
        <v>500000.0</v>
      </c>
      <c r="J590" s="46">
        <f t="shared" si="229"/>
        <v>5000000</v>
      </c>
      <c r="K590" s="46"/>
      <c r="L590" s="46"/>
      <c r="M590" s="53">
        <v>0.0</v>
      </c>
      <c r="N590" s="46"/>
      <c r="O590" s="24">
        <f t="shared" si="5"/>
        <v>5000000</v>
      </c>
      <c r="P590" s="24">
        <f t="shared" si="6"/>
        <v>5000000</v>
      </c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22"/>
      <c r="C591" s="22"/>
      <c r="D591" s="47" t="s">
        <v>24</v>
      </c>
      <c r="E591" s="35" t="s">
        <v>157</v>
      </c>
      <c r="F591" s="13"/>
      <c r="G591" s="36">
        <v>200.0</v>
      </c>
      <c r="H591" s="36" t="s">
        <v>26</v>
      </c>
      <c r="I591" s="48">
        <v>25000.0</v>
      </c>
      <c r="J591" s="46">
        <f t="shared" si="229"/>
        <v>5000000</v>
      </c>
      <c r="K591" s="46"/>
      <c r="L591" s="46"/>
      <c r="M591" s="53">
        <v>0.0</v>
      </c>
      <c r="N591" s="46"/>
      <c r="O591" s="24">
        <f t="shared" si="5"/>
        <v>5000000</v>
      </c>
      <c r="P591" s="24">
        <f t="shared" si="6"/>
        <v>5000000</v>
      </c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22"/>
      <c r="C592" s="22"/>
      <c r="D592" s="47" t="s">
        <v>24</v>
      </c>
      <c r="E592" s="35" t="s">
        <v>31</v>
      </c>
      <c r="F592" s="13"/>
      <c r="G592" s="36">
        <v>320.0</v>
      </c>
      <c r="H592" s="36" t="s">
        <v>26</v>
      </c>
      <c r="I592" s="48">
        <v>53000.0</v>
      </c>
      <c r="J592" s="46">
        <f t="shared" si="229"/>
        <v>16960000</v>
      </c>
      <c r="K592" s="46"/>
      <c r="L592" s="46"/>
      <c r="M592" s="53">
        <v>2160000.0</v>
      </c>
      <c r="N592" s="46"/>
      <c r="O592" s="24">
        <f t="shared" si="5"/>
        <v>16960000</v>
      </c>
      <c r="P592" s="24">
        <f t="shared" si="6"/>
        <v>14800000</v>
      </c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22"/>
      <c r="C593" s="22"/>
      <c r="D593" s="47" t="s">
        <v>24</v>
      </c>
      <c r="E593" s="35" t="s">
        <v>32</v>
      </c>
      <c r="F593" s="13"/>
      <c r="G593" s="36">
        <v>320.0</v>
      </c>
      <c r="H593" s="36" t="s">
        <v>26</v>
      </c>
      <c r="I593" s="48">
        <v>24000.0</v>
      </c>
      <c r="J593" s="46">
        <f t="shared" si="229"/>
        <v>7680000</v>
      </c>
      <c r="K593" s="46"/>
      <c r="L593" s="46"/>
      <c r="M593" s="53">
        <v>0.0</v>
      </c>
      <c r="N593" s="46"/>
      <c r="O593" s="24">
        <f t="shared" si="5"/>
        <v>7680000</v>
      </c>
      <c r="P593" s="24">
        <f t="shared" si="6"/>
        <v>7680000</v>
      </c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22"/>
      <c r="C594" s="22"/>
      <c r="D594" s="47" t="s">
        <v>24</v>
      </c>
      <c r="E594" s="35" t="s">
        <v>158</v>
      </c>
      <c r="F594" s="13"/>
      <c r="G594" s="36">
        <v>100.0</v>
      </c>
      <c r="H594" s="36" t="s">
        <v>26</v>
      </c>
      <c r="I594" s="48">
        <v>800000.0</v>
      </c>
      <c r="J594" s="46">
        <f t="shared" si="229"/>
        <v>80000000</v>
      </c>
      <c r="K594" s="46"/>
      <c r="L594" s="46"/>
      <c r="M594" s="53">
        <v>3325250.0</v>
      </c>
      <c r="N594" s="46"/>
      <c r="O594" s="24">
        <f t="shared" si="5"/>
        <v>80000000</v>
      </c>
      <c r="P594" s="24">
        <f t="shared" si="6"/>
        <v>76674750</v>
      </c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35" t="s">
        <v>58</v>
      </c>
      <c r="C595" s="13"/>
      <c r="D595" s="44" t="s">
        <v>34</v>
      </c>
      <c r="E595" s="12"/>
      <c r="F595" s="13"/>
      <c r="G595" s="45"/>
      <c r="H595" s="22"/>
      <c r="I595" s="22"/>
      <c r="J595" s="46">
        <f t="shared" ref="J595:K595" si="230">SUM(J597:J598)</f>
        <v>12000000</v>
      </c>
      <c r="K595" s="46">
        <f t="shared" si="230"/>
        <v>0</v>
      </c>
      <c r="L595" s="46"/>
      <c r="M595" s="46">
        <f>SUM(M597:M598)</f>
        <v>5500000</v>
      </c>
      <c r="N595" s="46"/>
      <c r="O595" s="24">
        <f t="shared" si="5"/>
        <v>12000000</v>
      </c>
      <c r="P595" s="24">
        <f t="shared" si="6"/>
        <v>6500000</v>
      </c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22"/>
      <c r="C596" s="22"/>
      <c r="D596" s="35" t="s">
        <v>23</v>
      </c>
      <c r="E596" s="12"/>
      <c r="F596" s="13"/>
      <c r="G596" s="36"/>
      <c r="H596" s="22"/>
      <c r="I596" s="22"/>
      <c r="J596" s="22"/>
      <c r="K596" s="22"/>
      <c r="L596" s="22"/>
      <c r="M596" s="22"/>
      <c r="N596" s="22"/>
      <c r="O596" s="24">
        <f t="shared" si="5"/>
        <v>0</v>
      </c>
      <c r="P596" s="24">
        <f t="shared" si="6"/>
        <v>0</v>
      </c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22"/>
      <c r="C597" s="22"/>
      <c r="D597" s="47" t="s">
        <v>24</v>
      </c>
      <c r="E597" s="35" t="s">
        <v>159</v>
      </c>
      <c r="F597" s="13"/>
      <c r="G597" s="36">
        <v>16.0</v>
      </c>
      <c r="H597" s="36" t="s">
        <v>26</v>
      </c>
      <c r="I597" s="48">
        <v>500000.0</v>
      </c>
      <c r="J597" s="46">
        <f t="shared" ref="J597:J598" si="231">G597*I597</f>
        <v>8000000</v>
      </c>
      <c r="K597" s="46"/>
      <c r="L597" s="46"/>
      <c r="M597" s="53">
        <v>3500000.0</v>
      </c>
      <c r="N597" s="46"/>
      <c r="O597" s="24">
        <f t="shared" si="5"/>
        <v>8000000</v>
      </c>
      <c r="P597" s="24">
        <f t="shared" si="6"/>
        <v>4500000</v>
      </c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22"/>
      <c r="C598" s="22"/>
      <c r="D598" s="47" t="s">
        <v>24</v>
      </c>
      <c r="E598" s="35" t="s">
        <v>36</v>
      </c>
      <c r="F598" s="13"/>
      <c r="G598" s="36">
        <v>8.0</v>
      </c>
      <c r="H598" s="36" t="s">
        <v>26</v>
      </c>
      <c r="I598" s="48">
        <v>500000.0</v>
      </c>
      <c r="J598" s="46">
        <f t="shared" si="231"/>
        <v>4000000</v>
      </c>
      <c r="K598" s="46"/>
      <c r="L598" s="46"/>
      <c r="M598" s="53">
        <v>2000000.0</v>
      </c>
      <c r="N598" s="46"/>
      <c r="O598" s="24">
        <f t="shared" si="5"/>
        <v>4000000</v>
      </c>
      <c r="P598" s="24">
        <f t="shared" si="6"/>
        <v>2000000</v>
      </c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41" t="s">
        <v>37</v>
      </c>
      <c r="C599" s="13"/>
      <c r="D599" s="41" t="s">
        <v>38</v>
      </c>
      <c r="E599" s="12"/>
      <c r="F599" s="13"/>
      <c r="G599" s="42"/>
      <c r="H599" s="22"/>
      <c r="I599" s="22"/>
      <c r="J599" s="43">
        <f t="shared" ref="J599:K599" si="232">J600+J605+J608</f>
        <v>24400000</v>
      </c>
      <c r="K599" s="43">
        <f t="shared" si="232"/>
        <v>0</v>
      </c>
      <c r="L599" s="43"/>
      <c r="M599" s="43">
        <f>M600+M605+M608</f>
        <v>0</v>
      </c>
      <c r="N599" s="43"/>
      <c r="O599" s="24">
        <f t="shared" si="5"/>
        <v>24400000</v>
      </c>
      <c r="P599" s="24">
        <f t="shared" si="6"/>
        <v>24400000</v>
      </c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35" t="s">
        <v>40</v>
      </c>
      <c r="C600" s="13"/>
      <c r="D600" s="44" t="s">
        <v>22</v>
      </c>
      <c r="E600" s="12"/>
      <c r="F600" s="13"/>
      <c r="G600" s="45"/>
      <c r="H600" s="22"/>
      <c r="I600" s="22"/>
      <c r="J600" s="46">
        <f t="shared" ref="J600:K600" si="233">SUM(J602:J604)</f>
        <v>6400000</v>
      </c>
      <c r="K600" s="46">
        <f t="shared" si="233"/>
        <v>0</v>
      </c>
      <c r="L600" s="46"/>
      <c r="M600" s="46">
        <f>SUM(M602:M604)</f>
        <v>0</v>
      </c>
      <c r="N600" s="46"/>
      <c r="O600" s="24">
        <f t="shared" si="5"/>
        <v>6400000</v>
      </c>
      <c r="P600" s="24">
        <f t="shared" si="6"/>
        <v>6400000</v>
      </c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22"/>
      <c r="C601" s="22"/>
      <c r="D601" s="35" t="s">
        <v>23</v>
      </c>
      <c r="E601" s="12"/>
      <c r="F601" s="13"/>
      <c r="G601" s="36"/>
      <c r="H601" s="22"/>
      <c r="I601" s="22"/>
      <c r="J601" s="22"/>
      <c r="K601" s="22"/>
      <c r="L601" s="22"/>
      <c r="M601" s="22"/>
      <c r="N601" s="22"/>
      <c r="O601" s="24">
        <f t="shared" si="5"/>
        <v>0</v>
      </c>
      <c r="P601" s="24">
        <f t="shared" si="6"/>
        <v>0</v>
      </c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22"/>
      <c r="C602" s="22"/>
      <c r="D602" s="47" t="s">
        <v>24</v>
      </c>
      <c r="E602" s="35" t="s">
        <v>160</v>
      </c>
      <c r="F602" s="13"/>
      <c r="G602" s="36">
        <v>100.0</v>
      </c>
      <c r="H602" s="36" t="s">
        <v>26</v>
      </c>
      <c r="I602" s="48">
        <v>53000.0</v>
      </c>
      <c r="J602" s="46">
        <f t="shared" ref="J602:J604" si="234">G602*I602</f>
        <v>5300000</v>
      </c>
      <c r="K602" s="46"/>
      <c r="L602" s="46"/>
      <c r="M602" s="46"/>
      <c r="N602" s="46"/>
      <c r="O602" s="24">
        <f t="shared" si="5"/>
        <v>5300000</v>
      </c>
      <c r="P602" s="24">
        <f t="shared" si="6"/>
        <v>5300000</v>
      </c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22"/>
      <c r="C603" s="22"/>
      <c r="D603" s="47" t="s">
        <v>24</v>
      </c>
      <c r="E603" s="35" t="s">
        <v>42</v>
      </c>
      <c r="F603" s="13"/>
      <c r="G603" s="36">
        <v>2.0</v>
      </c>
      <c r="H603" s="36" t="s">
        <v>26</v>
      </c>
      <c r="I603" s="48">
        <v>250000.0</v>
      </c>
      <c r="J603" s="46">
        <f t="shared" si="234"/>
        <v>500000</v>
      </c>
      <c r="K603" s="46"/>
      <c r="L603" s="46"/>
      <c r="M603" s="46"/>
      <c r="N603" s="46"/>
      <c r="O603" s="24">
        <f t="shared" si="5"/>
        <v>500000</v>
      </c>
      <c r="P603" s="24">
        <f t="shared" si="6"/>
        <v>500000</v>
      </c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22"/>
      <c r="C604" s="22"/>
      <c r="D604" s="47" t="s">
        <v>24</v>
      </c>
      <c r="E604" s="35" t="s">
        <v>43</v>
      </c>
      <c r="F604" s="13"/>
      <c r="G604" s="36">
        <v>2.0</v>
      </c>
      <c r="H604" s="36" t="s">
        <v>26</v>
      </c>
      <c r="I604" s="48">
        <v>300000.0</v>
      </c>
      <c r="J604" s="46">
        <f t="shared" si="234"/>
        <v>600000</v>
      </c>
      <c r="K604" s="46"/>
      <c r="L604" s="46"/>
      <c r="M604" s="46"/>
      <c r="N604" s="46"/>
      <c r="O604" s="24">
        <f t="shared" si="5"/>
        <v>600000</v>
      </c>
      <c r="P604" s="24">
        <f t="shared" si="6"/>
        <v>600000</v>
      </c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35" t="s">
        <v>44</v>
      </c>
      <c r="C605" s="13"/>
      <c r="D605" s="44" t="s">
        <v>45</v>
      </c>
      <c r="E605" s="12"/>
      <c r="F605" s="13"/>
      <c r="G605" s="45"/>
      <c r="H605" s="22"/>
      <c r="I605" s="22"/>
      <c r="J605" s="46">
        <f t="shared" ref="J605:K605" si="235">J607</f>
        <v>2000000</v>
      </c>
      <c r="K605" s="46" t="str">
        <f t="shared" si="235"/>
        <v/>
      </c>
      <c r="L605" s="46"/>
      <c r="M605" s="46" t="str">
        <f>M607</f>
        <v/>
      </c>
      <c r="N605" s="46"/>
      <c r="O605" s="24">
        <f t="shared" si="5"/>
        <v>2000000</v>
      </c>
      <c r="P605" s="24">
        <f t="shared" si="6"/>
        <v>2000000</v>
      </c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22"/>
      <c r="C606" s="22"/>
      <c r="D606" s="35" t="s">
        <v>23</v>
      </c>
      <c r="E606" s="12"/>
      <c r="F606" s="13"/>
      <c r="G606" s="36"/>
      <c r="H606" s="22"/>
      <c r="I606" s="22"/>
      <c r="J606" s="22"/>
      <c r="K606" s="22"/>
      <c r="L606" s="22"/>
      <c r="M606" s="22"/>
      <c r="N606" s="22"/>
      <c r="O606" s="24">
        <f t="shared" si="5"/>
        <v>0</v>
      </c>
      <c r="P606" s="24">
        <f t="shared" si="6"/>
        <v>0</v>
      </c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22"/>
      <c r="C607" s="22"/>
      <c r="D607" s="47" t="s">
        <v>24</v>
      </c>
      <c r="E607" s="35" t="s">
        <v>161</v>
      </c>
      <c r="F607" s="13"/>
      <c r="G607" s="36">
        <v>4.0</v>
      </c>
      <c r="H607" s="36" t="s">
        <v>26</v>
      </c>
      <c r="I607" s="48">
        <v>500000.0</v>
      </c>
      <c r="J607" s="46">
        <f>G607*I607</f>
        <v>2000000</v>
      </c>
      <c r="K607" s="46"/>
      <c r="L607" s="46"/>
      <c r="M607" s="46"/>
      <c r="N607" s="46"/>
      <c r="O607" s="24">
        <f t="shared" si="5"/>
        <v>2000000</v>
      </c>
      <c r="P607" s="24">
        <f t="shared" si="6"/>
        <v>2000000</v>
      </c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35" t="s">
        <v>47</v>
      </c>
      <c r="C608" s="13"/>
      <c r="D608" s="44" t="s">
        <v>48</v>
      </c>
      <c r="E608" s="12"/>
      <c r="F608" s="13"/>
      <c r="G608" s="45"/>
      <c r="H608" s="22"/>
      <c r="I608" s="22"/>
      <c r="J608" s="46">
        <f t="shared" ref="J608:K608" si="236">J610</f>
        <v>16000000</v>
      </c>
      <c r="K608" s="46" t="str">
        <f t="shared" si="236"/>
        <v/>
      </c>
      <c r="L608" s="46"/>
      <c r="M608" s="46" t="str">
        <f>M610</f>
        <v/>
      </c>
      <c r="N608" s="46"/>
      <c r="O608" s="24">
        <f t="shared" si="5"/>
        <v>16000000</v>
      </c>
      <c r="P608" s="24">
        <f t="shared" si="6"/>
        <v>16000000</v>
      </c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22"/>
      <c r="C609" s="22"/>
      <c r="D609" s="35" t="s">
        <v>23</v>
      </c>
      <c r="E609" s="12"/>
      <c r="F609" s="13"/>
      <c r="G609" s="36"/>
      <c r="H609" s="22"/>
      <c r="I609" s="22"/>
      <c r="J609" s="22"/>
      <c r="K609" s="22"/>
      <c r="L609" s="22"/>
      <c r="M609" s="22"/>
      <c r="N609" s="22"/>
      <c r="O609" s="24">
        <f t="shared" si="5"/>
        <v>0</v>
      </c>
      <c r="P609" s="24">
        <f t="shared" si="6"/>
        <v>0</v>
      </c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22"/>
      <c r="C610" s="22"/>
      <c r="D610" s="47" t="s">
        <v>24</v>
      </c>
      <c r="E610" s="35" t="s">
        <v>162</v>
      </c>
      <c r="F610" s="13"/>
      <c r="G610" s="36">
        <v>4.0</v>
      </c>
      <c r="H610" s="36" t="s">
        <v>26</v>
      </c>
      <c r="I610" s="48">
        <v>4000000.0</v>
      </c>
      <c r="J610" s="46">
        <f>G610*I610</f>
        <v>16000000</v>
      </c>
      <c r="K610" s="46"/>
      <c r="L610" s="46"/>
      <c r="M610" s="46"/>
      <c r="N610" s="46"/>
      <c r="O610" s="24">
        <f t="shared" si="5"/>
        <v>16000000</v>
      </c>
      <c r="P610" s="24">
        <f t="shared" si="6"/>
        <v>16000000</v>
      </c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41" t="s">
        <v>50</v>
      </c>
      <c r="C611" s="13"/>
      <c r="D611" s="41" t="s">
        <v>51</v>
      </c>
      <c r="E611" s="12"/>
      <c r="F611" s="13"/>
      <c r="G611" s="42"/>
      <c r="H611" s="22"/>
      <c r="I611" s="22"/>
      <c r="J611" s="43">
        <f t="shared" ref="J611:K611" si="237">J612+J618+J621</f>
        <v>56050000</v>
      </c>
      <c r="K611" s="43">
        <f t="shared" si="237"/>
        <v>0</v>
      </c>
      <c r="L611" s="43"/>
      <c r="M611" s="43">
        <f>M612+M618+M621</f>
        <v>1500000</v>
      </c>
      <c r="N611" s="43"/>
      <c r="O611" s="24">
        <f t="shared" si="5"/>
        <v>56050000</v>
      </c>
      <c r="P611" s="24">
        <f t="shared" si="6"/>
        <v>54550000</v>
      </c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35" t="s">
        <v>40</v>
      </c>
      <c r="C612" s="13"/>
      <c r="D612" s="44" t="s">
        <v>22</v>
      </c>
      <c r="E612" s="12"/>
      <c r="F612" s="13"/>
      <c r="G612" s="45"/>
      <c r="H612" s="22"/>
      <c r="I612" s="22"/>
      <c r="J612" s="46">
        <f t="shared" ref="J612:K612" si="238">SUM(J614:J617)</f>
        <v>38050000</v>
      </c>
      <c r="K612" s="46">
        <f t="shared" si="238"/>
        <v>0</v>
      </c>
      <c r="L612" s="46"/>
      <c r="M612" s="46">
        <f>SUM(M614:M617)</f>
        <v>0</v>
      </c>
      <c r="N612" s="46"/>
      <c r="O612" s="24">
        <f t="shared" si="5"/>
        <v>38050000</v>
      </c>
      <c r="P612" s="24">
        <f t="shared" si="6"/>
        <v>38050000</v>
      </c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22"/>
      <c r="C613" s="22"/>
      <c r="D613" s="35" t="s">
        <v>23</v>
      </c>
      <c r="E613" s="12"/>
      <c r="F613" s="13"/>
      <c r="G613" s="36"/>
      <c r="H613" s="22"/>
      <c r="I613" s="22"/>
      <c r="J613" s="22"/>
      <c r="K613" s="22"/>
      <c r="L613" s="22"/>
      <c r="M613" s="22"/>
      <c r="N613" s="22"/>
      <c r="O613" s="24">
        <f t="shared" si="5"/>
        <v>0</v>
      </c>
      <c r="P613" s="24">
        <f t="shared" si="6"/>
        <v>0</v>
      </c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22"/>
      <c r="C614" s="22"/>
      <c r="D614" s="47" t="s">
        <v>24</v>
      </c>
      <c r="E614" s="35" t="s">
        <v>163</v>
      </c>
      <c r="F614" s="13"/>
      <c r="G614" s="36">
        <v>100.0</v>
      </c>
      <c r="H614" s="36" t="s">
        <v>26</v>
      </c>
      <c r="I614" s="48">
        <v>53000.0</v>
      </c>
      <c r="J614" s="46">
        <f t="shared" ref="J614:J617" si="239">G614*I614</f>
        <v>5300000</v>
      </c>
      <c r="K614" s="46"/>
      <c r="L614" s="46"/>
      <c r="M614" s="46"/>
      <c r="N614" s="46"/>
      <c r="O614" s="24">
        <f t="shared" si="5"/>
        <v>5300000</v>
      </c>
      <c r="P614" s="24">
        <f t="shared" si="6"/>
        <v>5300000</v>
      </c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22"/>
      <c r="C615" s="22"/>
      <c r="D615" s="47" t="s">
        <v>24</v>
      </c>
      <c r="E615" s="35" t="s">
        <v>53</v>
      </c>
      <c r="F615" s="13"/>
      <c r="G615" s="36">
        <v>5.0</v>
      </c>
      <c r="H615" s="36" t="s">
        <v>26</v>
      </c>
      <c r="I615" s="48">
        <v>500000.0</v>
      </c>
      <c r="J615" s="46">
        <f t="shared" si="239"/>
        <v>2500000</v>
      </c>
      <c r="K615" s="46"/>
      <c r="L615" s="46"/>
      <c r="M615" s="46"/>
      <c r="N615" s="46"/>
      <c r="O615" s="24">
        <f t="shared" si="5"/>
        <v>2500000</v>
      </c>
      <c r="P615" s="24">
        <f t="shared" si="6"/>
        <v>2500000</v>
      </c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22"/>
      <c r="C616" s="22"/>
      <c r="D616" s="47" t="s">
        <v>24</v>
      </c>
      <c r="E616" s="35" t="s">
        <v>54</v>
      </c>
      <c r="F616" s="13"/>
      <c r="G616" s="36">
        <v>1.0</v>
      </c>
      <c r="H616" s="36" t="s">
        <v>55</v>
      </c>
      <c r="I616" s="48">
        <v>250000.0</v>
      </c>
      <c r="J616" s="46">
        <f t="shared" si="239"/>
        <v>250000</v>
      </c>
      <c r="K616" s="46"/>
      <c r="L616" s="46"/>
      <c r="M616" s="46"/>
      <c r="N616" s="46"/>
      <c r="O616" s="24">
        <f t="shared" si="5"/>
        <v>250000</v>
      </c>
      <c r="P616" s="24">
        <f t="shared" si="6"/>
        <v>250000</v>
      </c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22"/>
      <c r="C617" s="22"/>
      <c r="D617" s="47" t="s">
        <v>24</v>
      </c>
      <c r="E617" s="35" t="s">
        <v>164</v>
      </c>
      <c r="F617" s="13"/>
      <c r="G617" s="36">
        <v>100.0</v>
      </c>
      <c r="H617" s="36" t="s">
        <v>26</v>
      </c>
      <c r="I617" s="48">
        <v>300000.0</v>
      </c>
      <c r="J617" s="46">
        <f t="shared" si="239"/>
        <v>30000000</v>
      </c>
      <c r="K617" s="46"/>
      <c r="L617" s="46"/>
      <c r="M617" s="46"/>
      <c r="N617" s="46"/>
      <c r="O617" s="24">
        <f t="shared" si="5"/>
        <v>30000000</v>
      </c>
      <c r="P617" s="24">
        <f t="shared" si="6"/>
        <v>30000000</v>
      </c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35" t="s">
        <v>47</v>
      </c>
      <c r="C618" s="13"/>
      <c r="D618" s="44" t="s">
        <v>48</v>
      </c>
      <c r="E618" s="12"/>
      <c r="F618" s="13"/>
      <c r="G618" s="45"/>
      <c r="H618" s="22"/>
      <c r="I618" s="22"/>
      <c r="J618" s="46">
        <f t="shared" ref="J618:K618" si="240">J620</f>
        <v>16000000</v>
      </c>
      <c r="K618" s="46" t="str">
        <f t="shared" si="240"/>
        <v/>
      </c>
      <c r="L618" s="46"/>
      <c r="M618" s="46" t="str">
        <f>M620</f>
        <v/>
      </c>
      <c r="N618" s="46"/>
      <c r="O618" s="24">
        <f t="shared" si="5"/>
        <v>16000000</v>
      </c>
      <c r="P618" s="24">
        <f t="shared" si="6"/>
        <v>16000000</v>
      </c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22"/>
      <c r="C619" s="22"/>
      <c r="D619" s="35" t="s">
        <v>23</v>
      </c>
      <c r="E619" s="12"/>
      <c r="F619" s="13"/>
      <c r="G619" s="36"/>
      <c r="H619" s="22"/>
      <c r="I619" s="22"/>
      <c r="J619" s="22"/>
      <c r="K619" s="22"/>
      <c r="L619" s="22"/>
      <c r="M619" s="22"/>
      <c r="N619" s="22"/>
      <c r="O619" s="24">
        <f t="shared" si="5"/>
        <v>0</v>
      </c>
      <c r="P619" s="24">
        <f t="shared" si="6"/>
        <v>0</v>
      </c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22"/>
      <c r="C620" s="22"/>
      <c r="D620" s="47" t="s">
        <v>24</v>
      </c>
      <c r="E620" s="35" t="s">
        <v>165</v>
      </c>
      <c r="F620" s="13"/>
      <c r="G620" s="36">
        <v>4.0</v>
      </c>
      <c r="H620" s="36" t="s">
        <v>26</v>
      </c>
      <c r="I620" s="48">
        <v>4000000.0</v>
      </c>
      <c r="J620" s="46">
        <f>G620*I620</f>
        <v>16000000</v>
      </c>
      <c r="K620" s="46"/>
      <c r="L620" s="46"/>
      <c r="M620" s="46"/>
      <c r="N620" s="46"/>
      <c r="O620" s="24">
        <f t="shared" si="5"/>
        <v>16000000</v>
      </c>
      <c r="P620" s="24">
        <f t="shared" si="6"/>
        <v>16000000</v>
      </c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35" t="s">
        <v>58</v>
      </c>
      <c r="C621" s="13"/>
      <c r="D621" s="44" t="s">
        <v>34</v>
      </c>
      <c r="E621" s="12"/>
      <c r="F621" s="13"/>
      <c r="G621" s="45"/>
      <c r="H621" s="22"/>
      <c r="I621" s="22"/>
      <c r="J621" s="46">
        <f t="shared" ref="J621:K621" si="241">J623</f>
        <v>2000000</v>
      </c>
      <c r="K621" s="46" t="str">
        <f t="shared" si="241"/>
        <v/>
      </c>
      <c r="L621" s="46"/>
      <c r="M621" s="46">
        <f>M623</f>
        <v>1500000</v>
      </c>
      <c r="N621" s="46"/>
      <c r="O621" s="24">
        <f t="shared" si="5"/>
        <v>2000000</v>
      </c>
      <c r="P621" s="24">
        <f t="shared" si="6"/>
        <v>500000</v>
      </c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22"/>
      <c r="C622" s="22"/>
      <c r="D622" s="35" t="s">
        <v>23</v>
      </c>
      <c r="E622" s="12"/>
      <c r="F622" s="13"/>
      <c r="G622" s="36"/>
      <c r="H622" s="22"/>
      <c r="I622" s="22"/>
      <c r="J622" s="22"/>
      <c r="K622" s="22"/>
      <c r="L622" s="22"/>
      <c r="M622" s="22"/>
      <c r="N622" s="22"/>
      <c r="O622" s="24">
        <f t="shared" si="5"/>
        <v>0</v>
      </c>
      <c r="P622" s="24">
        <f t="shared" si="6"/>
        <v>0</v>
      </c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22"/>
      <c r="C623" s="22"/>
      <c r="D623" s="47" t="s">
        <v>24</v>
      </c>
      <c r="E623" s="35" t="s">
        <v>59</v>
      </c>
      <c r="F623" s="13"/>
      <c r="G623" s="36">
        <v>4.0</v>
      </c>
      <c r="H623" s="36" t="s">
        <v>26</v>
      </c>
      <c r="I623" s="48">
        <v>500000.0</v>
      </c>
      <c r="J623" s="46">
        <f>G623*I623</f>
        <v>2000000</v>
      </c>
      <c r="K623" s="46"/>
      <c r="L623" s="46"/>
      <c r="M623" s="53">
        <v>1500000.0</v>
      </c>
      <c r="N623" s="46"/>
      <c r="O623" s="24">
        <f t="shared" si="5"/>
        <v>2000000</v>
      </c>
      <c r="P623" s="24">
        <f t="shared" si="6"/>
        <v>500000</v>
      </c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41" t="s">
        <v>60</v>
      </c>
      <c r="C624" s="13"/>
      <c r="D624" s="41" t="s">
        <v>61</v>
      </c>
      <c r="E624" s="12"/>
      <c r="F624" s="13"/>
      <c r="G624" s="42"/>
      <c r="H624" s="22"/>
      <c r="I624" s="22"/>
      <c r="J624" s="43">
        <f t="shared" ref="J624:K624" si="242">J625+J628+J632+J635+J638</f>
        <v>220800000</v>
      </c>
      <c r="K624" s="43">
        <f t="shared" si="242"/>
        <v>0</v>
      </c>
      <c r="L624" s="43"/>
      <c r="M624" s="43">
        <f>M625+M628+M632+M635+M638</f>
        <v>20450000</v>
      </c>
      <c r="N624" s="43"/>
      <c r="O624" s="24">
        <f t="shared" si="5"/>
        <v>220800000</v>
      </c>
      <c r="P624" s="24">
        <f t="shared" si="6"/>
        <v>200350000</v>
      </c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35" t="s">
        <v>40</v>
      </c>
      <c r="C625" s="13"/>
      <c r="D625" s="44" t="s">
        <v>22</v>
      </c>
      <c r="E625" s="12"/>
      <c r="F625" s="13"/>
      <c r="G625" s="45"/>
      <c r="H625" s="22"/>
      <c r="I625" s="22"/>
      <c r="J625" s="46">
        <f t="shared" ref="J625:K625" si="243">J627</f>
        <v>31800000</v>
      </c>
      <c r="K625" s="46" t="str">
        <f t="shared" si="243"/>
        <v/>
      </c>
      <c r="L625" s="46"/>
      <c r="M625" s="46" t="str">
        <f>M627</f>
        <v/>
      </c>
      <c r="N625" s="46"/>
      <c r="O625" s="24">
        <f t="shared" si="5"/>
        <v>31800000</v>
      </c>
      <c r="P625" s="24">
        <f t="shared" si="6"/>
        <v>31800000</v>
      </c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22"/>
      <c r="C626" s="22"/>
      <c r="D626" s="35" t="s">
        <v>23</v>
      </c>
      <c r="E626" s="12"/>
      <c r="F626" s="13"/>
      <c r="G626" s="36"/>
      <c r="H626" s="22"/>
      <c r="I626" s="22"/>
      <c r="J626" s="22"/>
      <c r="K626" s="22"/>
      <c r="L626" s="22"/>
      <c r="M626" s="22"/>
      <c r="N626" s="22"/>
      <c r="O626" s="24">
        <f t="shared" si="5"/>
        <v>0</v>
      </c>
      <c r="P626" s="24">
        <f t="shared" si="6"/>
        <v>0</v>
      </c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22"/>
      <c r="C627" s="22"/>
      <c r="D627" s="47" t="s">
        <v>24</v>
      </c>
      <c r="E627" s="35" t="s">
        <v>166</v>
      </c>
      <c r="F627" s="13"/>
      <c r="G627" s="36">
        <v>600.0</v>
      </c>
      <c r="H627" s="36" t="s">
        <v>26</v>
      </c>
      <c r="I627" s="48">
        <v>53000.0</v>
      </c>
      <c r="J627" s="46">
        <f>G627*I627</f>
        <v>31800000</v>
      </c>
      <c r="K627" s="46"/>
      <c r="L627" s="46"/>
      <c r="M627" s="46"/>
      <c r="N627" s="46"/>
      <c r="O627" s="24">
        <f t="shared" si="5"/>
        <v>31800000</v>
      </c>
      <c r="P627" s="24">
        <f t="shared" si="6"/>
        <v>31800000</v>
      </c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35" t="s">
        <v>63</v>
      </c>
      <c r="C628" s="13"/>
      <c r="D628" s="44" t="s">
        <v>64</v>
      </c>
      <c r="E628" s="12"/>
      <c r="F628" s="13"/>
      <c r="G628" s="45"/>
      <c r="H628" s="22"/>
      <c r="I628" s="22"/>
      <c r="J628" s="46">
        <f t="shared" ref="J628:K628" si="244">SUM(J630:J631)</f>
        <v>115000000</v>
      </c>
      <c r="K628" s="46">
        <f t="shared" si="244"/>
        <v>0</v>
      </c>
      <c r="L628" s="46"/>
      <c r="M628" s="46">
        <f>SUM(M630:M631)</f>
        <v>20450000</v>
      </c>
      <c r="N628" s="46"/>
      <c r="O628" s="24">
        <f t="shared" si="5"/>
        <v>115000000</v>
      </c>
      <c r="P628" s="24">
        <f t="shared" si="6"/>
        <v>94550000</v>
      </c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22"/>
      <c r="C629" s="22"/>
      <c r="D629" s="35" t="s">
        <v>23</v>
      </c>
      <c r="E629" s="12"/>
      <c r="F629" s="13"/>
      <c r="G629" s="36"/>
      <c r="H629" s="22"/>
      <c r="I629" s="22"/>
      <c r="J629" s="22"/>
      <c r="K629" s="22"/>
      <c r="L629" s="22"/>
      <c r="M629" s="22"/>
      <c r="N629" s="22"/>
      <c r="O629" s="24">
        <f t="shared" si="5"/>
        <v>0</v>
      </c>
      <c r="P629" s="24">
        <f t="shared" si="6"/>
        <v>0</v>
      </c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22"/>
      <c r="C630" s="22"/>
      <c r="D630" s="47" t="s">
        <v>24</v>
      </c>
      <c r="E630" s="35" t="s">
        <v>210</v>
      </c>
      <c r="F630" s="13"/>
      <c r="G630" s="36">
        <v>1.0</v>
      </c>
      <c r="H630" s="36" t="s">
        <v>66</v>
      </c>
      <c r="I630" s="48">
        <v>9.5E7</v>
      </c>
      <c r="J630" s="46">
        <f t="shared" ref="J630:J631" si="245">G630*I630</f>
        <v>95000000</v>
      </c>
      <c r="K630" s="46"/>
      <c r="L630" s="46"/>
      <c r="M630" s="53">
        <v>2.045E7</v>
      </c>
      <c r="N630" s="46"/>
      <c r="O630" s="24">
        <f t="shared" si="5"/>
        <v>95000000</v>
      </c>
      <c r="P630" s="24">
        <f t="shared" si="6"/>
        <v>74550000</v>
      </c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22"/>
      <c r="C631" s="22"/>
      <c r="D631" s="47" t="s">
        <v>24</v>
      </c>
      <c r="E631" s="35" t="s">
        <v>167</v>
      </c>
      <c r="F631" s="13"/>
      <c r="G631" s="36">
        <v>100.0</v>
      </c>
      <c r="H631" s="36" t="s">
        <v>26</v>
      </c>
      <c r="I631" s="48">
        <v>200000.0</v>
      </c>
      <c r="J631" s="46">
        <f t="shared" si="245"/>
        <v>20000000</v>
      </c>
      <c r="K631" s="46"/>
      <c r="L631" s="46"/>
      <c r="M631" s="46"/>
      <c r="N631" s="46"/>
      <c r="O631" s="24">
        <f t="shared" si="5"/>
        <v>20000000</v>
      </c>
      <c r="P631" s="24">
        <f t="shared" si="6"/>
        <v>20000000</v>
      </c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35" t="s">
        <v>68</v>
      </c>
      <c r="C632" s="13"/>
      <c r="D632" s="44" t="s">
        <v>69</v>
      </c>
      <c r="E632" s="12"/>
      <c r="F632" s="13"/>
      <c r="G632" s="45"/>
      <c r="H632" s="22"/>
      <c r="I632" s="22"/>
      <c r="J632" s="46">
        <f t="shared" ref="J632:K632" si="246">J634</f>
        <v>10000000</v>
      </c>
      <c r="K632" s="46" t="str">
        <f t="shared" si="246"/>
        <v/>
      </c>
      <c r="L632" s="46"/>
      <c r="M632" s="46" t="str">
        <f>M634</f>
        <v/>
      </c>
      <c r="N632" s="46"/>
      <c r="O632" s="24">
        <f t="shared" si="5"/>
        <v>10000000</v>
      </c>
      <c r="P632" s="24">
        <f t="shared" si="6"/>
        <v>10000000</v>
      </c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22"/>
      <c r="C633" s="22"/>
      <c r="D633" s="35" t="s">
        <v>23</v>
      </c>
      <c r="E633" s="12"/>
      <c r="F633" s="13"/>
      <c r="G633" s="36"/>
      <c r="H633" s="22"/>
      <c r="I633" s="22"/>
      <c r="J633" s="22"/>
      <c r="K633" s="22"/>
      <c r="L633" s="22"/>
      <c r="M633" s="22"/>
      <c r="N633" s="22"/>
      <c r="O633" s="24">
        <f t="shared" si="5"/>
        <v>0</v>
      </c>
      <c r="P633" s="24">
        <f t="shared" si="6"/>
        <v>0</v>
      </c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22"/>
      <c r="C634" s="22"/>
      <c r="D634" s="47" t="s">
        <v>24</v>
      </c>
      <c r="E634" s="35" t="s">
        <v>70</v>
      </c>
      <c r="F634" s="13"/>
      <c r="G634" s="36">
        <v>20.0</v>
      </c>
      <c r="H634" s="36" t="s">
        <v>26</v>
      </c>
      <c r="I634" s="48">
        <v>500000.0</v>
      </c>
      <c r="J634" s="46">
        <f>G634*I634</f>
        <v>10000000</v>
      </c>
      <c r="K634" s="46"/>
      <c r="L634" s="46"/>
      <c r="M634" s="46"/>
      <c r="N634" s="46"/>
      <c r="O634" s="24">
        <f t="shared" si="5"/>
        <v>10000000</v>
      </c>
      <c r="P634" s="24">
        <f t="shared" si="6"/>
        <v>10000000</v>
      </c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35" t="s">
        <v>47</v>
      </c>
      <c r="C635" s="13"/>
      <c r="D635" s="44" t="s">
        <v>48</v>
      </c>
      <c r="E635" s="12"/>
      <c r="F635" s="13"/>
      <c r="G635" s="45"/>
      <c r="H635" s="22"/>
      <c r="I635" s="22"/>
      <c r="J635" s="46">
        <f t="shared" ref="J635:K635" si="247">J637</f>
        <v>16000000</v>
      </c>
      <c r="K635" s="46" t="str">
        <f t="shared" si="247"/>
        <v/>
      </c>
      <c r="L635" s="46"/>
      <c r="M635" s="46" t="str">
        <f>M637</f>
        <v/>
      </c>
      <c r="N635" s="46"/>
      <c r="O635" s="24">
        <f t="shared" si="5"/>
        <v>16000000</v>
      </c>
      <c r="P635" s="24">
        <f t="shared" si="6"/>
        <v>16000000</v>
      </c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22"/>
      <c r="C636" s="22"/>
      <c r="D636" s="35" t="s">
        <v>23</v>
      </c>
      <c r="E636" s="12"/>
      <c r="F636" s="13"/>
      <c r="G636" s="36"/>
      <c r="H636" s="22"/>
      <c r="I636" s="22"/>
      <c r="J636" s="22"/>
      <c r="K636" s="22"/>
      <c r="L636" s="22"/>
      <c r="M636" s="22"/>
      <c r="N636" s="22"/>
      <c r="O636" s="24">
        <f t="shared" si="5"/>
        <v>0</v>
      </c>
      <c r="P636" s="24">
        <f t="shared" si="6"/>
        <v>0</v>
      </c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22"/>
      <c r="C637" s="22"/>
      <c r="D637" s="47" t="s">
        <v>24</v>
      </c>
      <c r="E637" s="35" t="s">
        <v>165</v>
      </c>
      <c r="F637" s="13"/>
      <c r="G637" s="36">
        <v>4.0</v>
      </c>
      <c r="H637" s="36" t="s">
        <v>26</v>
      </c>
      <c r="I637" s="48">
        <v>4000000.0</v>
      </c>
      <c r="J637" s="46">
        <f>G637*I637</f>
        <v>16000000</v>
      </c>
      <c r="K637" s="46"/>
      <c r="L637" s="46"/>
      <c r="M637" s="46"/>
      <c r="N637" s="46"/>
      <c r="O637" s="24">
        <f t="shared" si="5"/>
        <v>16000000</v>
      </c>
      <c r="P637" s="24">
        <f t="shared" si="6"/>
        <v>16000000</v>
      </c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35" t="s">
        <v>58</v>
      </c>
      <c r="C638" s="13"/>
      <c r="D638" s="44" t="s">
        <v>34</v>
      </c>
      <c r="E638" s="12"/>
      <c r="F638" s="13"/>
      <c r="G638" s="45"/>
      <c r="H638" s="22"/>
      <c r="I638" s="22"/>
      <c r="J638" s="46">
        <f t="shared" ref="J638:K638" si="248">J640</f>
        <v>48000000</v>
      </c>
      <c r="K638" s="46" t="str">
        <f t="shared" si="248"/>
        <v/>
      </c>
      <c r="L638" s="46"/>
      <c r="M638" s="46" t="str">
        <f>M640</f>
        <v/>
      </c>
      <c r="N638" s="46"/>
      <c r="O638" s="24">
        <f t="shared" si="5"/>
        <v>48000000</v>
      </c>
      <c r="P638" s="24">
        <f t="shared" si="6"/>
        <v>48000000</v>
      </c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22"/>
      <c r="C639" s="22"/>
      <c r="D639" s="35" t="s">
        <v>23</v>
      </c>
      <c r="E639" s="12"/>
      <c r="F639" s="13"/>
      <c r="G639" s="36"/>
      <c r="H639" s="22"/>
      <c r="I639" s="22"/>
      <c r="J639" s="22"/>
      <c r="K639" s="22"/>
      <c r="L639" s="22"/>
      <c r="M639" s="22"/>
      <c r="N639" s="22"/>
      <c r="O639" s="24">
        <f t="shared" si="5"/>
        <v>0</v>
      </c>
      <c r="P639" s="24">
        <f t="shared" si="6"/>
        <v>0</v>
      </c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22"/>
      <c r="C640" s="22"/>
      <c r="D640" s="47" t="s">
        <v>24</v>
      </c>
      <c r="E640" s="35" t="s">
        <v>71</v>
      </c>
      <c r="F640" s="13"/>
      <c r="G640" s="36">
        <v>96.0</v>
      </c>
      <c r="H640" s="36" t="s">
        <v>26</v>
      </c>
      <c r="I640" s="48">
        <v>500000.0</v>
      </c>
      <c r="J640" s="46">
        <f>G640*I640</f>
        <v>48000000</v>
      </c>
      <c r="K640" s="46"/>
      <c r="L640" s="46"/>
      <c r="M640" s="46"/>
      <c r="N640" s="46"/>
      <c r="O640" s="24">
        <f t="shared" si="5"/>
        <v>48000000</v>
      </c>
      <c r="P640" s="24">
        <f t="shared" si="6"/>
        <v>48000000</v>
      </c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41" t="s">
        <v>72</v>
      </c>
      <c r="C641" s="13"/>
      <c r="D641" s="41" t="s">
        <v>73</v>
      </c>
      <c r="E641" s="12"/>
      <c r="F641" s="13"/>
      <c r="G641" s="42"/>
      <c r="H641" s="22"/>
      <c r="I641" s="22"/>
      <c r="J641" s="43">
        <f t="shared" ref="J641:K641" si="249">J642+J647</f>
        <v>151200000</v>
      </c>
      <c r="K641" s="43">
        <f t="shared" si="249"/>
        <v>0</v>
      </c>
      <c r="L641" s="43"/>
      <c r="M641" s="43">
        <f>M642+M647</f>
        <v>0</v>
      </c>
      <c r="N641" s="43"/>
      <c r="O641" s="24">
        <f t="shared" si="5"/>
        <v>151200000</v>
      </c>
      <c r="P641" s="24">
        <f t="shared" si="6"/>
        <v>151200000</v>
      </c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35" t="s">
        <v>74</v>
      </c>
      <c r="C642" s="13"/>
      <c r="D642" s="44" t="s">
        <v>75</v>
      </c>
      <c r="E642" s="12"/>
      <c r="F642" s="13"/>
      <c r="G642" s="45"/>
      <c r="H642" s="22"/>
      <c r="I642" s="22"/>
      <c r="J642" s="46">
        <f t="shared" ref="J642:K642" si="250">SUM(J644:J646)</f>
        <v>142700000</v>
      </c>
      <c r="K642" s="46">
        <f t="shared" si="250"/>
        <v>0</v>
      </c>
      <c r="L642" s="46"/>
      <c r="M642" s="46">
        <f>SUM(M644:M646)</f>
        <v>0</v>
      </c>
      <c r="N642" s="46"/>
      <c r="O642" s="24">
        <f t="shared" si="5"/>
        <v>142700000</v>
      </c>
      <c r="P642" s="24">
        <f t="shared" si="6"/>
        <v>142700000</v>
      </c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22"/>
      <c r="C643" s="22"/>
      <c r="D643" s="35" t="s">
        <v>23</v>
      </c>
      <c r="E643" s="12"/>
      <c r="F643" s="13"/>
      <c r="G643" s="36"/>
      <c r="H643" s="22"/>
      <c r="I643" s="22"/>
      <c r="J643" s="22"/>
      <c r="K643" s="22"/>
      <c r="L643" s="22"/>
      <c r="M643" s="22"/>
      <c r="N643" s="22"/>
      <c r="O643" s="24">
        <f t="shared" si="5"/>
        <v>0</v>
      </c>
      <c r="P643" s="24">
        <f t="shared" si="6"/>
        <v>0</v>
      </c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22"/>
      <c r="C644" s="22"/>
      <c r="D644" s="47" t="s">
        <v>24</v>
      </c>
      <c r="E644" s="35" t="s">
        <v>76</v>
      </c>
      <c r="F644" s="13"/>
      <c r="G644" s="36">
        <v>20.0</v>
      </c>
      <c r="H644" s="36" t="s">
        <v>26</v>
      </c>
      <c r="I644" s="48">
        <v>5000000.0</v>
      </c>
      <c r="J644" s="46">
        <f t="shared" ref="J644:J646" si="251">G644*I644</f>
        <v>100000000</v>
      </c>
      <c r="K644" s="46"/>
      <c r="L644" s="46"/>
      <c r="M644" s="46"/>
      <c r="N644" s="46"/>
      <c r="O644" s="24">
        <f t="shared" si="5"/>
        <v>100000000</v>
      </c>
      <c r="P644" s="24">
        <f t="shared" si="6"/>
        <v>100000000</v>
      </c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22"/>
      <c r="C645" s="22"/>
      <c r="D645" s="47" t="s">
        <v>24</v>
      </c>
      <c r="E645" s="35" t="s">
        <v>77</v>
      </c>
      <c r="F645" s="13"/>
      <c r="G645" s="36">
        <v>30.0</v>
      </c>
      <c r="H645" s="36" t="s">
        <v>26</v>
      </c>
      <c r="I645" s="48">
        <v>850000.0</v>
      </c>
      <c r="J645" s="46">
        <f t="shared" si="251"/>
        <v>25500000</v>
      </c>
      <c r="K645" s="46"/>
      <c r="L645" s="46"/>
      <c r="M645" s="46"/>
      <c r="N645" s="46"/>
      <c r="O645" s="24">
        <f t="shared" si="5"/>
        <v>25500000</v>
      </c>
      <c r="P645" s="24">
        <f t="shared" si="6"/>
        <v>25500000</v>
      </c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22"/>
      <c r="C646" s="22"/>
      <c r="D646" s="47" t="s">
        <v>24</v>
      </c>
      <c r="E646" s="35" t="s">
        <v>78</v>
      </c>
      <c r="F646" s="13"/>
      <c r="G646" s="36">
        <v>40.0</v>
      </c>
      <c r="H646" s="36" t="s">
        <v>26</v>
      </c>
      <c r="I646" s="48">
        <v>430000.0</v>
      </c>
      <c r="J646" s="46">
        <f t="shared" si="251"/>
        <v>17200000</v>
      </c>
      <c r="K646" s="46"/>
      <c r="L646" s="46"/>
      <c r="M646" s="46"/>
      <c r="N646" s="46"/>
      <c r="O646" s="24">
        <f t="shared" si="5"/>
        <v>17200000</v>
      </c>
      <c r="P646" s="24">
        <f t="shared" si="6"/>
        <v>17200000</v>
      </c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35" t="s">
        <v>79</v>
      </c>
      <c r="C647" s="13"/>
      <c r="D647" s="44" t="s">
        <v>80</v>
      </c>
      <c r="E647" s="12"/>
      <c r="F647" s="13"/>
      <c r="G647" s="45"/>
      <c r="H647" s="22"/>
      <c r="I647" s="22"/>
      <c r="J647" s="46">
        <f t="shared" ref="J647:K647" si="252">J649</f>
        <v>8500000</v>
      </c>
      <c r="K647" s="46" t="str">
        <f t="shared" si="252"/>
        <v/>
      </c>
      <c r="L647" s="46"/>
      <c r="M647" s="46" t="str">
        <f>M649</f>
        <v/>
      </c>
      <c r="N647" s="46"/>
      <c r="O647" s="24">
        <f t="shared" si="5"/>
        <v>8500000</v>
      </c>
      <c r="P647" s="24">
        <f t="shared" si="6"/>
        <v>8500000</v>
      </c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22"/>
      <c r="C648" s="22"/>
      <c r="D648" s="35" t="s">
        <v>23</v>
      </c>
      <c r="E648" s="12"/>
      <c r="F648" s="13"/>
      <c r="G648" s="36"/>
      <c r="H648" s="22"/>
      <c r="I648" s="22"/>
      <c r="J648" s="22"/>
      <c r="K648" s="22"/>
      <c r="L648" s="22"/>
      <c r="M648" s="22"/>
      <c r="N648" s="22"/>
      <c r="O648" s="24">
        <f t="shared" si="5"/>
        <v>0</v>
      </c>
      <c r="P648" s="24">
        <f t="shared" si="6"/>
        <v>0</v>
      </c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22"/>
      <c r="C649" s="22"/>
      <c r="D649" s="47" t="s">
        <v>24</v>
      </c>
      <c r="E649" s="35" t="s">
        <v>81</v>
      </c>
      <c r="F649" s="13"/>
      <c r="G649" s="36">
        <v>50.0</v>
      </c>
      <c r="H649" s="36" t="s">
        <v>26</v>
      </c>
      <c r="I649" s="48">
        <v>170000.0</v>
      </c>
      <c r="J649" s="46">
        <f>G649*I649</f>
        <v>8500000</v>
      </c>
      <c r="K649" s="46"/>
      <c r="L649" s="46"/>
      <c r="M649" s="46"/>
      <c r="N649" s="46"/>
      <c r="O649" s="24">
        <f t="shared" si="5"/>
        <v>8500000</v>
      </c>
      <c r="P649" s="24">
        <f t="shared" si="6"/>
        <v>8500000</v>
      </c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41" t="s">
        <v>82</v>
      </c>
      <c r="C650" s="13"/>
      <c r="D650" s="41" t="s">
        <v>83</v>
      </c>
      <c r="E650" s="12"/>
      <c r="F650" s="13"/>
      <c r="G650" s="42"/>
      <c r="H650" s="22"/>
      <c r="I650" s="22"/>
      <c r="J650" s="43">
        <f t="shared" ref="J650:K650" si="253">J651+J656</f>
        <v>1434000000</v>
      </c>
      <c r="K650" s="43">
        <f t="shared" si="253"/>
        <v>40651000</v>
      </c>
      <c r="L650" s="43"/>
      <c r="M650" s="43">
        <f>M651+M656</f>
        <v>1102500</v>
      </c>
      <c r="N650" s="43"/>
      <c r="O650" s="24">
        <f t="shared" si="5"/>
        <v>1393349000</v>
      </c>
      <c r="P650" s="24">
        <f t="shared" si="6"/>
        <v>1432897500</v>
      </c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35" t="s">
        <v>84</v>
      </c>
      <c r="C651" s="13"/>
      <c r="D651" s="44" t="s">
        <v>85</v>
      </c>
      <c r="E651" s="12"/>
      <c r="F651" s="13"/>
      <c r="G651" s="45"/>
      <c r="H651" s="22"/>
      <c r="I651" s="22"/>
      <c r="J651" s="46">
        <f t="shared" ref="J651:K651" si="254">SUM(J653:J655)</f>
        <v>1320000000</v>
      </c>
      <c r="K651" s="46">
        <f t="shared" si="254"/>
        <v>40651000</v>
      </c>
      <c r="L651" s="46"/>
      <c r="M651" s="46">
        <f>SUM(M653:M655)</f>
        <v>1102500</v>
      </c>
      <c r="N651" s="46"/>
      <c r="O651" s="24">
        <f t="shared" si="5"/>
        <v>1279349000</v>
      </c>
      <c r="P651" s="24">
        <f t="shared" si="6"/>
        <v>1318897500</v>
      </c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22"/>
      <c r="C652" s="22"/>
      <c r="D652" s="35" t="s">
        <v>23</v>
      </c>
      <c r="E652" s="12"/>
      <c r="F652" s="13"/>
      <c r="G652" s="36"/>
      <c r="H652" s="22"/>
      <c r="I652" s="22"/>
      <c r="J652" s="22"/>
      <c r="K652" s="22"/>
      <c r="L652" s="22"/>
      <c r="M652" s="22"/>
      <c r="N652" s="22"/>
      <c r="O652" s="24">
        <f t="shared" si="5"/>
        <v>0</v>
      </c>
      <c r="P652" s="24">
        <f t="shared" si="6"/>
        <v>0</v>
      </c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22"/>
      <c r="C653" s="22"/>
      <c r="D653" s="47" t="s">
        <v>24</v>
      </c>
      <c r="E653" s="35" t="s">
        <v>168</v>
      </c>
      <c r="F653" s="13"/>
      <c r="G653" s="36">
        <v>54750.0</v>
      </c>
      <c r="H653" s="36" t="s">
        <v>87</v>
      </c>
      <c r="I653" s="48">
        <v>15000.0</v>
      </c>
      <c r="J653" s="46">
        <f t="shared" ref="J653:J655" si="255">G653*I653</f>
        <v>821250000</v>
      </c>
      <c r="K653" s="46">
        <v>4.0651E7</v>
      </c>
      <c r="L653" s="46"/>
      <c r="M653" s="46"/>
      <c r="N653" s="46"/>
      <c r="O653" s="24">
        <f t="shared" si="5"/>
        <v>780599000</v>
      </c>
      <c r="P653" s="24">
        <f t="shared" si="6"/>
        <v>821250000</v>
      </c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22"/>
      <c r="C654" s="22"/>
      <c r="D654" s="47" t="s">
        <v>24</v>
      </c>
      <c r="E654" s="35" t="s">
        <v>88</v>
      </c>
      <c r="F654" s="13"/>
      <c r="G654" s="36">
        <v>9000.0</v>
      </c>
      <c r="H654" s="36" t="s">
        <v>87</v>
      </c>
      <c r="I654" s="48">
        <v>25000.0</v>
      </c>
      <c r="J654" s="46">
        <f t="shared" si="255"/>
        <v>225000000</v>
      </c>
      <c r="K654" s="46"/>
      <c r="L654" s="46"/>
      <c r="M654" s="53">
        <v>1102500.0</v>
      </c>
      <c r="N654" s="46"/>
      <c r="O654" s="24">
        <f t="shared" si="5"/>
        <v>225000000</v>
      </c>
      <c r="P654" s="24">
        <f t="shared" si="6"/>
        <v>223897500</v>
      </c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22"/>
      <c r="C655" s="22"/>
      <c r="D655" s="47" t="s">
        <v>24</v>
      </c>
      <c r="E655" s="35" t="s">
        <v>169</v>
      </c>
      <c r="F655" s="13"/>
      <c r="G655" s="36">
        <v>36500.0</v>
      </c>
      <c r="H655" s="36" t="s">
        <v>87</v>
      </c>
      <c r="I655" s="48">
        <v>7500.0</v>
      </c>
      <c r="J655" s="46">
        <f t="shared" si="255"/>
        <v>273750000</v>
      </c>
      <c r="K655" s="46"/>
      <c r="L655" s="46"/>
      <c r="M655" s="46"/>
      <c r="N655" s="46"/>
      <c r="O655" s="24">
        <f t="shared" si="5"/>
        <v>273750000</v>
      </c>
      <c r="P655" s="24">
        <f t="shared" si="6"/>
        <v>273750000</v>
      </c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35" t="s">
        <v>63</v>
      </c>
      <c r="C656" s="13"/>
      <c r="D656" s="44" t="s">
        <v>64</v>
      </c>
      <c r="E656" s="12"/>
      <c r="F656" s="13"/>
      <c r="G656" s="45"/>
      <c r="H656" s="22"/>
      <c r="I656" s="22"/>
      <c r="J656" s="46">
        <f t="shared" ref="J656:K656" si="256">SUM(J658:J659)</f>
        <v>114000000</v>
      </c>
      <c r="K656" s="46">
        <f t="shared" si="256"/>
        <v>0</v>
      </c>
      <c r="L656" s="46"/>
      <c r="M656" s="46">
        <f>SUM(M658:M659)</f>
        <v>0</v>
      </c>
      <c r="N656" s="46"/>
      <c r="O656" s="24">
        <f t="shared" si="5"/>
        <v>114000000</v>
      </c>
      <c r="P656" s="24">
        <f t="shared" si="6"/>
        <v>114000000</v>
      </c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22"/>
      <c r="C657" s="22"/>
      <c r="D657" s="35" t="s">
        <v>23</v>
      </c>
      <c r="E657" s="12"/>
      <c r="F657" s="13"/>
      <c r="G657" s="36"/>
      <c r="H657" s="22"/>
      <c r="I657" s="22"/>
      <c r="J657" s="22"/>
      <c r="K657" s="22"/>
      <c r="L657" s="22"/>
      <c r="M657" s="22"/>
      <c r="N657" s="22"/>
      <c r="O657" s="24">
        <f t="shared" si="5"/>
        <v>0</v>
      </c>
      <c r="P657" s="24">
        <f t="shared" si="6"/>
        <v>0</v>
      </c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22"/>
      <c r="C658" s="22"/>
      <c r="D658" s="47" t="s">
        <v>24</v>
      </c>
      <c r="E658" s="35" t="s">
        <v>90</v>
      </c>
      <c r="F658" s="13"/>
      <c r="G658" s="36">
        <v>180.0</v>
      </c>
      <c r="H658" s="36" t="s">
        <v>87</v>
      </c>
      <c r="I658" s="48">
        <v>500000.0</v>
      </c>
      <c r="J658" s="46">
        <f t="shared" ref="J658:J659" si="257">G658*I658</f>
        <v>90000000</v>
      </c>
      <c r="K658" s="46"/>
      <c r="L658" s="46"/>
      <c r="M658" s="46"/>
      <c r="N658" s="46"/>
      <c r="O658" s="24">
        <f t="shared" si="5"/>
        <v>90000000</v>
      </c>
      <c r="P658" s="24">
        <f t="shared" si="6"/>
        <v>90000000</v>
      </c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22"/>
      <c r="C659" s="22"/>
      <c r="D659" s="47" t="s">
        <v>24</v>
      </c>
      <c r="E659" s="35" t="s">
        <v>170</v>
      </c>
      <c r="F659" s="13"/>
      <c r="G659" s="36">
        <v>600.0</v>
      </c>
      <c r="H659" s="36" t="s">
        <v>87</v>
      </c>
      <c r="I659" s="48">
        <v>40000.0</v>
      </c>
      <c r="J659" s="46">
        <f t="shared" si="257"/>
        <v>24000000</v>
      </c>
      <c r="K659" s="46"/>
      <c r="L659" s="46"/>
      <c r="M659" s="46"/>
      <c r="N659" s="46"/>
      <c r="O659" s="24">
        <f t="shared" si="5"/>
        <v>24000000</v>
      </c>
      <c r="P659" s="24">
        <f t="shared" si="6"/>
        <v>24000000</v>
      </c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41" t="s">
        <v>92</v>
      </c>
      <c r="C660" s="13"/>
      <c r="D660" s="41" t="s">
        <v>93</v>
      </c>
      <c r="E660" s="12"/>
      <c r="F660" s="13"/>
      <c r="G660" s="42"/>
      <c r="H660" s="22"/>
      <c r="I660" s="22"/>
      <c r="J660" s="43">
        <f t="shared" ref="J660:K660" si="258">J661</f>
        <v>41836000</v>
      </c>
      <c r="K660" s="43">
        <f t="shared" si="258"/>
        <v>0</v>
      </c>
      <c r="L660" s="43"/>
      <c r="M660" s="43">
        <f>M661</f>
        <v>2448921</v>
      </c>
      <c r="N660" s="43"/>
      <c r="O660" s="24">
        <f t="shared" si="5"/>
        <v>41836000</v>
      </c>
      <c r="P660" s="24">
        <f t="shared" si="6"/>
        <v>39387079</v>
      </c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35" t="s">
        <v>68</v>
      </c>
      <c r="C661" s="13"/>
      <c r="D661" s="44" t="s">
        <v>69</v>
      </c>
      <c r="E661" s="12"/>
      <c r="F661" s="13"/>
      <c r="G661" s="45"/>
      <c r="H661" s="22"/>
      <c r="I661" s="22"/>
      <c r="J661" s="46">
        <f t="shared" ref="J661:K661" si="259">SUM(J663:J664)</f>
        <v>41836000</v>
      </c>
      <c r="K661" s="46">
        <f t="shared" si="259"/>
        <v>0</v>
      </c>
      <c r="L661" s="46"/>
      <c r="M661" s="46">
        <f>SUM(M663:M664)</f>
        <v>2448921</v>
      </c>
      <c r="N661" s="46"/>
      <c r="O661" s="24">
        <f t="shared" si="5"/>
        <v>41836000</v>
      </c>
      <c r="P661" s="24">
        <f t="shared" si="6"/>
        <v>39387079</v>
      </c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22"/>
      <c r="C662" s="22"/>
      <c r="D662" s="35" t="s">
        <v>23</v>
      </c>
      <c r="E662" s="12"/>
      <c r="F662" s="13"/>
      <c r="G662" s="36"/>
      <c r="H662" s="22"/>
      <c r="I662" s="22"/>
      <c r="J662" s="22"/>
      <c r="K662" s="22"/>
      <c r="L662" s="22"/>
      <c r="M662" s="22"/>
      <c r="N662" s="22"/>
      <c r="O662" s="24">
        <f t="shared" si="5"/>
        <v>0</v>
      </c>
      <c r="P662" s="24">
        <f t="shared" si="6"/>
        <v>0</v>
      </c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22"/>
      <c r="C663" s="22"/>
      <c r="D663" s="47" t="s">
        <v>24</v>
      </c>
      <c r="E663" s="35" t="s">
        <v>94</v>
      </c>
      <c r="F663" s="13"/>
      <c r="G663" s="36">
        <v>12.0</v>
      </c>
      <c r="H663" s="36" t="s">
        <v>95</v>
      </c>
      <c r="I663" s="48">
        <v>2500000.0</v>
      </c>
      <c r="J663" s="46">
        <f t="shared" ref="J663:J664" si="260">G663*I663</f>
        <v>30000000</v>
      </c>
      <c r="K663" s="46"/>
      <c r="L663" s="46"/>
      <c r="M663" s="53">
        <v>2448921.0</v>
      </c>
      <c r="N663" s="46"/>
      <c r="O663" s="24">
        <f t="shared" si="5"/>
        <v>30000000</v>
      </c>
      <c r="P663" s="24">
        <f t="shared" si="6"/>
        <v>27551079</v>
      </c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22"/>
      <c r="C664" s="22"/>
      <c r="D664" s="47" t="s">
        <v>24</v>
      </c>
      <c r="E664" s="35" t="s">
        <v>171</v>
      </c>
      <c r="F664" s="13"/>
      <c r="G664" s="36">
        <v>1.0</v>
      </c>
      <c r="H664" s="36" t="s">
        <v>97</v>
      </c>
      <c r="I664" s="48">
        <v>1.1836E7</v>
      </c>
      <c r="J664" s="46">
        <f t="shared" si="260"/>
        <v>11836000</v>
      </c>
      <c r="K664" s="46"/>
      <c r="L664" s="46"/>
      <c r="M664" s="46"/>
      <c r="N664" s="46"/>
      <c r="O664" s="24">
        <f t="shared" si="5"/>
        <v>11836000</v>
      </c>
      <c r="P664" s="24">
        <f t="shared" si="6"/>
        <v>11836000</v>
      </c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41" t="s">
        <v>98</v>
      </c>
      <c r="C665" s="13"/>
      <c r="D665" s="41" t="s">
        <v>99</v>
      </c>
      <c r="E665" s="12"/>
      <c r="F665" s="13"/>
      <c r="G665" s="42"/>
      <c r="H665" s="22"/>
      <c r="I665" s="22"/>
      <c r="J665" s="43">
        <f t="shared" ref="J665:K665" si="261">J666+J675</f>
        <v>6760000</v>
      </c>
      <c r="K665" s="43">
        <f t="shared" si="261"/>
        <v>0</v>
      </c>
      <c r="L665" s="43"/>
      <c r="M665" s="43">
        <f>M666+M675</f>
        <v>0</v>
      </c>
      <c r="N665" s="43"/>
      <c r="O665" s="24">
        <f t="shared" si="5"/>
        <v>6760000</v>
      </c>
      <c r="P665" s="24">
        <f t="shared" si="6"/>
        <v>6760000</v>
      </c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35" t="s">
        <v>100</v>
      </c>
      <c r="C666" s="13"/>
      <c r="D666" s="44" t="s">
        <v>101</v>
      </c>
      <c r="E666" s="12"/>
      <c r="F666" s="13"/>
      <c r="G666" s="45"/>
      <c r="H666" s="22"/>
      <c r="I666" s="22"/>
      <c r="J666" s="46">
        <f t="shared" ref="J666:K666" si="262">SUM(J668:J674)</f>
        <v>5600000</v>
      </c>
      <c r="K666" s="46">
        <f t="shared" si="262"/>
        <v>0</v>
      </c>
      <c r="L666" s="46"/>
      <c r="M666" s="46">
        <f>SUM(M668:M674)</f>
        <v>0</v>
      </c>
      <c r="N666" s="46"/>
      <c r="O666" s="24">
        <f t="shared" si="5"/>
        <v>5600000</v>
      </c>
      <c r="P666" s="24">
        <f t="shared" si="6"/>
        <v>5600000</v>
      </c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22"/>
      <c r="C667" s="22"/>
      <c r="D667" s="35" t="s">
        <v>23</v>
      </c>
      <c r="E667" s="12"/>
      <c r="F667" s="13"/>
      <c r="G667" s="36"/>
      <c r="H667" s="22"/>
      <c r="I667" s="22"/>
      <c r="J667" s="22"/>
      <c r="K667" s="22"/>
      <c r="L667" s="22"/>
      <c r="M667" s="22"/>
      <c r="N667" s="22"/>
      <c r="O667" s="24">
        <f t="shared" si="5"/>
        <v>0</v>
      </c>
      <c r="P667" s="24">
        <f t="shared" si="6"/>
        <v>0</v>
      </c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22"/>
      <c r="C668" s="22"/>
      <c r="D668" s="47" t="s">
        <v>24</v>
      </c>
      <c r="E668" s="35" t="s">
        <v>102</v>
      </c>
      <c r="F668" s="13"/>
      <c r="G668" s="36">
        <v>2.0</v>
      </c>
      <c r="H668" s="36" t="s">
        <v>95</v>
      </c>
      <c r="I668" s="48">
        <v>350000.0</v>
      </c>
      <c r="J668" s="46">
        <f t="shared" ref="J668:J674" si="263">G668*I668</f>
        <v>700000</v>
      </c>
      <c r="K668" s="46"/>
      <c r="L668" s="46"/>
      <c r="M668" s="46"/>
      <c r="N668" s="46"/>
      <c r="O668" s="24">
        <f t="shared" si="5"/>
        <v>700000</v>
      </c>
      <c r="P668" s="24">
        <f t="shared" si="6"/>
        <v>700000</v>
      </c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22"/>
      <c r="C669" s="22"/>
      <c r="D669" s="47" t="s">
        <v>24</v>
      </c>
      <c r="E669" s="35" t="s">
        <v>103</v>
      </c>
      <c r="F669" s="13"/>
      <c r="G669" s="36">
        <v>2.0</v>
      </c>
      <c r="H669" s="36" t="s">
        <v>95</v>
      </c>
      <c r="I669" s="48">
        <v>225000.0</v>
      </c>
      <c r="J669" s="46">
        <f t="shared" si="263"/>
        <v>450000</v>
      </c>
      <c r="K669" s="46"/>
      <c r="L669" s="46"/>
      <c r="M669" s="46"/>
      <c r="N669" s="46"/>
      <c r="O669" s="24">
        <f t="shared" si="5"/>
        <v>450000</v>
      </c>
      <c r="P669" s="24">
        <f t="shared" si="6"/>
        <v>450000</v>
      </c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22"/>
      <c r="C670" s="22"/>
      <c r="D670" s="47" t="s">
        <v>24</v>
      </c>
      <c r="E670" s="35" t="s">
        <v>104</v>
      </c>
      <c r="F670" s="13"/>
      <c r="G670" s="36">
        <v>2.0</v>
      </c>
      <c r="H670" s="36" t="s">
        <v>95</v>
      </c>
      <c r="I670" s="48">
        <v>450000.0</v>
      </c>
      <c r="J670" s="46">
        <f t="shared" si="263"/>
        <v>900000</v>
      </c>
      <c r="K670" s="46"/>
      <c r="L670" s="46"/>
      <c r="M670" s="46"/>
      <c r="N670" s="46"/>
      <c r="O670" s="24">
        <f t="shared" si="5"/>
        <v>900000</v>
      </c>
      <c r="P670" s="24">
        <f t="shared" si="6"/>
        <v>900000</v>
      </c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22"/>
      <c r="C671" s="22"/>
      <c r="D671" s="47" t="s">
        <v>24</v>
      </c>
      <c r="E671" s="35" t="s">
        <v>105</v>
      </c>
      <c r="F671" s="13"/>
      <c r="G671" s="36">
        <v>2.0</v>
      </c>
      <c r="H671" s="36" t="s">
        <v>95</v>
      </c>
      <c r="I671" s="48">
        <v>250000.0</v>
      </c>
      <c r="J671" s="46">
        <f t="shared" si="263"/>
        <v>500000</v>
      </c>
      <c r="K671" s="46"/>
      <c r="L671" s="46"/>
      <c r="M671" s="46"/>
      <c r="N671" s="46"/>
      <c r="O671" s="24">
        <f t="shared" si="5"/>
        <v>500000</v>
      </c>
      <c r="P671" s="24">
        <f t="shared" si="6"/>
        <v>500000</v>
      </c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22"/>
      <c r="C672" s="22"/>
      <c r="D672" s="47" t="s">
        <v>24</v>
      </c>
      <c r="E672" s="35" t="s">
        <v>106</v>
      </c>
      <c r="F672" s="13"/>
      <c r="G672" s="36">
        <v>2.0</v>
      </c>
      <c r="H672" s="36" t="s">
        <v>95</v>
      </c>
      <c r="I672" s="48">
        <v>100000.0</v>
      </c>
      <c r="J672" s="46">
        <f t="shared" si="263"/>
        <v>200000</v>
      </c>
      <c r="K672" s="46"/>
      <c r="L672" s="46"/>
      <c r="M672" s="46"/>
      <c r="N672" s="46"/>
      <c r="O672" s="24">
        <f t="shared" si="5"/>
        <v>200000</v>
      </c>
      <c r="P672" s="24">
        <f t="shared" si="6"/>
        <v>200000</v>
      </c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22"/>
      <c r="C673" s="22"/>
      <c r="D673" s="47" t="s">
        <v>24</v>
      </c>
      <c r="E673" s="35" t="s">
        <v>107</v>
      </c>
      <c r="F673" s="13"/>
      <c r="G673" s="36">
        <v>2.0</v>
      </c>
      <c r="H673" s="36" t="s">
        <v>95</v>
      </c>
      <c r="I673" s="48">
        <v>725000.0</v>
      </c>
      <c r="J673" s="46">
        <f t="shared" si="263"/>
        <v>1450000</v>
      </c>
      <c r="K673" s="46"/>
      <c r="L673" s="46"/>
      <c r="M673" s="46"/>
      <c r="N673" s="46"/>
      <c r="O673" s="24">
        <f t="shared" si="5"/>
        <v>1450000</v>
      </c>
      <c r="P673" s="24">
        <f t="shared" si="6"/>
        <v>1450000</v>
      </c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22"/>
      <c r="C674" s="22"/>
      <c r="D674" s="47" t="s">
        <v>24</v>
      </c>
      <c r="E674" s="35" t="s">
        <v>108</v>
      </c>
      <c r="F674" s="13"/>
      <c r="G674" s="36">
        <v>2.0</v>
      </c>
      <c r="H674" s="36" t="s">
        <v>95</v>
      </c>
      <c r="I674" s="48">
        <v>700000.0</v>
      </c>
      <c r="J674" s="46">
        <f t="shared" si="263"/>
        <v>1400000</v>
      </c>
      <c r="K674" s="46"/>
      <c r="L674" s="46"/>
      <c r="M674" s="46"/>
      <c r="N674" s="46"/>
      <c r="O674" s="24">
        <f t="shared" si="5"/>
        <v>1400000</v>
      </c>
      <c r="P674" s="24">
        <f t="shared" si="6"/>
        <v>1400000</v>
      </c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35" t="s">
        <v>68</v>
      </c>
      <c r="C675" s="13"/>
      <c r="D675" s="44" t="s">
        <v>69</v>
      </c>
      <c r="E675" s="12"/>
      <c r="F675" s="13"/>
      <c r="G675" s="45"/>
      <c r="H675" s="22"/>
      <c r="I675" s="22"/>
      <c r="J675" s="46">
        <f t="shared" ref="J675:K675" si="264">SUM(J677:J680)</f>
        <v>1160000</v>
      </c>
      <c r="K675" s="46">
        <f t="shared" si="264"/>
        <v>0</v>
      </c>
      <c r="L675" s="46"/>
      <c r="M675" s="46">
        <f>SUM(M677:M680)</f>
        <v>0</v>
      </c>
      <c r="N675" s="46"/>
      <c r="O675" s="24">
        <f t="shared" si="5"/>
        <v>1160000</v>
      </c>
      <c r="P675" s="24">
        <f t="shared" si="6"/>
        <v>1160000</v>
      </c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22"/>
      <c r="C676" s="22"/>
      <c r="D676" s="35" t="s">
        <v>23</v>
      </c>
      <c r="E676" s="12"/>
      <c r="F676" s="13"/>
      <c r="G676" s="36"/>
      <c r="H676" s="22"/>
      <c r="I676" s="22"/>
      <c r="J676" s="22"/>
      <c r="K676" s="22"/>
      <c r="L676" s="22"/>
      <c r="M676" s="22"/>
      <c r="N676" s="22"/>
      <c r="O676" s="24">
        <f t="shared" si="5"/>
        <v>0</v>
      </c>
      <c r="P676" s="24">
        <f t="shared" si="6"/>
        <v>0</v>
      </c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22"/>
      <c r="C677" s="22"/>
      <c r="D677" s="47" t="s">
        <v>24</v>
      </c>
      <c r="E677" s="35" t="s">
        <v>109</v>
      </c>
      <c r="F677" s="13"/>
      <c r="G677" s="36">
        <v>10.0</v>
      </c>
      <c r="H677" s="36" t="s">
        <v>95</v>
      </c>
      <c r="I677" s="48">
        <v>50000.0</v>
      </c>
      <c r="J677" s="46">
        <f t="shared" ref="J677:J680" si="265">G677*I677</f>
        <v>500000</v>
      </c>
      <c r="K677" s="46"/>
      <c r="L677" s="46"/>
      <c r="M677" s="46"/>
      <c r="N677" s="46"/>
      <c r="O677" s="24">
        <f t="shared" si="5"/>
        <v>500000</v>
      </c>
      <c r="P677" s="24">
        <f t="shared" si="6"/>
        <v>500000</v>
      </c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22"/>
      <c r="C678" s="22"/>
      <c r="D678" s="47" t="s">
        <v>24</v>
      </c>
      <c r="E678" s="35" t="s">
        <v>110</v>
      </c>
      <c r="F678" s="13"/>
      <c r="G678" s="36">
        <v>2.0</v>
      </c>
      <c r="H678" s="36" t="s">
        <v>95</v>
      </c>
      <c r="I678" s="48">
        <v>100000.0</v>
      </c>
      <c r="J678" s="46">
        <f t="shared" si="265"/>
        <v>200000</v>
      </c>
      <c r="K678" s="46"/>
      <c r="L678" s="46"/>
      <c r="M678" s="46"/>
      <c r="N678" s="46"/>
      <c r="O678" s="24">
        <f t="shared" si="5"/>
        <v>200000</v>
      </c>
      <c r="P678" s="24">
        <f t="shared" si="6"/>
        <v>200000</v>
      </c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22"/>
      <c r="C679" s="22"/>
      <c r="D679" s="47" t="s">
        <v>24</v>
      </c>
      <c r="E679" s="35" t="s">
        <v>111</v>
      </c>
      <c r="F679" s="13"/>
      <c r="G679" s="36">
        <v>2.0</v>
      </c>
      <c r="H679" s="36" t="s">
        <v>95</v>
      </c>
      <c r="I679" s="48">
        <v>200000.0</v>
      </c>
      <c r="J679" s="46">
        <f t="shared" si="265"/>
        <v>400000</v>
      </c>
      <c r="K679" s="46"/>
      <c r="L679" s="46"/>
      <c r="M679" s="46"/>
      <c r="N679" s="46"/>
      <c r="O679" s="24">
        <f t="shared" si="5"/>
        <v>400000</v>
      </c>
      <c r="P679" s="24">
        <f t="shared" si="6"/>
        <v>400000</v>
      </c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22"/>
      <c r="C680" s="22"/>
      <c r="D680" s="47" t="s">
        <v>24</v>
      </c>
      <c r="E680" s="35" t="s">
        <v>112</v>
      </c>
      <c r="F680" s="13"/>
      <c r="G680" s="36">
        <v>2.0</v>
      </c>
      <c r="H680" s="36" t="s">
        <v>95</v>
      </c>
      <c r="I680" s="48">
        <v>30000.0</v>
      </c>
      <c r="J680" s="46">
        <f t="shared" si="265"/>
        <v>60000</v>
      </c>
      <c r="K680" s="46"/>
      <c r="L680" s="46"/>
      <c r="M680" s="46"/>
      <c r="N680" s="46"/>
      <c r="O680" s="24">
        <f t="shared" si="5"/>
        <v>60000</v>
      </c>
      <c r="P680" s="24">
        <f t="shared" si="6"/>
        <v>60000</v>
      </c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41" t="s">
        <v>113</v>
      </c>
      <c r="C681" s="13"/>
      <c r="D681" s="41" t="s">
        <v>114</v>
      </c>
      <c r="E681" s="12"/>
      <c r="F681" s="13"/>
      <c r="G681" s="42"/>
      <c r="H681" s="22"/>
      <c r="I681" s="22"/>
      <c r="J681" s="43">
        <f t="shared" ref="J681:K681" si="266">J682</f>
        <v>410750000</v>
      </c>
      <c r="K681" s="43">
        <f t="shared" si="266"/>
        <v>0</v>
      </c>
      <c r="L681" s="43"/>
      <c r="M681" s="43">
        <f>M682</f>
        <v>16002090</v>
      </c>
      <c r="N681" s="43"/>
      <c r="O681" s="24">
        <f t="shared" si="5"/>
        <v>410750000</v>
      </c>
      <c r="P681" s="24">
        <f t="shared" si="6"/>
        <v>394747910</v>
      </c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35" t="s">
        <v>68</v>
      </c>
      <c r="C682" s="13"/>
      <c r="D682" s="44" t="s">
        <v>69</v>
      </c>
      <c r="E682" s="12"/>
      <c r="F682" s="13"/>
      <c r="G682" s="45"/>
      <c r="H682" s="22"/>
      <c r="I682" s="22"/>
      <c r="J682" s="46">
        <f t="shared" ref="J682:K682" si="267">SUM(J684:J694)</f>
        <v>410750000</v>
      </c>
      <c r="K682" s="46">
        <f t="shared" si="267"/>
        <v>0</v>
      </c>
      <c r="L682" s="46"/>
      <c r="M682" s="46">
        <f>SUM(M684:M694)</f>
        <v>16002090</v>
      </c>
      <c r="N682" s="46"/>
      <c r="O682" s="24">
        <f t="shared" si="5"/>
        <v>410750000</v>
      </c>
      <c r="P682" s="24">
        <f t="shared" si="6"/>
        <v>394747910</v>
      </c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22"/>
      <c r="C683" s="22"/>
      <c r="D683" s="35" t="s">
        <v>23</v>
      </c>
      <c r="E683" s="12"/>
      <c r="F683" s="13"/>
      <c r="G683" s="36"/>
      <c r="H683" s="22"/>
      <c r="I683" s="22"/>
      <c r="J683" s="22"/>
      <c r="K683" s="22"/>
      <c r="L683" s="22"/>
      <c r="M683" s="22"/>
      <c r="N683" s="22"/>
      <c r="O683" s="24">
        <f t="shared" si="5"/>
        <v>0</v>
      </c>
      <c r="P683" s="24">
        <f t="shared" si="6"/>
        <v>0</v>
      </c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22"/>
      <c r="C684" s="22"/>
      <c r="D684" s="47" t="s">
        <v>24</v>
      </c>
      <c r="E684" s="35" t="s">
        <v>172</v>
      </c>
      <c r="F684" s="13"/>
      <c r="G684" s="36">
        <v>100.0</v>
      </c>
      <c r="H684" s="36" t="s">
        <v>95</v>
      </c>
      <c r="I684" s="48">
        <v>110000.0</v>
      </c>
      <c r="J684" s="46">
        <f t="shared" ref="J684:J694" si="268">G684*I684</f>
        <v>11000000</v>
      </c>
      <c r="K684" s="46"/>
      <c r="L684" s="46"/>
      <c r="M684" s="46"/>
      <c r="N684" s="46"/>
      <c r="O684" s="24">
        <f t="shared" si="5"/>
        <v>11000000</v>
      </c>
      <c r="P684" s="24">
        <f t="shared" si="6"/>
        <v>11000000</v>
      </c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22"/>
      <c r="C685" s="22"/>
      <c r="D685" s="47" t="s">
        <v>24</v>
      </c>
      <c r="E685" s="35" t="s">
        <v>173</v>
      </c>
      <c r="F685" s="13"/>
      <c r="G685" s="36">
        <v>100.0</v>
      </c>
      <c r="H685" s="36" t="s">
        <v>95</v>
      </c>
      <c r="I685" s="48">
        <v>120000.0</v>
      </c>
      <c r="J685" s="46">
        <f t="shared" si="268"/>
        <v>12000000</v>
      </c>
      <c r="K685" s="46"/>
      <c r="L685" s="46"/>
      <c r="M685" s="46"/>
      <c r="N685" s="46"/>
      <c r="O685" s="24">
        <f t="shared" si="5"/>
        <v>12000000</v>
      </c>
      <c r="P685" s="24">
        <f t="shared" si="6"/>
        <v>12000000</v>
      </c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22"/>
      <c r="C686" s="22"/>
      <c r="D686" s="47" t="s">
        <v>24</v>
      </c>
      <c r="E686" s="35" t="s">
        <v>174</v>
      </c>
      <c r="F686" s="13"/>
      <c r="G686" s="36">
        <v>100.0</v>
      </c>
      <c r="H686" s="36" t="s">
        <v>95</v>
      </c>
      <c r="I686" s="48">
        <v>150000.0</v>
      </c>
      <c r="J686" s="46">
        <f t="shared" si="268"/>
        <v>15000000</v>
      </c>
      <c r="K686" s="46"/>
      <c r="L686" s="46"/>
      <c r="M686" s="46"/>
      <c r="N686" s="46"/>
      <c r="O686" s="24">
        <f t="shared" si="5"/>
        <v>15000000</v>
      </c>
      <c r="P686" s="24">
        <f t="shared" si="6"/>
        <v>15000000</v>
      </c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22"/>
      <c r="C687" s="22"/>
      <c r="D687" s="47" t="s">
        <v>24</v>
      </c>
      <c r="E687" s="35" t="s">
        <v>175</v>
      </c>
      <c r="F687" s="13"/>
      <c r="G687" s="36">
        <v>100.0</v>
      </c>
      <c r="H687" s="36" t="s">
        <v>95</v>
      </c>
      <c r="I687" s="48">
        <v>100000.0</v>
      </c>
      <c r="J687" s="46">
        <f t="shared" si="268"/>
        <v>10000000</v>
      </c>
      <c r="K687" s="46"/>
      <c r="L687" s="46"/>
      <c r="M687" s="46"/>
      <c r="N687" s="46"/>
      <c r="O687" s="24">
        <f t="shared" si="5"/>
        <v>10000000</v>
      </c>
      <c r="P687" s="24">
        <f t="shared" si="6"/>
        <v>10000000</v>
      </c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22"/>
      <c r="C688" s="22"/>
      <c r="D688" s="47" t="s">
        <v>24</v>
      </c>
      <c r="E688" s="35" t="s">
        <v>176</v>
      </c>
      <c r="F688" s="13"/>
      <c r="G688" s="36">
        <v>100.0</v>
      </c>
      <c r="H688" s="36" t="s">
        <v>95</v>
      </c>
      <c r="I688" s="48">
        <v>350000.0</v>
      </c>
      <c r="J688" s="46">
        <f t="shared" si="268"/>
        <v>35000000</v>
      </c>
      <c r="K688" s="46"/>
      <c r="L688" s="46"/>
      <c r="M688" s="46"/>
      <c r="N688" s="46"/>
      <c r="O688" s="24">
        <f t="shared" si="5"/>
        <v>35000000</v>
      </c>
      <c r="P688" s="24">
        <f t="shared" si="6"/>
        <v>35000000</v>
      </c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22"/>
      <c r="C689" s="22"/>
      <c r="D689" s="47" t="s">
        <v>24</v>
      </c>
      <c r="E689" s="35" t="s">
        <v>177</v>
      </c>
      <c r="F689" s="13"/>
      <c r="G689" s="36">
        <v>50.0</v>
      </c>
      <c r="H689" s="36" t="s">
        <v>95</v>
      </c>
      <c r="I689" s="48">
        <v>175000.0</v>
      </c>
      <c r="J689" s="46">
        <f t="shared" si="268"/>
        <v>8750000</v>
      </c>
      <c r="K689" s="46"/>
      <c r="L689" s="46"/>
      <c r="M689" s="46"/>
      <c r="N689" s="46"/>
      <c r="O689" s="24">
        <f t="shared" si="5"/>
        <v>8750000</v>
      </c>
      <c r="P689" s="24">
        <f t="shared" si="6"/>
        <v>8750000</v>
      </c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22"/>
      <c r="C690" s="22"/>
      <c r="D690" s="47" t="s">
        <v>24</v>
      </c>
      <c r="E690" s="35" t="s">
        <v>178</v>
      </c>
      <c r="F690" s="13"/>
      <c r="G690" s="36">
        <v>350.0</v>
      </c>
      <c r="H690" s="36" t="s">
        <v>95</v>
      </c>
      <c r="I690" s="48">
        <v>150000.0</v>
      </c>
      <c r="J690" s="46">
        <f t="shared" si="268"/>
        <v>52500000</v>
      </c>
      <c r="K690" s="46"/>
      <c r="L690" s="46"/>
      <c r="M690" s="46"/>
      <c r="N690" s="46"/>
      <c r="O690" s="24">
        <f t="shared" si="5"/>
        <v>52500000</v>
      </c>
      <c r="P690" s="24">
        <f t="shared" si="6"/>
        <v>52500000</v>
      </c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22"/>
      <c r="C691" s="22"/>
      <c r="D691" s="47" t="s">
        <v>24</v>
      </c>
      <c r="E691" s="35" t="s">
        <v>179</v>
      </c>
      <c r="F691" s="13"/>
      <c r="G691" s="36">
        <v>350.0</v>
      </c>
      <c r="H691" s="36" t="s">
        <v>95</v>
      </c>
      <c r="I691" s="48">
        <v>200000.0</v>
      </c>
      <c r="J691" s="46">
        <f t="shared" si="268"/>
        <v>70000000</v>
      </c>
      <c r="K691" s="46"/>
      <c r="L691" s="46"/>
      <c r="M691" s="46"/>
      <c r="N691" s="46"/>
      <c r="O691" s="24">
        <f t="shared" si="5"/>
        <v>70000000</v>
      </c>
      <c r="P691" s="24">
        <f t="shared" si="6"/>
        <v>70000000</v>
      </c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22"/>
      <c r="C692" s="22"/>
      <c r="D692" s="47" t="s">
        <v>24</v>
      </c>
      <c r="E692" s="35" t="s">
        <v>180</v>
      </c>
      <c r="F692" s="13"/>
      <c r="G692" s="36">
        <v>600.0</v>
      </c>
      <c r="H692" s="36" t="s">
        <v>95</v>
      </c>
      <c r="I692" s="48">
        <v>250000.0</v>
      </c>
      <c r="J692" s="46">
        <f t="shared" si="268"/>
        <v>150000000</v>
      </c>
      <c r="K692" s="46"/>
      <c r="L692" s="46"/>
      <c r="M692" s="53">
        <v>1.600209E7</v>
      </c>
      <c r="N692" s="46"/>
      <c r="O692" s="24">
        <f t="shared" si="5"/>
        <v>150000000</v>
      </c>
      <c r="P692" s="24">
        <f t="shared" si="6"/>
        <v>133997910</v>
      </c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22"/>
      <c r="C693" s="22"/>
      <c r="D693" s="47" t="s">
        <v>24</v>
      </c>
      <c r="E693" s="35" t="s">
        <v>181</v>
      </c>
      <c r="F693" s="13"/>
      <c r="G693" s="36">
        <v>360.0</v>
      </c>
      <c r="H693" s="36" t="s">
        <v>95</v>
      </c>
      <c r="I693" s="48">
        <v>100000.0</v>
      </c>
      <c r="J693" s="46">
        <f t="shared" si="268"/>
        <v>36000000</v>
      </c>
      <c r="K693" s="46"/>
      <c r="L693" s="46"/>
      <c r="M693" s="46"/>
      <c r="N693" s="46"/>
      <c r="O693" s="24">
        <f t="shared" si="5"/>
        <v>36000000</v>
      </c>
      <c r="P693" s="24">
        <f t="shared" si="6"/>
        <v>36000000</v>
      </c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22"/>
      <c r="C694" s="22"/>
      <c r="D694" s="47" t="s">
        <v>24</v>
      </c>
      <c r="E694" s="35" t="s">
        <v>182</v>
      </c>
      <c r="F694" s="13"/>
      <c r="G694" s="36">
        <v>210.0</v>
      </c>
      <c r="H694" s="36" t="s">
        <v>95</v>
      </c>
      <c r="I694" s="48">
        <v>50000.0</v>
      </c>
      <c r="J694" s="46">
        <f t="shared" si="268"/>
        <v>10500000</v>
      </c>
      <c r="K694" s="46"/>
      <c r="L694" s="46"/>
      <c r="M694" s="46"/>
      <c r="N694" s="46"/>
      <c r="O694" s="24">
        <f t="shared" si="5"/>
        <v>10500000</v>
      </c>
      <c r="P694" s="24">
        <f t="shared" si="6"/>
        <v>10500000</v>
      </c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41" t="s">
        <v>126</v>
      </c>
      <c r="C695" s="13"/>
      <c r="D695" s="41" t="s">
        <v>127</v>
      </c>
      <c r="E695" s="12"/>
      <c r="F695" s="13"/>
      <c r="G695" s="42"/>
      <c r="H695" s="22"/>
      <c r="I695" s="22"/>
      <c r="J695" s="43">
        <f t="shared" ref="J695:K695" si="269">J696</f>
        <v>190740000</v>
      </c>
      <c r="K695" s="43">
        <f t="shared" si="269"/>
        <v>0</v>
      </c>
      <c r="L695" s="43"/>
      <c r="M695" s="43">
        <f>M696</f>
        <v>0</v>
      </c>
      <c r="N695" s="43"/>
      <c r="O695" s="24">
        <f t="shared" si="5"/>
        <v>190740000</v>
      </c>
      <c r="P695" s="24">
        <f t="shared" si="6"/>
        <v>190740000</v>
      </c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35" t="s">
        <v>68</v>
      </c>
      <c r="C696" s="13"/>
      <c r="D696" s="44" t="s">
        <v>69</v>
      </c>
      <c r="E696" s="12"/>
      <c r="F696" s="13"/>
      <c r="G696" s="45"/>
      <c r="H696" s="22"/>
      <c r="I696" s="22"/>
      <c r="J696" s="46">
        <f t="shared" ref="J696:K696" si="270">SUM(J698:J702)</f>
        <v>190740000</v>
      </c>
      <c r="K696" s="46">
        <f t="shared" si="270"/>
        <v>0</v>
      </c>
      <c r="L696" s="46"/>
      <c r="M696" s="46">
        <f>SUM(M698:M702)</f>
        <v>0</v>
      </c>
      <c r="N696" s="46"/>
      <c r="O696" s="24">
        <f t="shared" si="5"/>
        <v>190740000</v>
      </c>
      <c r="P696" s="24">
        <f t="shared" si="6"/>
        <v>190740000</v>
      </c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22"/>
      <c r="C697" s="22"/>
      <c r="D697" s="35" t="s">
        <v>23</v>
      </c>
      <c r="E697" s="12"/>
      <c r="F697" s="13"/>
      <c r="G697" s="36"/>
      <c r="H697" s="22"/>
      <c r="I697" s="22"/>
      <c r="J697" s="22"/>
      <c r="K697" s="22"/>
      <c r="L697" s="22"/>
      <c r="M697" s="22"/>
      <c r="N697" s="22"/>
      <c r="O697" s="24">
        <f t="shared" si="5"/>
        <v>0</v>
      </c>
      <c r="P697" s="24">
        <f t="shared" si="6"/>
        <v>0</v>
      </c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22"/>
      <c r="C698" s="22"/>
      <c r="D698" s="47" t="s">
        <v>24</v>
      </c>
      <c r="E698" s="35" t="s">
        <v>128</v>
      </c>
      <c r="F698" s="13"/>
      <c r="G698" s="36">
        <v>88.0</v>
      </c>
      <c r="H698" s="36" t="s">
        <v>129</v>
      </c>
      <c r="I698" s="48">
        <v>110000.0</v>
      </c>
      <c r="J698" s="46">
        <f t="shared" ref="J698:J702" si="271">G698*I698</f>
        <v>9680000</v>
      </c>
      <c r="K698" s="46"/>
      <c r="L698" s="46"/>
      <c r="M698" s="46"/>
      <c r="N698" s="46"/>
      <c r="O698" s="24">
        <f t="shared" si="5"/>
        <v>9680000</v>
      </c>
      <c r="P698" s="24">
        <f t="shared" si="6"/>
        <v>9680000</v>
      </c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22"/>
      <c r="C699" s="22"/>
      <c r="D699" s="47" t="s">
        <v>24</v>
      </c>
      <c r="E699" s="35" t="s">
        <v>130</v>
      </c>
      <c r="F699" s="13"/>
      <c r="G699" s="36">
        <v>88.0</v>
      </c>
      <c r="H699" s="36" t="s">
        <v>129</v>
      </c>
      <c r="I699" s="48">
        <v>120000.0</v>
      </c>
      <c r="J699" s="46">
        <f t="shared" si="271"/>
        <v>10560000</v>
      </c>
      <c r="K699" s="46"/>
      <c r="L699" s="46"/>
      <c r="M699" s="46"/>
      <c r="N699" s="46"/>
      <c r="O699" s="24">
        <f t="shared" si="5"/>
        <v>10560000</v>
      </c>
      <c r="P699" s="24">
        <f t="shared" si="6"/>
        <v>10560000</v>
      </c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22"/>
      <c r="C700" s="22"/>
      <c r="D700" s="47" t="s">
        <v>24</v>
      </c>
      <c r="E700" s="35" t="s">
        <v>131</v>
      </c>
      <c r="F700" s="13"/>
      <c r="G700" s="36">
        <v>88.0</v>
      </c>
      <c r="H700" s="36" t="s">
        <v>129</v>
      </c>
      <c r="I700" s="48">
        <v>350000.0</v>
      </c>
      <c r="J700" s="46">
        <f t="shared" si="271"/>
        <v>30800000</v>
      </c>
      <c r="K700" s="46"/>
      <c r="L700" s="46"/>
      <c r="M700" s="46"/>
      <c r="N700" s="46"/>
      <c r="O700" s="24">
        <f t="shared" si="5"/>
        <v>30800000</v>
      </c>
      <c r="P700" s="24">
        <f t="shared" si="6"/>
        <v>30800000</v>
      </c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22"/>
      <c r="C701" s="22"/>
      <c r="D701" s="47" t="s">
        <v>24</v>
      </c>
      <c r="E701" s="35" t="s">
        <v>132</v>
      </c>
      <c r="F701" s="13"/>
      <c r="G701" s="36">
        <v>44.0</v>
      </c>
      <c r="H701" s="36" t="s">
        <v>129</v>
      </c>
      <c r="I701" s="48">
        <v>175000.0</v>
      </c>
      <c r="J701" s="46">
        <f t="shared" si="271"/>
        <v>7700000</v>
      </c>
      <c r="K701" s="46"/>
      <c r="L701" s="46"/>
      <c r="M701" s="46"/>
      <c r="N701" s="46"/>
      <c r="O701" s="24">
        <f t="shared" si="5"/>
        <v>7700000</v>
      </c>
      <c r="P701" s="24">
        <f t="shared" si="6"/>
        <v>7700000</v>
      </c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22"/>
      <c r="C702" s="22"/>
      <c r="D702" s="47" t="s">
        <v>24</v>
      </c>
      <c r="E702" s="35" t="s">
        <v>211</v>
      </c>
      <c r="F702" s="13"/>
      <c r="G702" s="36">
        <v>528.0</v>
      </c>
      <c r="H702" s="36" t="s">
        <v>129</v>
      </c>
      <c r="I702" s="48">
        <v>250000.0</v>
      </c>
      <c r="J702" s="46">
        <f t="shared" si="271"/>
        <v>132000000</v>
      </c>
      <c r="K702" s="46"/>
      <c r="L702" s="46"/>
      <c r="M702" s="46"/>
      <c r="N702" s="46"/>
      <c r="O702" s="24">
        <f t="shared" si="5"/>
        <v>132000000</v>
      </c>
      <c r="P702" s="24">
        <f t="shared" si="6"/>
        <v>132000000</v>
      </c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41" t="s">
        <v>134</v>
      </c>
      <c r="C703" s="13"/>
      <c r="D703" s="41" t="s">
        <v>135</v>
      </c>
      <c r="E703" s="12"/>
      <c r="F703" s="13"/>
      <c r="G703" s="42"/>
      <c r="H703" s="22"/>
      <c r="I703" s="22"/>
      <c r="J703" s="43">
        <f t="shared" ref="J703:K703" si="272">J704</f>
        <v>20020000</v>
      </c>
      <c r="K703" s="43">
        <f t="shared" si="272"/>
        <v>0</v>
      </c>
      <c r="L703" s="43"/>
      <c r="M703" s="43">
        <f>M704</f>
        <v>0</v>
      </c>
      <c r="N703" s="43"/>
      <c r="O703" s="24">
        <f t="shared" si="5"/>
        <v>20020000</v>
      </c>
      <c r="P703" s="24">
        <f t="shared" si="6"/>
        <v>20020000</v>
      </c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35" t="s">
        <v>68</v>
      </c>
      <c r="C704" s="13"/>
      <c r="D704" s="44" t="s">
        <v>69</v>
      </c>
      <c r="E704" s="12"/>
      <c r="F704" s="13"/>
      <c r="G704" s="45"/>
      <c r="H704" s="22"/>
      <c r="I704" s="22"/>
      <c r="J704" s="46">
        <f t="shared" ref="J704:K704" si="273">SUM(J706:J710)</f>
        <v>20020000</v>
      </c>
      <c r="K704" s="46">
        <f t="shared" si="273"/>
        <v>0</v>
      </c>
      <c r="L704" s="46"/>
      <c r="M704" s="46">
        <f>SUM(M706:M710)</f>
        <v>0</v>
      </c>
      <c r="N704" s="46"/>
      <c r="O704" s="24">
        <f t="shared" si="5"/>
        <v>20020000</v>
      </c>
      <c r="P704" s="24">
        <f t="shared" si="6"/>
        <v>20020000</v>
      </c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22"/>
      <c r="C705" s="22"/>
      <c r="D705" s="35" t="s">
        <v>23</v>
      </c>
      <c r="E705" s="12"/>
      <c r="F705" s="13"/>
      <c r="G705" s="36"/>
      <c r="H705" s="22"/>
      <c r="I705" s="22"/>
      <c r="J705" s="22"/>
      <c r="K705" s="22"/>
      <c r="L705" s="22"/>
      <c r="M705" s="22"/>
      <c r="N705" s="22"/>
      <c r="O705" s="24">
        <f t="shared" si="5"/>
        <v>0</v>
      </c>
      <c r="P705" s="24">
        <f t="shared" si="6"/>
        <v>0</v>
      </c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22"/>
      <c r="C706" s="22"/>
      <c r="D706" s="47" t="s">
        <v>24</v>
      </c>
      <c r="E706" s="35" t="s">
        <v>183</v>
      </c>
      <c r="F706" s="13"/>
      <c r="G706" s="36">
        <v>150.0</v>
      </c>
      <c r="H706" s="36" t="s">
        <v>95</v>
      </c>
      <c r="I706" s="48">
        <v>75000.0</v>
      </c>
      <c r="J706" s="46">
        <f t="shared" ref="J706:J710" si="274">G706*I706</f>
        <v>11250000</v>
      </c>
      <c r="K706" s="46"/>
      <c r="L706" s="46"/>
      <c r="M706" s="46"/>
      <c r="N706" s="46"/>
      <c r="O706" s="24">
        <f t="shared" si="5"/>
        <v>11250000</v>
      </c>
      <c r="P706" s="24">
        <f t="shared" si="6"/>
        <v>11250000</v>
      </c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22"/>
      <c r="C707" s="22"/>
      <c r="D707" s="47" t="s">
        <v>24</v>
      </c>
      <c r="E707" s="35" t="s">
        <v>137</v>
      </c>
      <c r="F707" s="13"/>
      <c r="G707" s="36">
        <v>2.0</v>
      </c>
      <c r="H707" s="36" t="s">
        <v>95</v>
      </c>
      <c r="I707" s="48">
        <v>360000.0</v>
      </c>
      <c r="J707" s="46">
        <f t="shared" si="274"/>
        <v>720000</v>
      </c>
      <c r="K707" s="46"/>
      <c r="L707" s="46"/>
      <c r="M707" s="46"/>
      <c r="N707" s="46"/>
      <c r="O707" s="24">
        <f t="shared" si="5"/>
        <v>720000</v>
      </c>
      <c r="P707" s="24">
        <f t="shared" si="6"/>
        <v>720000</v>
      </c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22"/>
      <c r="C708" s="22"/>
      <c r="D708" s="47" t="s">
        <v>24</v>
      </c>
      <c r="E708" s="35" t="s">
        <v>184</v>
      </c>
      <c r="F708" s="13"/>
      <c r="G708" s="36">
        <v>50.0</v>
      </c>
      <c r="H708" s="36" t="s">
        <v>95</v>
      </c>
      <c r="I708" s="48">
        <v>93000.0</v>
      </c>
      <c r="J708" s="46">
        <f t="shared" si="274"/>
        <v>4650000</v>
      </c>
      <c r="K708" s="46"/>
      <c r="L708" s="46"/>
      <c r="M708" s="46"/>
      <c r="N708" s="46"/>
      <c r="O708" s="24">
        <f t="shared" si="5"/>
        <v>4650000</v>
      </c>
      <c r="P708" s="24">
        <f t="shared" si="6"/>
        <v>4650000</v>
      </c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22"/>
      <c r="C709" s="22"/>
      <c r="D709" s="47" t="s">
        <v>24</v>
      </c>
      <c r="E709" s="35" t="s">
        <v>185</v>
      </c>
      <c r="F709" s="13"/>
      <c r="G709" s="36">
        <v>50.0</v>
      </c>
      <c r="H709" s="36" t="s">
        <v>95</v>
      </c>
      <c r="I709" s="48">
        <v>53000.0</v>
      </c>
      <c r="J709" s="46">
        <f t="shared" si="274"/>
        <v>2650000</v>
      </c>
      <c r="K709" s="46"/>
      <c r="L709" s="46"/>
      <c r="M709" s="46"/>
      <c r="N709" s="46"/>
      <c r="O709" s="24">
        <f t="shared" si="5"/>
        <v>2650000</v>
      </c>
      <c r="P709" s="24">
        <f t="shared" si="6"/>
        <v>2650000</v>
      </c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22"/>
      <c r="C710" s="22"/>
      <c r="D710" s="47" t="s">
        <v>24</v>
      </c>
      <c r="E710" s="35" t="s">
        <v>186</v>
      </c>
      <c r="F710" s="13"/>
      <c r="G710" s="36">
        <v>50.0</v>
      </c>
      <c r="H710" s="36" t="s">
        <v>95</v>
      </c>
      <c r="I710" s="48">
        <v>15000.0</v>
      </c>
      <c r="J710" s="46">
        <f t="shared" si="274"/>
        <v>750000</v>
      </c>
      <c r="K710" s="46"/>
      <c r="L710" s="46"/>
      <c r="M710" s="46"/>
      <c r="N710" s="46"/>
      <c r="O710" s="24">
        <f t="shared" si="5"/>
        <v>750000</v>
      </c>
      <c r="P710" s="24">
        <f t="shared" si="6"/>
        <v>750000</v>
      </c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41" t="s">
        <v>141</v>
      </c>
      <c r="C711" s="13"/>
      <c r="D711" s="41" t="s">
        <v>142</v>
      </c>
      <c r="E711" s="12"/>
      <c r="F711" s="13"/>
      <c r="G711" s="42"/>
      <c r="H711" s="22"/>
      <c r="I711" s="22"/>
      <c r="J711" s="43">
        <f t="shared" ref="J711:K711" si="275">J712</f>
        <v>145500000</v>
      </c>
      <c r="K711" s="43">
        <f t="shared" si="275"/>
        <v>0</v>
      </c>
      <c r="L711" s="43"/>
      <c r="M711" s="43">
        <f>M712</f>
        <v>0</v>
      </c>
      <c r="N711" s="43"/>
      <c r="O711" s="24">
        <f t="shared" si="5"/>
        <v>145500000</v>
      </c>
      <c r="P711" s="24">
        <f t="shared" si="6"/>
        <v>145500000</v>
      </c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35" t="s">
        <v>68</v>
      </c>
      <c r="C712" s="13"/>
      <c r="D712" s="44" t="s">
        <v>69</v>
      </c>
      <c r="E712" s="12"/>
      <c r="F712" s="13"/>
      <c r="G712" s="45"/>
      <c r="H712" s="22"/>
      <c r="I712" s="22"/>
      <c r="J712" s="46">
        <f t="shared" ref="J712:K712" si="276">SUM(J714:J716)</f>
        <v>145500000</v>
      </c>
      <c r="K712" s="46">
        <f t="shared" si="276"/>
        <v>0</v>
      </c>
      <c r="L712" s="46"/>
      <c r="M712" s="46">
        <f>SUM(M714:M716)</f>
        <v>0</v>
      </c>
      <c r="N712" s="46"/>
      <c r="O712" s="24">
        <f t="shared" si="5"/>
        <v>145500000</v>
      </c>
      <c r="P712" s="24">
        <f t="shared" si="6"/>
        <v>145500000</v>
      </c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22"/>
      <c r="C713" s="22"/>
      <c r="D713" s="35" t="s">
        <v>23</v>
      </c>
      <c r="E713" s="12"/>
      <c r="F713" s="13"/>
      <c r="G713" s="36"/>
      <c r="H713" s="22"/>
      <c r="I713" s="22"/>
      <c r="J713" s="22"/>
      <c r="K713" s="22"/>
      <c r="L713" s="22"/>
      <c r="M713" s="22"/>
      <c r="N713" s="22"/>
      <c r="O713" s="24">
        <f t="shared" si="5"/>
        <v>0</v>
      </c>
      <c r="P713" s="24">
        <f t="shared" si="6"/>
        <v>0</v>
      </c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22"/>
      <c r="C714" s="22"/>
      <c r="D714" s="47" t="s">
        <v>24</v>
      </c>
      <c r="E714" s="35" t="s">
        <v>187</v>
      </c>
      <c r="F714" s="13"/>
      <c r="G714" s="36">
        <v>50.0</v>
      </c>
      <c r="H714" s="36" t="s">
        <v>95</v>
      </c>
      <c r="I714" s="48">
        <v>2000000.0</v>
      </c>
      <c r="J714" s="46">
        <f t="shared" ref="J714:J716" si="277">G714*I714</f>
        <v>100000000</v>
      </c>
      <c r="K714" s="46"/>
      <c r="L714" s="46"/>
      <c r="M714" s="46"/>
      <c r="N714" s="46"/>
      <c r="O714" s="24">
        <f t="shared" si="5"/>
        <v>100000000</v>
      </c>
      <c r="P714" s="24">
        <f t="shared" si="6"/>
        <v>100000000</v>
      </c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22"/>
      <c r="C715" s="22"/>
      <c r="D715" s="47" t="s">
        <v>24</v>
      </c>
      <c r="E715" s="35" t="s">
        <v>188</v>
      </c>
      <c r="F715" s="13"/>
      <c r="G715" s="36">
        <v>50.0</v>
      </c>
      <c r="H715" s="36" t="s">
        <v>95</v>
      </c>
      <c r="I715" s="48">
        <v>750000.0</v>
      </c>
      <c r="J715" s="46">
        <f t="shared" si="277"/>
        <v>37500000</v>
      </c>
      <c r="K715" s="46"/>
      <c r="L715" s="46"/>
      <c r="M715" s="46"/>
      <c r="N715" s="46"/>
      <c r="O715" s="24">
        <f t="shared" si="5"/>
        <v>37500000</v>
      </c>
      <c r="P715" s="24">
        <f t="shared" si="6"/>
        <v>37500000</v>
      </c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22"/>
      <c r="C716" s="22"/>
      <c r="D716" s="47" t="s">
        <v>24</v>
      </c>
      <c r="E716" s="35" t="s">
        <v>145</v>
      </c>
      <c r="F716" s="13"/>
      <c r="G716" s="36">
        <v>4.0</v>
      </c>
      <c r="H716" s="36" t="s">
        <v>95</v>
      </c>
      <c r="I716" s="48">
        <v>2000000.0</v>
      </c>
      <c r="J716" s="46">
        <f t="shared" si="277"/>
        <v>8000000</v>
      </c>
      <c r="K716" s="46"/>
      <c r="L716" s="46"/>
      <c r="M716" s="46"/>
      <c r="N716" s="46"/>
      <c r="O716" s="24">
        <f t="shared" si="5"/>
        <v>8000000</v>
      </c>
      <c r="P716" s="24">
        <f t="shared" si="6"/>
        <v>8000000</v>
      </c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41" t="s">
        <v>146</v>
      </c>
      <c r="C717" s="13"/>
      <c r="D717" s="41" t="s">
        <v>147</v>
      </c>
      <c r="E717" s="12"/>
      <c r="F717" s="13"/>
      <c r="G717" s="42"/>
      <c r="H717" s="22"/>
      <c r="I717" s="22"/>
      <c r="J717" s="43">
        <f t="shared" ref="J717:K717" si="278">J718+J725</f>
        <v>219800000</v>
      </c>
      <c r="K717" s="43">
        <f t="shared" si="278"/>
        <v>0</v>
      </c>
      <c r="L717" s="43"/>
      <c r="M717" s="43">
        <f>M718+M725</f>
        <v>1500000</v>
      </c>
      <c r="N717" s="43"/>
      <c r="O717" s="24">
        <f t="shared" si="5"/>
        <v>219800000</v>
      </c>
      <c r="P717" s="24">
        <f t="shared" si="6"/>
        <v>218300000</v>
      </c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35" t="s">
        <v>74</v>
      </c>
      <c r="C718" s="13"/>
      <c r="D718" s="44" t="s">
        <v>75</v>
      </c>
      <c r="E718" s="12"/>
      <c r="F718" s="13"/>
      <c r="G718" s="45"/>
      <c r="H718" s="22"/>
      <c r="I718" s="22"/>
      <c r="J718" s="46">
        <f t="shared" ref="J718:K718" si="279">SUM(J720:J724)</f>
        <v>195800000</v>
      </c>
      <c r="K718" s="46">
        <f t="shared" si="279"/>
        <v>0</v>
      </c>
      <c r="L718" s="46"/>
      <c r="M718" s="46">
        <f>SUM(M720:M724)</f>
        <v>820000</v>
      </c>
      <c r="N718" s="46"/>
      <c r="O718" s="24">
        <f t="shared" si="5"/>
        <v>195800000</v>
      </c>
      <c r="P718" s="24">
        <f t="shared" si="6"/>
        <v>194980000</v>
      </c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22"/>
      <c r="C719" s="22"/>
      <c r="D719" s="35" t="s">
        <v>23</v>
      </c>
      <c r="E719" s="12"/>
      <c r="F719" s="13"/>
      <c r="G719" s="36"/>
      <c r="H719" s="22"/>
      <c r="I719" s="22"/>
      <c r="J719" s="22"/>
      <c r="K719" s="22"/>
      <c r="L719" s="22"/>
      <c r="M719" s="22"/>
      <c r="N719" s="22"/>
      <c r="O719" s="24">
        <f t="shared" si="5"/>
        <v>0</v>
      </c>
      <c r="P719" s="24">
        <f t="shared" si="6"/>
        <v>0</v>
      </c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22"/>
      <c r="C720" s="22"/>
      <c r="D720" s="47" t="s">
        <v>24</v>
      </c>
      <c r="E720" s="35" t="s">
        <v>148</v>
      </c>
      <c r="F720" s="13"/>
      <c r="G720" s="36">
        <v>75.0</v>
      </c>
      <c r="H720" s="36" t="s">
        <v>26</v>
      </c>
      <c r="I720" s="48">
        <v>430000.0</v>
      </c>
      <c r="J720" s="46">
        <f t="shared" ref="J720:J724" si="280">G720*I720</f>
        <v>32250000</v>
      </c>
      <c r="K720" s="46"/>
      <c r="L720" s="46"/>
      <c r="M720" s="46"/>
      <c r="N720" s="46"/>
      <c r="O720" s="24">
        <f t="shared" si="5"/>
        <v>32250000</v>
      </c>
      <c r="P720" s="24">
        <f t="shared" si="6"/>
        <v>32250000</v>
      </c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22"/>
      <c r="C721" s="22"/>
      <c r="D721" s="47" t="s">
        <v>24</v>
      </c>
      <c r="E721" s="35" t="s">
        <v>149</v>
      </c>
      <c r="F721" s="13"/>
      <c r="G721" s="36">
        <v>50.0</v>
      </c>
      <c r="H721" s="36" t="s">
        <v>26</v>
      </c>
      <c r="I721" s="48">
        <v>783500.0</v>
      </c>
      <c r="J721" s="46">
        <f t="shared" si="280"/>
        <v>39175000</v>
      </c>
      <c r="K721" s="46"/>
      <c r="L721" s="46"/>
      <c r="M721" s="53">
        <v>820000.0</v>
      </c>
      <c r="N721" s="46"/>
      <c r="O721" s="24">
        <f t="shared" si="5"/>
        <v>39175000</v>
      </c>
      <c r="P721" s="24">
        <f t="shared" si="6"/>
        <v>38355000</v>
      </c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22"/>
      <c r="C722" s="22"/>
      <c r="D722" s="47" t="s">
        <v>24</v>
      </c>
      <c r="E722" s="35" t="s">
        <v>150</v>
      </c>
      <c r="F722" s="13"/>
      <c r="G722" s="36">
        <v>25.0</v>
      </c>
      <c r="H722" s="36" t="s">
        <v>26</v>
      </c>
      <c r="I722" s="48">
        <v>875000.0</v>
      </c>
      <c r="J722" s="46">
        <f t="shared" si="280"/>
        <v>21875000</v>
      </c>
      <c r="K722" s="46"/>
      <c r="L722" s="46"/>
      <c r="M722" s="46"/>
      <c r="N722" s="46"/>
      <c r="O722" s="24">
        <f t="shared" si="5"/>
        <v>21875000</v>
      </c>
      <c r="P722" s="24">
        <f t="shared" si="6"/>
        <v>21875000</v>
      </c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22"/>
      <c r="C723" s="22"/>
      <c r="D723" s="47" t="s">
        <v>24</v>
      </c>
      <c r="E723" s="35" t="s">
        <v>189</v>
      </c>
      <c r="F723" s="13"/>
      <c r="G723" s="36">
        <v>100.0</v>
      </c>
      <c r="H723" s="36" t="s">
        <v>26</v>
      </c>
      <c r="I723" s="48">
        <v>500000.0</v>
      </c>
      <c r="J723" s="46">
        <f t="shared" si="280"/>
        <v>50000000</v>
      </c>
      <c r="K723" s="46"/>
      <c r="L723" s="46"/>
      <c r="M723" s="46"/>
      <c r="N723" s="46"/>
      <c r="O723" s="24">
        <f t="shared" si="5"/>
        <v>50000000</v>
      </c>
      <c r="P723" s="24">
        <f t="shared" si="6"/>
        <v>50000000</v>
      </c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22"/>
      <c r="C724" s="22"/>
      <c r="D724" s="47" t="s">
        <v>24</v>
      </c>
      <c r="E724" s="35" t="s">
        <v>190</v>
      </c>
      <c r="F724" s="13"/>
      <c r="G724" s="36">
        <v>150.0</v>
      </c>
      <c r="H724" s="36" t="s">
        <v>26</v>
      </c>
      <c r="I724" s="48">
        <v>350000.0</v>
      </c>
      <c r="J724" s="46">
        <f t="shared" si="280"/>
        <v>52500000</v>
      </c>
      <c r="K724" s="46"/>
      <c r="L724" s="46"/>
      <c r="M724" s="46"/>
      <c r="N724" s="46"/>
      <c r="O724" s="24">
        <f t="shared" si="5"/>
        <v>52500000</v>
      </c>
      <c r="P724" s="24">
        <f t="shared" si="6"/>
        <v>52500000</v>
      </c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35" t="s">
        <v>79</v>
      </c>
      <c r="C725" s="13"/>
      <c r="D725" s="44" t="s">
        <v>80</v>
      </c>
      <c r="E725" s="12"/>
      <c r="F725" s="13"/>
      <c r="G725" s="45"/>
      <c r="H725" s="22"/>
      <c r="I725" s="22"/>
      <c r="J725" s="46">
        <f t="shared" ref="J725:K725" si="281">J727</f>
        <v>24000000</v>
      </c>
      <c r="K725" s="46" t="str">
        <f t="shared" si="281"/>
        <v/>
      </c>
      <c r="L725" s="46"/>
      <c r="M725" s="46">
        <f>M727</f>
        <v>680000</v>
      </c>
      <c r="N725" s="46"/>
      <c r="O725" s="24">
        <f t="shared" si="5"/>
        <v>24000000</v>
      </c>
      <c r="P725" s="24">
        <f t="shared" si="6"/>
        <v>23320000</v>
      </c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22"/>
      <c r="C726" s="22"/>
      <c r="D726" s="35" t="s">
        <v>23</v>
      </c>
      <c r="E726" s="12"/>
      <c r="F726" s="13"/>
      <c r="G726" s="36"/>
      <c r="H726" s="22"/>
      <c r="I726" s="22"/>
      <c r="J726" s="22"/>
      <c r="K726" s="22"/>
      <c r="L726" s="22"/>
      <c r="M726" s="22"/>
      <c r="N726" s="22"/>
      <c r="O726" s="24">
        <f t="shared" si="5"/>
        <v>0</v>
      </c>
      <c r="P726" s="24">
        <f t="shared" si="6"/>
        <v>0</v>
      </c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22"/>
      <c r="C727" s="22"/>
      <c r="D727" s="47" t="s">
        <v>24</v>
      </c>
      <c r="E727" s="35" t="s">
        <v>153</v>
      </c>
      <c r="F727" s="13"/>
      <c r="G727" s="36">
        <v>160.0</v>
      </c>
      <c r="H727" s="36" t="s">
        <v>26</v>
      </c>
      <c r="I727" s="48">
        <v>150000.0</v>
      </c>
      <c r="J727" s="46">
        <f>G727*I727</f>
        <v>24000000</v>
      </c>
      <c r="K727" s="46"/>
      <c r="L727" s="46"/>
      <c r="M727" s="53">
        <v>680000.0</v>
      </c>
      <c r="N727" s="46"/>
      <c r="O727" s="24">
        <f t="shared" si="5"/>
        <v>24000000</v>
      </c>
      <c r="P727" s="24">
        <f t="shared" si="6"/>
        <v>23320000</v>
      </c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37" t="s">
        <v>212</v>
      </c>
      <c r="C728" s="13"/>
      <c r="D728" s="37" t="s">
        <v>213</v>
      </c>
      <c r="E728" s="12"/>
      <c r="F728" s="13"/>
      <c r="G728" s="38"/>
      <c r="H728" s="38"/>
      <c r="I728" s="39"/>
      <c r="J728" s="40">
        <f t="shared" ref="J728:K728" si="282">J729+J743+J755+J768+J785+J794+J804+J809+J825+J839+J847+J855+J861</f>
        <v>3064496000</v>
      </c>
      <c r="K728" s="40">
        <f t="shared" si="282"/>
        <v>147431000</v>
      </c>
      <c r="L728" s="40"/>
      <c r="M728" s="40">
        <f>M729+M743+M755+M768+M785+M794+M804+M809+M825+M839+M847+M855+M861</f>
        <v>281790116</v>
      </c>
      <c r="N728" s="40"/>
      <c r="O728" s="24">
        <f t="shared" si="5"/>
        <v>2917065000</v>
      </c>
      <c r="P728" s="24">
        <f t="shared" si="6"/>
        <v>2782705884</v>
      </c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41" t="s">
        <v>20</v>
      </c>
      <c r="C729" s="13"/>
      <c r="D729" s="41" t="s">
        <v>21</v>
      </c>
      <c r="E729" s="12"/>
      <c r="F729" s="13"/>
      <c r="G729" s="42"/>
      <c r="H729" s="22"/>
      <c r="I729" s="22"/>
      <c r="J729" s="43">
        <f t="shared" ref="J729:K729" si="283">J730+J739</f>
        <v>142640000</v>
      </c>
      <c r="K729" s="43">
        <f t="shared" si="283"/>
        <v>0</v>
      </c>
      <c r="L729" s="43"/>
      <c r="M729" s="43">
        <f>M730+M739</f>
        <v>13172500</v>
      </c>
      <c r="N729" s="43"/>
      <c r="O729" s="24">
        <f t="shared" si="5"/>
        <v>142640000</v>
      </c>
      <c r="P729" s="24">
        <f t="shared" si="6"/>
        <v>129467500</v>
      </c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35" t="s">
        <v>40</v>
      </c>
      <c r="C730" s="13"/>
      <c r="D730" s="44" t="s">
        <v>22</v>
      </c>
      <c r="E730" s="12"/>
      <c r="F730" s="13"/>
      <c r="G730" s="45"/>
      <c r="H730" s="22"/>
      <c r="I730" s="22"/>
      <c r="J730" s="46">
        <f t="shared" ref="J730:K730" si="284">SUM(J732:J738)</f>
        <v>130640000</v>
      </c>
      <c r="K730" s="46">
        <f t="shared" si="284"/>
        <v>0</v>
      </c>
      <c r="L730" s="46"/>
      <c r="M730" s="46">
        <f>SUM(M732:M738)</f>
        <v>12272500</v>
      </c>
      <c r="N730" s="46"/>
      <c r="O730" s="24">
        <f t="shared" si="5"/>
        <v>130640000</v>
      </c>
      <c r="P730" s="24">
        <f t="shared" si="6"/>
        <v>118367500</v>
      </c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22"/>
      <c r="C731" s="22"/>
      <c r="D731" s="35" t="s">
        <v>23</v>
      </c>
      <c r="E731" s="12"/>
      <c r="F731" s="13"/>
      <c r="G731" s="36"/>
      <c r="H731" s="22"/>
      <c r="I731" s="22"/>
      <c r="J731" s="22"/>
      <c r="K731" s="22"/>
      <c r="L731" s="22"/>
      <c r="M731" s="22"/>
      <c r="N731" s="22"/>
      <c r="O731" s="24">
        <f t="shared" si="5"/>
        <v>0</v>
      </c>
      <c r="P731" s="24">
        <f t="shared" si="6"/>
        <v>0</v>
      </c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22"/>
      <c r="C732" s="22"/>
      <c r="D732" s="47" t="s">
        <v>24</v>
      </c>
      <c r="E732" s="35" t="s">
        <v>156</v>
      </c>
      <c r="F732" s="13"/>
      <c r="G732" s="36">
        <v>24.0</v>
      </c>
      <c r="H732" s="36" t="s">
        <v>26</v>
      </c>
      <c r="I732" s="48">
        <v>500000.0</v>
      </c>
      <c r="J732" s="46">
        <f t="shared" ref="J732:J738" si="285">G732*I732</f>
        <v>12000000</v>
      </c>
      <c r="K732" s="46"/>
      <c r="L732" s="46"/>
      <c r="M732" s="46"/>
      <c r="N732" s="46"/>
      <c r="O732" s="24">
        <f t="shared" si="5"/>
        <v>12000000</v>
      </c>
      <c r="P732" s="24">
        <f t="shared" si="6"/>
        <v>12000000</v>
      </c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22"/>
      <c r="C733" s="22"/>
      <c r="D733" s="47" t="s">
        <v>24</v>
      </c>
      <c r="E733" s="35" t="s">
        <v>27</v>
      </c>
      <c r="F733" s="13"/>
      <c r="G733" s="36">
        <v>2.0</v>
      </c>
      <c r="H733" s="36" t="s">
        <v>26</v>
      </c>
      <c r="I733" s="48">
        <v>2000000.0</v>
      </c>
      <c r="J733" s="46">
        <f t="shared" si="285"/>
        <v>4000000</v>
      </c>
      <c r="K733" s="46"/>
      <c r="L733" s="46"/>
      <c r="M733" s="46"/>
      <c r="N733" s="46"/>
      <c r="O733" s="24">
        <f t="shared" si="5"/>
        <v>4000000</v>
      </c>
      <c r="P733" s="24">
        <f t="shared" si="6"/>
        <v>4000000</v>
      </c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22"/>
      <c r="C734" s="22"/>
      <c r="D734" s="47" t="s">
        <v>24</v>
      </c>
      <c r="E734" s="35" t="s">
        <v>28</v>
      </c>
      <c r="F734" s="13"/>
      <c r="G734" s="36">
        <v>10.0</v>
      </c>
      <c r="H734" s="36" t="s">
        <v>26</v>
      </c>
      <c r="I734" s="48">
        <v>500000.0</v>
      </c>
      <c r="J734" s="46">
        <f t="shared" si="285"/>
        <v>5000000</v>
      </c>
      <c r="K734" s="46"/>
      <c r="L734" s="46"/>
      <c r="M734" s="46"/>
      <c r="N734" s="46"/>
      <c r="O734" s="24">
        <f t="shared" si="5"/>
        <v>5000000</v>
      </c>
      <c r="P734" s="24">
        <f t="shared" si="6"/>
        <v>5000000</v>
      </c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22"/>
      <c r="C735" s="22"/>
      <c r="D735" s="47" t="s">
        <v>24</v>
      </c>
      <c r="E735" s="35" t="s">
        <v>157</v>
      </c>
      <c r="F735" s="13"/>
      <c r="G735" s="36">
        <v>200.0</v>
      </c>
      <c r="H735" s="36" t="s">
        <v>26</v>
      </c>
      <c r="I735" s="48">
        <v>25000.0</v>
      </c>
      <c r="J735" s="46">
        <f t="shared" si="285"/>
        <v>5000000</v>
      </c>
      <c r="K735" s="46"/>
      <c r="L735" s="46"/>
      <c r="M735" s="46"/>
      <c r="N735" s="46"/>
      <c r="O735" s="24">
        <f t="shared" si="5"/>
        <v>5000000</v>
      </c>
      <c r="P735" s="24">
        <f t="shared" si="6"/>
        <v>5000000</v>
      </c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22"/>
      <c r="C736" s="22"/>
      <c r="D736" s="47" t="s">
        <v>24</v>
      </c>
      <c r="E736" s="35" t="s">
        <v>31</v>
      </c>
      <c r="F736" s="13"/>
      <c r="G736" s="36">
        <v>320.0</v>
      </c>
      <c r="H736" s="36" t="s">
        <v>26</v>
      </c>
      <c r="I736" s="48">
        <v>53000.0</v>
      </c>
      <c r="J736" s="46">
        <f t="shared" si="285"/>
        <v>16960000</v>
      </c>
      <c r="K736" s="46"/>
      <c r="L736" s="46"/>
      <c r="M736" s="53">
        <v>3478000.0</v>
      </c>
      <c r="N736" s="46"/>
      <c r="O736" s="24">
        <f t="shared" si="5"/>
        <v>16960000</v>
      </c>
      <c r="P736" s="24">
        <f t="shared" si="6"/>
        <v>13482000</v>
      </c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22"/>
      <c r="C737" s="22"/>
      <c r="D737" s="47" t="s">
        <v>24</v>
      </c>
      <c r="E737" s="35" t="s">
        <v>32</v>
      </c>
      <c r="F737" s="13"/>
      <c r="G737" s="36">
        <v>320.0</v>
      </c>
      <c r="H737" s="36" t="s">
        <v>26</v>
      </c>
      <c r="I737" s="48">
        <v>24000.0</v>
      </c>
      <c r="J737" s="46">
        <f t="shared" si="285"/>
        <v>7680000</v>
      </c>
      <c r="K737" s="46"/>
      <c r="L737" s="46"/>
      <c r="M737" s="53">
        <v>3115000.0</v>
      </c>
      <c r="N737" s="46"/>
      <c r="O737" s="24">
        <f t="shared" si="5"/>
        <v>7680000</v>
      </c>
      <c r="P737" s="24">
        <f t="shared" si="6"/>
        <v>4565000</v>
      </c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22"/>
      <c r="C738" s="22"/>
      <c r="D738" s="47" t="s">
        <v>24</v>
      </c>
      <c r="E738" s="35" t="s">
        <v>158</v>
      </c>
      <c r="F738" s="13"/>
      <c r="G738" s="36">
        <v>100.0</v>
      </c>
      <c r="H738" s="36" t="s">
        <v>26</v>
      </c>
      <c r="I738" s="48">
        <v>800000.0</v>
      </c>
      <c r="J738" s="46">
        <f t="shared" si="285"/>
        <v>80000000</v>
      </c>
      <c r="K738" s="46"/>
      <c r="L738" s="46"/>
      <c r="M738" s="53">
        <v>5679500.0</v>
      </c>
      <c r="N738" s="46"/>
      <c r="O738" s="24">
        <f t="shared" si="5"/>
        <v>80000000</v>
      </c>
      <c r="P738" s="24">
        <f t="shared" si="6"/>
        <v>74320500</v>
      </c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35" t="s">
        <v>58</v>
      </c>
      <c r="C739" s="13"/>
      <c r="D739" s="44" t="s">
        <v>34</v>
      </c>
      <c r="E739" s="12"/>
      <c r="F739" s="13"/>
      <c r="G739" s="45"/>
      <c r="H739" s="22"/>
      <c r="I739" s="22"/>
      <c r="J739" s="46">
        <f t="shared" ref="J739:K739" si="286">SUM(J741:J742)</f>
        <v>12000000</v>
      </c>
      <c r="K739" s="46">
        <f t="shared" si="286"/>
        <v>0</v>
      </c>
      <c r="L739" s="46"/>
      <c r="M739" s="46">
        <f>SUM(M741:M742)</f>
        <v>900000</v>
      </c>
      <c r="N739" s="46"/>
      <c r="O739" s="24">
        <f t="shared" si="5"/>
        <v>12000000</v>
      </c>
      <c r="P739" s="24">
        <f t="shared" si="6"/>
        <v>11100000</v>
      </c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22"/>
      <c r="C740" s="22"/>
      <c r="D740" s="35" t="s">
        <v>23</v>
      </c>
      <c r="E740" s="12"/>
      <c r="F740" s="13"/>
      <c r="G740" s="36"/>
      <c r="H740" s="22"/>
      <c r="I740" s="22"/>
      <c r="J740" s="22"/>
      <c r="K740" s="22"/>
      <c r="L740" s="22"/>
      <c r="M740" s="22"/>
      <c r="N740" s="22"/>
      <c r="O740" s="24">
        <f t="shared" si="5"/>
        <v>0</v>
      </c>
      <c r="P740" s="24">
        <f t="shared" si="6"/>
        <v>0</v>
      </c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22"/>
      <c r="C741" s="22"/>
      <c r="D741" s="47" t="s">
        <v>24</v>
      </c>
      <c r="E741" s="35" t="s">
        <v>159</v>
      </c>
      <c r="F741" s="13"/>
      <c r="G741" s="36">
        <v>16.0</v>
      </c>
      <c r="H741" s="36" t="s">
        <v>26</v>
      </c>
      <c r="I741" s="48">
        <v>500000.0</v>
      </c>
      <c r="J741" s="46">
        <f t="shared" ref="J741:J742" si="287">G741*I741</f>
        <v>8000000</v>
      </c>
      <c r="K741" s="46"/>
      <c r="L741" s="46"/>
      <c r="M741" s="53">
        <v>900000.0</v>
      </c>
      <c r="N741" s="46"/>
      <c r="O741" s="24">
        <f t="shared" si="5"/>
        <v>8000000</v>
      </c>
      <c r="P741" s="24">
        <f t="shared" si="6"/>
        <v>7100000</v>
      </c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22"/>
      <c r="C742" s="22"/>
      <c r="D742" s="47" t="s">
        <v>24</v>
      </c>
      <c r="E742" s="35" t="s">
        <v>36</v>
      </c>
      <c r="F742" s="13"/>
      <c r="G742" s="36">
        <v>8.0</v>
      </c>
      <c r="H742" s="36" t="s">
        <v>26</v>
      </c>
      <c r="I742" s="48">
        <v>500000.0</v>
      </c>
      <c r="J742" s="46">
        <f t="shared" si="287"/>
        <v>4000000</v>
      </c>
      <c r="K742" s="46"/>
      <c r="L742" s="46"/>
      <c r="M742" s="46"/>
      <c r="N742" s="46"/>
      <c r="O742" s="24">
        <f t="shared" si="5"/>
        <v>4000000</v>
      </c>
      <c r="P742" s="24">
        <f t="shared" si="6"/>
        <v>4000000</v>
      </c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41" t="s">
        <v>37</v>
      </c>
      <c r="C743" s="13"/>
      <c r="D743" s="41" t="s">
        <v>38</v>
      </c>
      <c r="E743" s="12"/>
      <c r="F743" s="13"/>
      <c r="G743" s="42"/>
      <c r="H743" s="22"/>
      <c r="I743" s="22"/>
      <c r="J743" s="43">
        <f t="shared" ref="J743:K743" si="288">J744+J749+J752</f>
        <v>24400000</v>
      </c>
      <c r="K743" s="43">
        <f t="shared" si="288"/>
        <v>0</v>
      </c>
      <c r="L743" s="43"/>
      <c r="M743" s="43">
        <f>M744+M749+M752</f>
        <v>15450000</v>
      </c>
      <c r="N743" s="43"/>
      <c r="O743" s="24">
        <f t="shared" si="5"/>
        <v>24400000</v>
      </c>
      <c r="P743" s="24">
        <f t="shared" si="6"/>
        <v>8950000</v>
      </c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35" t="s">
        <v>40</v>
      </c>
      <c r="C744" s="13"/>
      <c r="D744" s="44" t="s">
        <v>22</v>
      </c>
      <c r="E744" s="12"/>
      <c r="F744" s="13"/>
      <c r="G744" s="45"/>
      <c r="H744" s="22"/>
      <c r="I744" s="22"/>
      <c r="J744" s="46">
        <f t="shared" ref="J744:K744" si="289">SUM(J746:J748)</f>
        <v>6400000</v>
      </c>
      <c r="K744" s="46">
        <f t="shared" si="289"/>
        <v>0</v>
      </c>
      <c r="L744" s="46"/>
      <c r="M744" s="46">
        <f>SUM(M746:M748)</f>
        <v>3250000</v>
      </c>
      <c r="N744" s="46"/>
      <c r="O744" s="24">
        <f t="shared" si="5"/>
        <v>6400000</v>
      </c>
      <c r="P744" s="24">
        <f t="shared" si="6"/>
        <v>3150000</v>
      </c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22"/>
      <c r="C745" s="22"/>
      <c r="D745" s="35" t="s">
        <v>23</v>
      </c>
      <c r="E745" s="12"/>
      <c r="F745" s="13"/>
      <c r="G745" s="36"/>
      <c r="H745" s="22"/>
      <c r="I745" s="22"/>
      <c r="J745" s="22"/>
      <c r="K745" s="22"/>
      <c r="L745" s="22"/>
      <c r="M745" s="22"/>
      <c r="N745" s="22"/>
      <c r="O745" s="24">
        <f t="shared" si="5"/>
        <v>0</v>
      </c>
      <c r="P745" s="24">
        <f t="shared" si="6"/>
        <v>0</v>
      </c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22"/>
      <c r="C746" s="22"/>
      <c r="D746" s="47" t="s">
        <v>24</v>
      </c>
      <c r="E746" s="35" t="s">
        <v>160</v>
      </c>
      <c r="F746" s="13"/>
      <c r="G746" s="36">
        <v>100.0</v>
      </c>
      <c r="H746" s="36" t="s">
        <v>26</v>
      </c>
      <c r="I746" s="48">
        <v>53000.0</v>
      </c>
      <c r="J746" s="46">
        <f t="shared" ref="J746:J748" si="290">G746*I746</f>
        <v>5300000</v>
      </c>
      <c r="K746" s="46"/>
      <c r="L746" s="46"/>
      <c r="M746" s="53">
        <v>3250000.0</v>
      </c>
      <c r="N746" s="46"/>
      <c r="O746" s="24">
        <f t="shared" si="5"/>
        <v>5300000</v>
      </c>
      <c r="P746" s="24">
        <f t="shared" si="6"/>
        <v>2050000</v>
      </c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22"/>
      <c r="C747" s="22"/>
      <c r="D747" s="47" t="s">
        <v>24</v>
      </c>
      <c r="E747" s="35" t="s">
        <v>42</v>
      </c>
      <c r="F747" s="13"/>
      <c r="G747" s="36">
        <v>2.0</v>
      </c>
      <c r="H747" s="36" t="s">
        <v>26</v>
      </c>
      <c r="I747" s="48">
        <v>250000.0</v>
      </c>
      <c r="J747" s="46">
        <f t="shared" si="290"/>
        <v>500000</v>
      </c>
      <c r="K747" s="46"/>
      <c r="L747" s="46"/>
      <c r="M747" s="46"/>
      <c r="N747" s="46"/>
      <c r="O747" s="24">
        <f t="shared" si="5"/>
        <v>500000</v>
      </c>
      <c r="P747" s="24">
        <f t="shared" si="6"/>
        <v>500000</v>
      </c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22"/>
      <c r="C748" s="22"/>
      <c r="D748" s="47" t="s">
        <v>24</v>
      </c>
      <c r="E748" s="35" t="s">
        <v>43</v>
      </c>
      <c r="F748" s="13"/>
      <c r="G748" s="36">
        <v>2.0</v>
      </c>
      <c r="H748" s="36" t="s">
        <v>26</v>
      </c>
      <c r="I748" s="48">
        <v>300000.0</v>
      </c>
      <c r="J748" s="46">
        <f t="shared" si="290"/>
        <v>600000</v>
      </c>
      <c r="K748" s="46"/>
      <c r="L748" s="46"/>
      <c r="M748" s="46"/>
      <c r="N748" s="46"/>
      <c r="O748" s="24">
        <f t="shared" si="5"/>
        <v>600000</v>
      </c>
      <c r="P748" s="24">
        <f t="shared" si="6"/>
        <v>600000</v>
      </c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35" t="s">
        <v>44</v>
      </c>
      <c r="C749" s="13"/>
      <c r="D749" s="44" t="s">
        <v>45</v>
      </c>
      <c r="E749" s="12"/>
      <c r="F749" s="13"/>
      <c r="G749" s="45"/>
      <c r="H749" s="22"/>
      <c r="I749" s="22"/>
      <c r="J749" s="46">
        <f t="shared" ref="J749:K749" si="291">J751</f>
        <v>2000000</v>
      </c>
      <c r="K749" s="46" t="str">
        <f t="shared" si="291"/>
        <v/>
      </c>
      <c r="L749" s="46"/>
      <c r="M749" s="46">
        <f>M751</f>
        <v>2000000</v>
      </c>
      <c r="N749" s="46"/>
      <c r="O749" s="24">
        <f t="shared" si="5"/>
        <v>2000000</v>
      </c>
      <c r="P749" s="24">
        <f t="shared" si="6"/>
        <v>0</v>
      </c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22"/>
      <c r="C750" s="22"/>
      <c r="D750" s="35" t="s">
        <v>23</v>
      </c>
      <c r="E750" s="12"/>
      <c r="F750" s="13"/>
      <c r="G750" s="36"/>
      <c r="H750" s="22"/>
      <c r="I750" s="22"/>
      <c r="J750" s="22"/>
      <c r="K750" s="22"/>
      <c r="L750" s="22"/>
      <c r="M750" s="22"/>
      <c r="N750" s="22"/>
      <c r="O750" s="24">
        <f t="shared" si="5"/>
        <v>0</v>
      </c>
      <c r="P750" s="24">
        <f t="shared" si="6"/>
        <v>0</v>
      </c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22"/>
      <c r="C751" s="22"/>
      <c r="D751" s="47" t="s">
        <v>24</v>
      </c>
      <c r="E751" s="35" t="s">
        <v>161</v>
      </c>
      <c r="F751" s="13"/>
      <c r="G751" s="36">
        <v>4.0</v>
      </c>
      <c r="H751" s="36" t="s">
        <v>26</v>
      </c>
      <c r="I751" s="48">
        <v>500000.0</v>
      </c>
      <c r="J751" s="46">
        <f>G751*I751</f>
        <v>2000000</v>
      </c>
      <c r="K751" s="46"/>
      <c r="L751" s="46"/>
      <c r="M751" s="53">
        <v>2000000.0</v>
      </c>
      <c r="N751" s="46"/>
      <c r="O751" s="24">
        <f t="shared" si="5"/>
        <v>2000000</v>
      </c>
      <c r="P751" s="24">
        <f t="shared" si="6"/>
        <v>0</v>
      </c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35" t="s">
        <v>47</v>
      </c>
      <c r="C752" s="13"/>
      <c r="D752" s="44" t="s">
        <v>48</v>
      </c>
      <c r="E752" s="12"/>
      <c r="F752" s="13"/>
      <c r="G752" s="45"/>
      <c r="H752" s="22"/>
      <c r="I752" s="22"/>
      <c r="J752" s="46">
        <f t="shared" ref="J752:K752" si="292">J754</f>
        <v>16000000</v>
      </c>
      <c r="K752" s="46" t="str">
        <f t="shared" si="292"/>
        <v/>
      </c>
      <c r="L752" s="46"/>
      <c r="M752" s="46">
        <f>M754</f>
        <v>10200000</v>
      </c>
      <c r="N752" s="46"/>
      <c r="O752" s="24">
        <f t="shared" si="5"/>
        <v>16000000</v>
      </c>
      <c r="P752" s="24">
        <f t="shared" si="6"/>
        <v>5800000</v>
      </c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22"/>
      <c r="C753" s="22"/>
      <c r="D753" s="35" t="s">
        <v>23</v>
      </c>
      <c r="E753" s="12"/>
      <c r="F753" s="13"/>
      <c r="G753" s="36"/>
      <c r="H753" s="22"/>
      <c r="I753" s="22"/>
      <c r="J753" s="22"/>
      <c r="K753" s="22"/>
      <c r="L753" s="22"/>
      <c r="M753" s="22"/>
      <c r="N753" s="22"/>
      <c r="O753" s="24">
        <f t="shared" si="5"/>
        <v>0</v>
      </c>
      <c r="P753" s="24">
        <f t="shared" si="6"/>
        <v>0</v>
      </c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22"/>
      <c r="C754" s="22"/>
      <c r="D754" s="47" t="s">
        <v>24</v>
      </c>
      <c r="E754" s="35" t="s">
        <v>162</v>
      </c>
      <c r="F754" s="13"/>
      <c r="G754" s="36">
        <v>4.0</v>
      </c>
      <c r="H754" s="36" t="s">
        <v>26</v>
      </c>
      <c r="I754" s="48">
        <v>4000000.0</v>
      </c>
      <c r="J754" s="46">
        <f>G754*I754</f>
        <v>16000000</v>
      </c>
      <c r="K754" s="46"/>
      <c r="L754" s="46"/>
      <c r="M754" s="53">
        <v>1.02E7</v>
      </c>
      <c r="N754" s="46"/>
      <c r="O754" s="24">
        <f t="shared" si="5"/>
        <v>16000000</v>
      </c>
      <c r="P754" s="24">
        <f t="shared" si="6"/>
        <v>5800000</v>
      </c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41" t="s">
        <v>50</v>
      </c>
      <c r="C755" s="13"/>
      <c r="D755" s="41" t="s">
        <v>51</v>
      </c>
      <c r="E755" s="12"/>
      <c r="F755" s="13"/>
      <c r="G755" s="42"/>
      <c r="H755" s="22"/>
      <c r="I755" s="22"/>
      <c r="J755" s="43">
        <f t="shared" ref="J755:K755" si="293">J756+J762+J765</f>
        <v>56050000</v>
      </c>
      <c r="K755" s="43">
        <f t="shared" si="293"/>
        <v>0</v>
      </c>
      <c r="L755" s="43"/>
      <c r="M755" s="43">
        <f>M756+M762+M765</f>
        <v>13550000</v>
      </c>
      <c r="N755" s="43"/>
      <c r="O755" s="24">
        <f t="shared" si="5"/>
        <v>56050000</v>
      </c>
      <c r="P755" s="24">
        <f t="shared" si="6"/>
        <v>42500000</v>
      </c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35" t="s">
        <v>40</v>
      </c>
      <c r="C756" s="13"/>
      <c r="D756" s="44" t="s">
        <v>22</v>
      </c>
      <c r="E756" s="12"/>
      <c r="F756" s="13"/>
      <c r="G756" s="45"/>
      <c r="H756" s="22"/>
      <c r="I756" s="22"/>
      <c r="J756" s="46">
        <f t="shared" ref="J756:K756" si="294">SUM(J758:J761)</f>
        <v>38050000</v>
      </c>
      <c r="K756" s="46">
        <f t="shared" si="294"/>
        <v>0</v>
      </c>
      <c r="L756" s="46"/>
      <c r="M756" s="46">
        <f>SUM(M758:M761)</f>
        <v>6500000</v>
      </c>
      <c r="N756" s="46"/>
      <c r="O756" s="24">
        <f t="shared" si="5"/>
        <v>38050000</v>
      </c>
      <c r="P756" s="24">
        <f t="shared" si="6"/>
        <v>31550000</v>
      </c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22"/>
      <c r="C757" s="22"/>
      <c r="D757" s="35" t="s">
        <v>23</v>
      </c>
      <c r="E757" s="12"/>
      <c r="F757" s="13"/>
      <c r="G757" s="36"/>
      <c r="H757" s="22"/>
      <c r="I757" s="22"/>
      <c r="J757" s="22"/>
      <c r="K757" s="22"/>
      <c r="L757" s="22"/>
      <c r="M757" s="22"/>
      <c r="N757" s="22"/>
      <c r="O757" s="24">
        <f t="shared" si="5"/>
        <v>0</v>
      </c>
      <c r="P757" s="24">
        <f t="shared" si="6"/>
        <v>0</v>
      </c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22"/>
      <c r="C758" s="22"/>
      <c r="D758" s="47" t="s">
        <v>24</v>
      </c>
      <c r="E758" s="35" t="s">
        <v>163</v>
      </c>
      <c r="F758" s="13"/>
      <c r="G758" s="36">
        <v>100.0</v>
      </c>
      <c r="H758" s="36" t="s">
        <v>26</v>
      </c>
      <c r="I758" s="48">
        <v>53000.0</v>
      </c>
      <c r="J758" s="46">
        <f t="shared" ref="J758:J761" si="295">G758*I758</f>
        <v>5300000</v>
      </c>
      <c r="K758" s="46"/>
      <c r="L758" s="46"/>
      <c r="M758" s="46"/>
      <c r="N758" s="46"/>
      <c r="O758" s="24">
        <f t="shared" si="5"/>
        <v>5300000</v>
      </c>
      <c r="P758" s="24">
        <f t="shared" si="6"/>
        <v>5300000</v>
      </c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22"/>
      <c r="C759" s="22"/>
      <c r="D759" s="47" t="s">
        <v>24</v>
      </c>
      <c r="E759" s="35" t="s">
        <v>53</v>
      </c>
      <c r="F759" s="13"/>
      <c r="G759" s="36">
        <v>5.0</v>
      </c>
      <c r="H759" s="36" t="s">
        <v>26</v>
      </c>
      <c r="I759" s="48">
        <v>500000.0</v>
      </c>
      <c r="J759" s="46">
        <f t="shared" si="295"/>
        <v>2500000</v>
      </c>
      <c r="K759" s="46"/>
      <c r="L759" s="46"/>
      <c r="M759" s="46"/>
      <c r="N759" s="46"/>
      <c r="O759" s="24">
        <f t="shared" si="5"/>
        <v>2500000</v>
      </c>
      <c r="P759" s="24">
        <f t="shared" si="6"/>
        <v>2500000</v>
      </c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22"/>
      <c r="C760" s="22"/>
      <c r="D760" s="47" t="s">
        <v>24</v>
      </c>
      <c r="E760" s="35" t="s">
        <v>54</v>
      </c>
      <c r="F760" s="13"/>
      <c r="G760" s="36">
        <v>1.0</v>
      </c>
      <c r="H760" s="36" t="s">
        <v>55</v>
      </c>
      <c r="I760" s="48">
        <v>250000.0</v>
      </c>
      <c r="J760" s="46">
        <f t="shared" si="295"/>
        <v>250000</v>
      </c>
      <c r="K760" s="46"/>
      <c r="L760" s="46"/>
      <c r="M760" s="46"/>
      <c r="N760" s="46"/>
      <c r="O760" s="24">
        <f t="shared" si="5"/>
        <v>250000</v>
      </c>
      <c r="P760" s="24">
        <f t="shared" si="6"/>
        <v>250000</v>
      </c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22"/>
      <c r="C761" s="22"/>
      <c r="D761" s="47" t="s">
        <v>24</v>
      </c>
      <c r="E761" s="35" t="s">
        <v>164</v>
      </c>
      <c r="F761" s="13"/>
      <c r="G761" s="36">
        <v>100.0</v>
      </c>
      <c r="H761" s="36" t="s">
        <v>26</v>
      </c>
      <c r="I761" s="48">
        <v>300000.0</v>
      </c>
      <c r="J761" s="46">
        <f t="shared" si="295"/>
        <v>30000000</v>
      </c>
      <c r="K761" s="46"/>
      <c r="L761" s="46"/>
      <c r="M761" s="53">
        <v>6500000.0</v>
      </c>
      <c r="N761" s="46"/>
      <c r="O761" s="24">
        <f t="shared" si="5"/>
        <v>30000000</v>
      </c>
      <c r="P761" s="24">
        <f t="shared" si="6"/>
        <v>23500000</v>
      </c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35" t="s">
        <v>47</v>
      </c>
      <c r="C762" s="13"/>
      <c r="D762" s="44" t="s">
        <v>48</v>
      </c>
      <c r="E762" s="12"/>
      <c r="F762" s="13"/>
      <c r="G762" s="45"/>
      <c r="H762" s="22"/>
      <c r="I762" s="22"/>
      <c r="J762" s="46">
        <f t="shared" ref="J762:K762" si="296">J764</f>
        <v>16000000</v>
      </c>
      <c r="K762" s="46" t="str">
        <f t="shared" si="296"/>
        <v/>
      </c>
      <c r="L762" s="46"/>
      <c r="M762" s="46">
        <f>M764</f>
        <v>7050000</v>
      </c>
      <c r="N762" s="46"/>
      <c r="O762" s="24">
        <f t="shared" si="5"/>
        <v>16000000</v>
      </c>
      <c r="P762" s="24">
        <f t="shared" si="6"/>
        <v>8950000</v>
      </c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22"/>
      <c r="C763" s="22"/>
      <c r="D763" s="35" t="s">
        <v>23</v>
      </c>
      <c r="E763" s="12"/>
      <c r="F763" s="13"/>
      <c r="G763" s="36"/>
      <c r="H763" s="22"/>
      <c r="I763" s="22"/>
      <c r="J763" s="22"/>
      <c r="K763" s="22"/>
      <c r="L763" s="22"/>
      <c r="M763" s="22"/>
      <c r="N763" s="22"/>
      <c r="O763" s="24">
        <f t="shared" si="5"/>
        <v>0</v>
      </c>
      <c r="P763" s="24">
        <f t="shared" si="6"/>
        <v>0</v>
      </c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22"/>
      <c r="C764" s="22"/>
      <c r="D764" s="47" t="s">
        <v>24</v>
      </c>
      <c r="E764" s="35" t="s">
        <v>165</v>
      </c>
      <c r="F764" s="13"/>
      <c r="G764" s="36">
        <v>4.0</v>
      </c>
      <c r="H764" s="36" t="s">
        <v>26</v>
      </c>
      <c r="I764" s="48">
        <v>4000000.0</v>
      </c>
      <c r="J764" s="46">
        <f>G764*I764</f>
        <v>16000000</v>
      </c>
      <c r="K764" s="46"/>
      <c r="L764" s="46"/>
      <c r="M764" s="53">
        <v>7050000.0</v>
      </c>
      <c r="N764" s="46"/>
      <c r="O764" s="24">
        <f t="shared" si="5"/>
        <v>16000000</v>
      </c>
      <c r="P764" s="24">
        <f t="shared" si="6"/>
        <v>8950000</v>
      </c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35" t="s">
        <v>58</v>
      </c>
      <c r="C765" s="13"/>
      <c r="D765" s="44" t="s">
        <v>34</v>
      </c>
      <c r="E765" s="12"/>
      <c r="F765" s="13"/>
      <c r="G765" s="45"/>
      <c r="H765" s="22"/>
      <c r="I765" s="22"/>
      <c r="J765" s="46">
        <f t="shared" ref="J765:K765" si="297">J767</f>
        <v>2000000</v>
      </c>
      <c r="K765" s="46" t="str">
        <f t="shared" si="297"/>
        <v/>
      </c>
      <c r="L765" s="46"/>
      <c r="M765" s="46" t="str">
        <f>M767</f>
        <v/>
      </c>
      <c r="N765" s="46"/>
      <c r="O765" s="24">
        <f t="shared" si="5"/>
        <v>2000000</v>
      </c>
      <c r="P765" s="24">
        <f t="shared" si="6"/>
        <v>2000000</v>
      </c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22"/>
      <c r="C766" s="22"/>
      <c r="D766" s="35" t="s">
        <v>23</v>
      </c>
      <c r="E766" s="12"/>
      <c r="F766" s="13"/>
      <c r="G766" s="36"/>
      <c r="H766" s="22"/>
      <c r="I766" s="22"/>
      <c r="J766" s="22"/>
      <c r="K766" s="22"/>
      <c r="L766" s="22"/>
      <c r="M766" s="22"/>
      <c r="N766" s="22"/>
      <c r="O766" s="24">
        <f t="shared" si="5"/>
        <v>0</v>
      </c>
      <c r="P766" s="24">
        <f t="shared" si="6"/>
        <v>0</v>
      </c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22"/>
      <c r="C767" s="22"/>
      <c r="D767" s="47" t="s">
        <v>24</v>
      </c>
      <c r="E767" s="35" t="s">
        <v>59</v>
      </c>
      <c r="F767" s="13"/>
      <c r="G767" s="36">
        <v>4.0</v>
      </c>
      <c r="H767" s="36" t="s">
        <v>26</v>
      </c>
      <c r="I767" s="48">
        <v>500000.0</v>
      </c>
      <c r="J767" s="46">
        <f>G767*I767</f>
        <v>2000000</v>
      </c>
      <c r="K767" s="46"/>
      <c r="L767" s="46"/>
      <c r="M767" s="46"/>
      <c r="N767" s="46"/>
      <c r="O767" s="24">
        <f t="shared" si="5"/>
        <v>2000000</v>
      </c>
      <c r="P767" s="24">
        <f t="shared" si="6"/>
        <v>2000000</v>
      </c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41" t="s">
        <v>60</v>
      </c>
      <c r="C768" s="13"/>
      <c r="D768" s="41" t="s">
        <v>61</v>
      </c>
      <c r="E768" s="12"/>
      <c r="F768" s="13"/>
      <c r="G768" s="42"/>
      <c r="H768" s="22"/>
      <c r="I768" s="22"/>
      <c r="J768" s="43">
        <f t="shared" ref="J768:K768" si="298">J769+J772+J776+J779+J782</f>
        <v>220800000</v>
      </c>
      <c r="K768" s="43">
        <f t="shared" si="298"/>
        <v>0</v>
      </c>
      <c r="L768" s="43"/>
      <c r="M768" s="43">
        <f>M769+M772+M776+M779+M782</f>
        <v>25660000</v>
      </c>
      <c r="N768" s="43"/>
      <c r="O768" s="24">
        <f t="shared" si="5"/>
        <v>220800000</v>
      </c>
      <c r="P768" s="24">
        <f t="shared" si="6"/>
        <v>195140000</v>
      </c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35" t="s">
        <v>40</v>
      </c>
      <c r="C769" s="13"/>
      <c r="D769" s="44" t="s">
        <v>22</v>
      </c>
      <c r="E769" s="12"/>
      <c r="F769" s="13"/>
      <c r="G769" s="45"/>
      <c r="H769" s="22"/>
      <c r="I769" s="22"/>
      <c r="J769" s="46">
        <f t="shared" ref="J769:K769" si="299">J771</f>
        <v>31800000</v>
      </c>
      <c r="K769" s="46" t="str">
        <f t="shared" si="299"/>
        <v/>
      </c>
      <c r="L769" s="46"/>
      <c r="M769" s="46">
        <f>M771</f>
        <v>5750000</v>
      </c>
      <c r="N769" s="46"/>
      <c r="O769" s="24">
        <f t="shared" si="5"/>
        <v>31800000</v>
      </c>
      <c r="P769" s="24">
        <f t="shared" si="6"/>
        <v>26050000</v>
      </c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22"/>
      <c r="C770" s="22"/>
      <c r="D770" s="35" t="s">
        <v>23</v>
      </c>
      <c r="E770" s="12"/>
      <c r="F770" s="13"/>
      <c r="G770" s="36"/>
      <c r="H770" s="22"/>
      <c r="I770" s="22"/>
      <c r="J770" s="22"/>
      <c r="K770" s="22"/>
      <c r="L770" s="22"/>
      <c r="M770" s="22"/>
      <c r="N770" s="22"/>
      <c r="O770" s="24">
        <f t="shared" si="5"/>
        <v>0</v>
      </c>
      <c r="P770" s="24">
        <f t="shared" si="6"/>
        <v>0</v>
      </c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22"/>
      <c r="C771" s="22"/>
      <c r="D771" s="47" t="s">
        <v>24</v>
      </c>
      <c r="E771" s="35" t="s">
        <v>166</v>
      </c>
      <c r="F771" s="13"/>
      <c r="G771" s="36">
        <v>600.0</v>
      </c>
      <c r="H771" s="36" t="s">
        <v>26</v>
      </c>
      <c r="I771" s="48">
        <v>53000.0</v>
      </c>
      <c r="J771" s="46">
        <f>G771*I771</f>
        <v>31800000</v>
      </c>
      <c r="K771" s="46"/>
      <c r="L771" s="46"/>
      <c r="M771" s="53">
        <v>5750000.0</v>
      </c>
      <c r="N771" s="46"/>
      <c r="O771" s="24">
        <f t="shared" si="5"/>
        <v>31800000</v>
      </c>
      <c r="P771" s="24">
        <f t="shared" si="6"/>
        <v>26050000</v>
      </c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35" t="s">
        <v>63</v>
      </c>
      <c r="C772" s="13"/>
      <c r="D772" s="44" t="s">
        <v>64</v>
      </c>
      <c r="E772" s="12"/>
      <c r="F772" s="13"/>
      <c r="G772" s="45"/>
      <c r="H772" s="22"/>
      <c r="I772" s="22"/>
      <c r="J772" s="46">
        <f t="shared" ref="J772:K772" si="300">SUM(J774:J775)</f>
        <v>115000000</v>
      </c>
      <c r="K772" s="46">
        <f t="shared" si="300"/>
        <v>0</v>
      </c>
      <c r="L772" s="46"/>
      <c r="M772" s="46">
        <f>SUM(M774:M775)</f>
        <v>16910000</v>
      </c>
      <c r="N772" s="46"/>
      <c r="O772" s="24">
        <f t="shared" si="5"/>
        <v>115000000</v>
      </c>
      <c r="P772" s="24">
        <f t="shared" si="6"/>
        <v>98090000</v>
      </c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22"/>
      <c r="C773" s="22"/>
      <c r="D773" s="35" t="s">
        <v>23</v>
      </c>
      <c r="E773" s="12"/>
      <c r="F773" s="13"/>
      <c r="G773" s="36"/>
      <c r="H773" s="22"/>
      <c r="I773" s="22"/>
      <c r="J773" s="22"/>
      <c r="K773" s="22"/>
      <c r="L773" s="22"/>
      <c r="M773" s="22"/>
      <c r="N773" s="22"/>
      <c r="O773" s="24">
        <f t="shared" si="5"/>
        <v>0</v>
      </c>
      <c r="P773" s="24">
        <f t="shared" si="6"/>
        <v>0</v>
      </c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22"/>
      <c r="C774" s="22"/>
      <c r="D774" s="47" t="s">
        <v>24</v>
      </c>
      <c r="E774" s="35" t="s">
        <v>214</v>
      </c>
      <c r="F774" s="13"/>
      <c r="G774" s="36">
        <v>1.0</v>
      </c>
      <c r="H774" s="36" t="s">
        <v>66</v>
      </c>
      <c r="I774" s="48">
        <v>9.5E7</v>
      </c>
      <c r="J774" s="46">
        <f t="shared" ref="J774:J775" si="301">G774*I774</f>
        <v>95000000</v>
      </c>
      <c r="K774" s="46"/>
      <c r="L774" s="46"/>
      <c r="M774" s="53">
        <v>6360000.0</v>
      </c>
      <c r="N774" s="46"/>
      <c r="O774" s="24">
        <f t="shared" si="5"/>
        <v>95000000</v>
      </c>
      <c r="P774" s="24">
        <f t="shared" si="6"/>
        <v>88640000</v>
      </c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22"/>
      <c r="C775" s="22"/>
      <c r="D775" s="47" t="s">
        <v>24</v>
      </c>
      <c r="E775" s="35" t="s">
        <v>167</v>
      </c>
      <c r="F775" s="13"/>
      <c r="G775" s="36">
        <v>100.0</v>
      </c>
      <c r="H775" s="36" t="s">
        <v>26</v>
      </c>
      <c r="I775" s="48">
        <v>200000.0</v>
      </c>
      <c r="J775" s="46">
        <f t="shared" si="301"/>
        <v>20000000</v>
      </c>
      <c r="K775" s="46"/>
      <c r="L775" s="46"/>
      <c r="M775" s="53">
        <v>1.055E7</v>
      </c>
      <c r="N775" s="46"/>
      <c r="O775" s="24">
        <f t="shared" si="5"/>
        <v>20000000</v>
      </c>
      <c r="P775" s="24">
        <f t="shared" si="6"/>
        <v>9450000</v>
      </c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35" t="s">
        <v>68</v>
      </c>
      <c r="C776" s="13"/>
      <c r="D776" s="44" t="s">
        <v>69</v>
      </c>
      <c r="E776" s="12"/>
      <c r="F776" s="13"/>
      <c r="G776" s="45"/>
      <c r="H776" s="22"/>
      <c r="I776" s="22"/>
      <c r="J776" s="46">
        <f t="shared" ref="J776:K776" si="302">J778</f>
        <v>10000000</v>
      </c>
      <c r="K776" s="46" t="str">
        <f t="shared" si="302"/>
        <v/>
      </c>
      <c r="L776" s="46"/>
      <c r="M776" s="46" t="str">
        <f>M778</f>
        <v/>
      </c>
      <c r="N776" s="46"/>
      <c r="O776" s="24">
        <f t="shared" si="5"/>
        <v>10000000</v>
      </c>
      <c r="P776" s="24">
        <f t="shared" si="6"/>
        <v>10000000</v>
      </c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22"/>
      <c r="C777" s="22"/>
      <c r="D777" s="35" t="s">
        <v>23</v>
      </c>
      <c r="E777" s="12"/>
      <c r="F777" s="13"/>
      <c r="G777" s="36"/>
      <c r="H777" s="22"/>
      <c r="I777" s="22"/>
      <c r="J777" s="22"/>
      <c r="K777" s="22"/>
      <c r="L777" s="22"/>
      <c r="M777" s="22"/>
      <c r="N777" s="22"/>
      <c r="O777" s="24">
        <f t="shared" si="5"/>
        <v>0</v>
      </c>
      <c r="P777" s="24">
        <f t="shared" si="6"/>
        <v>0</v>
      </c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22"/>
      <c r="C778" s="22"/>
      <c r="D778" s="47" t="s">
        <v>24</v>
      </c>
      <c r="E778" s="35" t="s">
        <v>70</v>
      </c>
      <c r="F778" s="13"/>
      <c r="G778" s="36">
        <v>20.0</v>
      </c>
      <c r="H778" s="36" t="s">
        <v>26</v>
      </c>
      <c r="I778" s="48">
        <v>500000.0</v>
      </c>
      <c r="J778" s="46">
        <f>G778*I778</f>
        <v>10000000</v>
      </c>
      <c r="K778" s="46"/>
      <c r="L778" s="46"/>
      <c r="M778" s="46"/>
      <c r="N778" s="46"/>
      <c r="O778" s="24">
        <f t="shared" si="5"/>
        <v>10000000</v>
      </c>
      <c r="P778" s="24">
        <f t="shared" si="6"/>
        <v>10000000</v>
      </c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35" t="s">
        <v>47</v>
      </c>
      <c r="C779" s="13"/>
      <c r="D779" s="44" t="s">
        <v>48</v>
      </c>
      <c r="E779" s="12"/>
      <c r="F779" s="13"/>
      <c r="G779" s="45"/>
      <c r="H779" s="22"/>
      <c r="I779" s="22"/>
      <c r="J779" s="46">
        <f t="shared" ref="J779:K779" si="303">J781</f>
        <v>16000000</v>
      </c>
      <c r="K779" s="46" t="str">
        <f t="shared" si="303"/>
        <v/>
      </c>
      <c r="L779" s="46"/>
      <c r="M779" s="46" t="str">
        <f>M781</f>
        <v/>
      </c>
      <c r="N779" s="46"/>
      <c r="O779" s="24">
        <f t="shared" si="5"/>
        <v>16000000</v>
      </c>
      <c r="P779" s="24">
        <f t="shared" si="6"/>
        <v>16000000</v>
      </c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22"/>
      <c r="C780" s="22"/>
      <c r="D780" s="35" t="s">
        <v>23</v>
      </c>
      <c r="E780" s="12"/>
      <c r="F780" s="13"/>
      <c r="G780" s="36"/>
      <c r="H780" s="22"/>
      <c r="I780" s="22"/>
      <c r="J780" s="22"/>
      <c r="K780" s="22"/>
      <c r="L780" s="22"/>
      <c r="M780" s="22"/>
      <c r="N780" s="22"/>
      <c r="O780" s="24">
        <f t="shared" si="5"/>
        <v>0</v>
      </c>
      <c r="P780" s="24">
        <f t="shared" si="6"/>
        <v>0</v>
      </c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22"/>
      <c r="C781" s="22"/>
      <c r="D781" s="47" t="s">
        <v>24</v>
      </c>
      <c r="E781" s="35" t="s">
        <v>165</v>
      </c>
      <c r="F781" s="13"/>
      <c r="G781" s="36">
        <v>4.0</v>
      </c>
      <c r="H781" s="36" t="s">
        <v>26</v>
      </c>
      <c r="I781" s="48">
        <v>4000000.0</v>
      </c>
      <c r="J781" s="46">
        <f>G781*I781</f>
        <v>16000000</v>
      </c>
      <c r="K781" s="46"/>
      <c r="L781" s="46"/>
      <c r="M781" s="46"/>
      <c r="N781" s="46"/>
      <c r="O781" s="24">
        <f t="shared" si="5"/>
        <v>16000000</v>
      </c>
      <c r="P781" s="24">
        <f t="shared" si="6"/>
        <v>16000000</v>
      </c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35" t="s">
        <v>58</v>
      </c>
      <c r="C782" s="13"/>
      <c r="D782" s="44" t="s">
        <v>34</v>
      </c>
      <c r="E782" s="12"/>
      <c r="F782" s="13"/>
      <c r="G782" s="45"/>
      <c r="H782" s="22"/>
      <c r="I782" s="22"/>
      <c r="J782" s="46">
        <f t="shared" ref="J782:K782" si="304">J784</f>
        <v>48000000</v>
      </c>
      <c r="K782" s="46" t="str">
        <f t="shared" si="304"/>
        <v/>
      </c>
      <c r="L782" s="46"/>
      <c r="M782" s="46">
        <f>M784</f>
        <v>3000000</v>
      </c>
      <c r="N782" s="46"/>
      <c r="O782" s="24">
        <f t="shared" si="5"/>
        <v>48000000</v>
      </c>
      <c r="P782" s="24">
        <f t="shared" si="6"/>
        <v>45000000</v>
      </c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22"/>
      <c r="C783" s="22"/>
      <c r="D783" s="35" t="s">
        <v>23</v>
      </c>
      <c r="E783" s="12"/>
      <c r="F783" s="13"/>
      <c r="G783" s="36"/>
      <c r="H783" s="22"/>
      <c r="I783" s="22"/>
      <c r="J783" s="22"/>
      <c r="K783" s="22"/>
      <c r="L783" s="22"/>
      <c r="M783" s="22"/>
      <c r="N783" s="22"/>
      <c r="O783" s="24">
        <f t="shared" si="5"/>
        <v>0</v>
      </c>
      <c r="P783" s="24">
        <f t="shared" si="6"/>
        <v>0</v>
      </c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22"/>
      <c r="C784" s="22"/>
      <c r="D784" s="47" t="s">
        <v>24</v>
      </c>
      <c r="E784" s="35" t="s">
        <v>71</v>
      </c>
      <c r="F784" s="13"/>
      <c r="G784" s="36">
        <v>96.0</v>
      </c>
      <c r="H784" s="36" t="s">
        <v>26</v>
      </c>
      <c r="I784" s="48">
        <v>500000.0</v>
      </c>
      <c r="J784" s="46">
        <f>G784*I784</f>
        <v>48000000</v>
      </c>
      <c r="K784" s="46"/>
      <c r="L784" s="46"/>
      <c r="M784" s="53">
        <v>3000000.0</v>
      </c>
      <c r="N784" s="46"/>
      <c r="O784" s="24">
        <f t="shared" si="5"/>
        <v>48000000</v>
      </c>
      <c r="P784" s="24">
        <f t="shared" si="6"/>
        <v>45000000</v>
      </c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41" t="s">
        <v>72</v>
      </c>
      <c r="C785" s="13"/>
      <c r="D785" s="41" t="s">
        <v>73</v>
      </c>
      <c r="E785" s="12"/>
      <c r="F785" s="13"/>
      <c r="G785" s="42"/>
      <c r="H785" s="22"/>
      <c r="I785" s="22"/>
      <c r="J785" s="43">
        <f t="shared" ref="J785:K785" si="305">J786+J791</f>
        <v>151200000</v>
      </c>
      <c r="K785" s="43">
        <f t="shared" si="305"/>
        <v>89011000</v>
      </c>
      <c r="L785" s="43"/>
      <c r="M785" s="43">
        <f>M786+M791</f>
        <v>89011000</v>
      </c>
      <c r="N785" s="43"/>
      <c r="O785" s="24">
        <f t="shared" si="5"/>
        <v>62189000</v>
      </c>
      <c r="P785" s="24">
        <f t="shared" si="6"/>
        <v>62189000</v>
      </c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35" t="s">
        <v>74</v>
      </c>
      <c r="C786" s="13"/>
      <c r="D786" s="44" t="s">
        <v>75</v>
      </c>
      <c r="E786" s="12"/>
      <c r="F786" s="13"/>
      <c r="G786" s="45"/>
      <c r="H786" s="22"/>
      <c r="I786" s="22"/>
      <c r="J786" s="46">
        <f t="shared" ref="J786:K786" si="306">SUM(J788:J790)</f>
        <v>142700000</v>
      </c>
      <c r="K786" s="46">
        <f t="shared" si="306"/>
        <v>89011000</v>
      </c>
      <c r="L786" s="46"/>
      <c r="M786" s="46">
        <f>SUM(M788:M790)</f>
        <v>89011000</v>
      </c>
      <c r="N786" s="46"/>
      <c r="O786" s="24">
        <f t="shared" si="5"/>
        <v>53689000</v>
      </c>
      <c r="P786" s="24">
        <f t="shared" si="6"/>
        <v>53689000</v>
      </c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22"/>
      <c r="C787" s="22"/>
      <c r="D787" s="35" t="s">
        <v>23</v>
      </c>
      <c r="E787" s="12"/>
      <c r="F787" s="13"/>
      <c r="G787" s="36"/>
      <c r="H787" s="22"/>
      <c r="I787" s="22"/>
      <c r="J787" s="22"/>
      <c r="K787" s="22"/>
      <c r="L787" s="22"/>
      <c r="M787" s="22"/>
      <c r="N787" s="22"/>
      <c r="O787" s="24">
        <f t="shared" si="5"/>
        <v>0</v>
      </c>
      <c r="P787" s="24">
        <f t="shared" si="6"/>
        <v>0</v>
      </c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22"/>
      <c r="C788" s="22"/>
      <c r="D788" s="47" t="s">
        <v>24</v>
      </c>
      <c r="E788" s="35" t="s">
        <v>76</v>
      </c>
      <c r="F788" s="13"/>
      <c r="G788" s="36">
        <v>20.0</v>
      </c>
      <c r="H788" s="36" t="s">
        <v>26</v>
      </c>
      <c r="I788" s="48">
        <v>5000000.0</v>
      </c>
      <c r="J788" s="46">
        <f t="shared" ref="J788:J790" si="307">G788*I788</f>
        <v>100000000</v>
      </c>
      <c r="K788" s="46">
        <v>5.5711E7</v>
      </c>
      <c r="L788" s="46"/>
      <c r="M788" s="46">
        <v>5.5711E7</v>
      </c>
      <c r="N788" s="46"/>
      <c r="O788" s="24">
        <f t="shared" si="5"/>
        <v>44289000</v>
      </c>
      <c r="P788" s="24">
        <f t="shared" si="6"/>
        <v>44289000</v>
      </c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22"/>
      <c r="C789" s="22"/>
      <c r="D789" s="47" t="s">
        <v>24</v>
      </c>
      <c r="E789" s="35" t="s">
        <v>77</v>
      </c>
      <c r="F789" s="13"/>
      <c r="G789" s="36">
        <v>30.0</v>
      </c>
      <c r="H789" s="36" t="s">
        <v>26</v>
      </c>
      <c r="I789" s="48">
        <v>850000.0</v>
      </c>
      <c r="J789" s="46">
        <f t="shared" si="307"/>
        <v>25500000</v>
      </c>
      <c r="K789" s="46">
        <v>2.084E7</v>
      </c>
      <c r="L789" s="46"/>
      <c r="M789" s="46">
        <v>2.084E7</v>
      </c>
      <c r="N789" s="46"/>
      <c r="O789" s="24">
        <f t="shared" si="5"/>
        <v>4660000</v>
      </c>
      <c r="P789" s="24">
        <f t="shared" si="6"/>
        <v>4660000</v>
      </c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22"/>
      <c r="C790" s="22"/>
      <c r="D790" s="47" t="s">
        <v>24</v>
      </c>
      <c r="E790" s="35" t="s">
        <v>78</v>
      </c>
      <c r="F790" s="13"/>
      <c r="G790" s="36">
        <v>40.0</v>
      </c>
      <c r="H790" s="36" t="s">
        <v>26</v>
      </c>
      <c r="I790" s="48">
        <v>430000.0</v>
      </c>
      <c r="J790" s="46">
        <f t="shared" si="307"/>
        <v>17200000</v>
      </c>
      <c r="K790" s="46">
        <v>1.246E7</v>
      </c>
      <c r="L790" s="46"/>
      <c r="M790" s="46">
        <v>1.246E7</v>
      </c>
      <c r="N790" s="46"/>
      <c r="O790" s="24">
        <f t="shared" si="5"/>
        <v>4740000</v>
      </c>
      <c r="P790" s="24">
        <f t="shared" si="6"/>
        <v>4740000</v>
      </c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35" t="s">
        <v>79</v>
      </c>
      <c r="C791" s="13"/>
      <c r="D791" s="44" t="s">
        <v>80</v>
      </c>
      <c r="E791" s="12"/>
      <c r="F791" s="13"/>
      <c r="G791" s="45"/>
      <c r="H791" s="22"/>
      <c r="I791" s="22"/>
      <c r="J791" s="46">
        <f t="shared" ref="J791:K791" si="308">J793</f>
        <v>8500000</v>
      </c>
      <c r="K791" s="46" t="str">
        <f t="shared" si="308"/>
        <v/>
      </c>
      <c r="L791" s="46"/>
      <c r="M791" s="46" t="str">
        <f>M793</f>
        <v/>
      </c>
      <c r="N791" s="46"/>
      <c r="O791" s="24">
        <f t="shared" si="5"/>
        <v>8500000</v>
      </c>
      <c r="P791" s="24">
        <f t="shared" si="6"/>
        <v>8500000</v>
      </c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22"/>
      <c r="C792" s="22"/>
      <c r="D792" s="35" t="s">
        <v>23</v>
      </c>
      <c r="E792" s="12"/>
      <c r="F792" s="13"/>
      <c r="G792" s="36"/>
      <c r="H792" s="22"/>
      <c r="I792" s="22"/>
      <c r="J792" s="22"/>
      <c r="K792" s="22"/>
      <c r="L792" s="22"/>
      <c r="M792" s="22"/>
      <c r="N792" s="22"/>
      <c r="O792" s="24">
        <f t="shared" si="5"/>
        <v>0</v>
      </c>
      <c r="P792" s="24">
        <f t="shared" si="6"/>
        <v>0</v>
      </c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22"/>
      <c r="C793" s="22"/>
      <c r="D793" s="47" t="s">
        <v>24</v>
      </c>
      <c r="E793" s="35" t="s">
        <v>81</v>
      </c>
      <c r="F793" s="13"/>
      <c r="G793" s="36">
        <v>50.0</v>
      </c>
      <c r="H793" s="36" t="s">
        <v>26</v>
      </c>
      <c r="I793" s="48">
        <v>170000.0</v>
      </c>
      <c r="J793" s="46">
        <f>G793*I793</f>
        <v>8500000</v>
      </c>
      <c r="K793" s="46"/>
      <c r="L793" s="46"/>
      <c r="M793" s="46"/>
      <c r="N793" s="46"/>
      <c r="O793" s="24">
        <f t="shared" si="5"/>
        <v>8500000</v>
      </c>
      <c r="P793" s="24">
        <f t="shared" si="6"/>
        <v>8500000</v>
      </c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41" t="s">
        <v>82</v>
      </c>
      <c r="C794" s="13"/>
      <c r="D794" s="41" t="s">
        <v>83</v>
      </c>
      <c r="E794" s="12"/>
      <c r="F794" s="13"/>
      <c r="G794" s="42"/>
      <c r="H794" s="22"/>
      <c r="I794" s="22"/>
      <c r="J794" s="43">
        <f t="shared" ref="J794:K794" si="309">J795+J800</f>
        <v>1434000000</v>
      </c>
      <c r="K794" s="43">
        <f t="shared" si="309"/>
        <v>58420000</v>
      </c>
      <c r="L794" s="43"/>
      <c r="M794" s="43">
        <f>M795+M800</f>
        <v>117540500</v>
      </c>
      <c r="N794" s="43"/>
      <c r="O794" s="24">
        <f t="shared" si="5"/>
        <v>1375580000</v>
      </c>
      <c r="P794" s="24">
        <f t="shared" si="6"/>
        <v>1316459500</v>
      </c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35" t="s">
        <v>84</v>
      </c>
      <c r="C795" s="13"/>
      <c r="D795" s="44" t="s">
        <v>85</v>
      </c>
      <c r="E795" s="12"/>
      <c r="F795" s="13"/>
      <c r="G795" s="45"/>
      <c r="H795" s="22"/>
      <c r="I795" s="22"/>
      <c r="J795" s="46">
        <f t="shared" ref="J795:K795" si="310">SUM(J797:J799)</f>
        <v>1320000000</v>
      </c>
      <c r="K795" s="46">
        <f t="shared" si="310"/>
        <v>58420000</v>
      </c>
      <c r="L795" s="46"/>
      <c r="M795" s="46">
        <f>SUM(M797:M799)</f>
        <v>116990500</v>
      </c>
      <c r="N795" s="46"/>
      <c r="O795" s="24">
        <f t="shared" si="5"/>
        <v>1261580000</v>
      </c>
      <c r="P795" s="24">
        <f t="shared" si="6"/>
        <v>1203009500</v>
      </c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22"/>
      <c r="C796" s="22"/>
      <c r="D796" s="35" t="s">
        <v>23</v>
      </c>
      <c r="E796" s="12"/>
      <c r="F796" s="13"/>
      <c r="G796" s="36"/>
      <c r="H796" s="22"/>
      <c r="I796" s="22"/>
      <c r="J796" s="22"/>
      <c r="K796" s="22"/>
      <c r="L796" s="22"/>
      <c r="M796" s="22"/>
      <c r="N796" s="22"/>
      <c r="O796" s="24">
        <f t="shared" si="5"/>
        <v>0</v>
      </c>
      <c r="P796" s="24">
        <f t="shared" si="6"/>
        <v>0</v>
      </c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22"/>
      <c r="C797" s="22"/>
      <c r="D797" s="47" t="s">
        <v>24</v>
      </c>
      <c r="E797" s="35" t="s">
        <v>168</v>
      </c>
      <c r="F797" s="13"/>
      <c r="G797" s="36">
        <v>54750.0</v>
      </c>
      <c r="H797" s="36" t="s">
        <v>87</v>
      </c>
      <c r="I797" s="48">
        <v>15000.0</v>
      </c>
      <c r="J797" s="46">
        <f t="shared" ref="J797:J799" si="311">G797*I797</f>
        <v>821250000</v>
      </c>
      <c r="K797" s="46">
        <v>4.297E7</v>
      </c>
      <c r="L797" s="46"/>
      <c r="M797" s="46">
        <v>8.2958E7</v>
      </c>
      <c r="N797" s="46"/>
      <c r="O797" s="24">
        <f t="shared" si="5"/>
        <v>778280000</v>
      </c>
      <c r="P797" s="24">
        <f t="shared" si="6"/>
        <v>738292000</v>
      </c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22"/>
      <c r="C798" s="22"/>
      <c r="D798" s="47" t="s">
        <v>24</v>
      </c>
      <c r="E798" s="35" t="s">
        <v>88</v>
      </c>
      <c r="F798" s="13"/>
      <c r="G798" s="36">
        <v>9000.0</v>
      </c>
      <c r="H798" s="36" t="s">
        <v>87</v>
      </c>
      <c r="I798" s="48">
        <v>25000.0</v>
      </c>
      <c r="J798" s="46">
        <f t="shared" si="311"/>
        <v>225000000</v>
      </c>
      <c r="K798" s="46"/>
      <c r="L798" s="46"/>
      <c r="M798" s="46">
        <v>3200000.0</v>
      </c>
      <c r="N798" s="46"/>
      <c r="O798" s="24">
        <f t="shared" si="5"/>
        <v>225000000</v>
      </c>
      <c r="P798" s="24">
        <f t="shared" si="6"/>
        <v>221800000</v>
      </c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22"/>
      <c r="C799" s="22"/>
      <c r="D799" s="47" t="s">
        <v>24</v>
      </c>
      <c r="E799" s="35" t="s">
        <v>169</v>
      </c>
      <c r="F799" s="13"/>
      <c r="G799" s="36">
        <v>36500.0</v>
      </c>
      <c r="H799" s="36" t="s">
        <v>87</v>
      </c>
      <c r="I799" s="48">
        <v>7500.0</v>
      </c>
      <c r="J799" s="46">
        <f t="shared" si="311"/>
        <v>273750000</v>
      </c>
      <c r="K799" s="46">
        <v>1.545E7</v>
      </c>
      <c r="L799" s="46"/>
      <c r="M799" s="46">
        <v>3.08325E7</v>
      </c>
      <c r="N799" s="46"/>
      <c r="O799" s="24">
        <f t="shared" si="5"/>
        <v>258300000</v>
      </c>
      <c r="P799" s="24">
        <f t="shared" si="6"/>
        <v>242917500</v>
      </c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35" t="s">
        <v>63</v>
      </c>
      <c r="C800" s="13"/>
      <c r="D800" s="44" t="s">
        <v>64</v>
      </c>
      <c r="E800" s="12"/>
      <c r="F800" s="13"/>
      <c r="G800" s="45"/>
      <c r="H800" s="22"/>
      <c r="I800" s="22"/>
      <c r="J800" s="46">
        <f t="shared" ref="J800:K800" si="312">SUM(J802:J803)</f>
        <v>114000000</v>
      </c>
      <c r="K800" s="46">
        <f t="shared" si="312"/>
        <v>0</v>
      </c>
      <c r="L800" s="46"/>
      <c r="M800" s="46">
        <f>SUM(M802:M803)</f>
        <v>550000</v>
      </c>
      <c r="N800" s="46"/>
      <c r="O800" s="24">
        <f t="shared" si="5"/>
        <v>114000000</v>
      </c>
      <c r="P800" s="24">
        <f t="shared" si="6"/>
        <v>113450000</v>
      </c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22"/>
      <c r="C801" s="22"/>
      <c r="D801" s="35" t="s">
        <v>23</v>
      </c>
      <c r="E801" s="12"/>
      <c r="F801" s="13"/>
      <c r="G801" s="36"/>
      <c r="H801" s="22"/>
      <c r="I801" s="22"/>
      <c r="J801" s="22"/>
      <c r="K801" s="22"/>
      <c r="L801" s="22"/>
      <c r="M801" s="22"/>
      <c r="N801" s="22"/>
      <c r="O801" s="24">
        <f t="shared" si="5"/>
        <v>0</v>
      </c>
      <c r="P801" s="24">
        <f t="shared" si="6"/>
        <v>0</v>
      </c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22"/>
      <c r="C802" s="22"/>
      <c r="D802" s="47" t="s">
        <v>24</v>
      </c>
      <c r="E802" s="35" t="s">
        <v>90</v>
      </c>
      <c r="F802" s="13"/>
      <c r="G802" s="36">
        <v>180.0</v>
      </c>
      <c r="H802" s="36" t="s">
        <v>87</v>
      </c>
      <c r="I802" s="48">
        <v>500000.0</v>
      </c>
      <c r="J802" s="46">
        <f t="shared" ref="J802:J803" si="313">G802*I802</f>
        <v>90000000</v>
      </c>
      <c r="K802" s="46"/>
      <c r="L802" s="46"/>
      <c r="M802" s="46"/>
      <c r="N802" s="46"/>
      <c r="O802" s="24">
        <f t="shared" si="5"/>
        <v>90000000</v>
      </c>
      <c r="P802" s="24">
        <f t="shared" si="6"/>
        <v>90000000</v>
      </c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22"/>
      <c r="C803" s="22"/>
      <c r="D803" s="47" t="s">
        <v>24</v>
      </c>
      <c r="E803" s="35" t="s">
        <v>170</v>
      </c>
      <c r="F803" s="13"/>
      <c r="G803" s="36">
        <v>600.0</v>
      </c>
      <c r="H803" s="36" t="s">
        <v>87</v>
      </c>
      <c r="I803" s="48">
        <v>40000.0</v>
      </c>
      <c r="J803" s="46">
        <f t="shared" si="313"/>
        <v>24000000</v>
      </c>
      <c r="K803" s="46"/>
      <c r="L803" s="46"/>
      <c r="M803" s="53">
        <v>550000.0</v>
      </c>
      <c r="N803" s="46"/>
      <c r="O803" s="24">
        <f t="shared" si="5"/>
        <v>24000000</v>
      </c>
      <c r="P803" s="24">
        <f t="shared" si="6"/>
        <v>23450000</v>
      </c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41" t="s">
        <v>92</v>
      </c>
      <c r="C804" s="13"/>
      <c r="D804" s="41" t="s">
        <v>93</v>
      </c>
      <c r="E804" s="12"/>
      <c r="F804" s="13"/>
      <c r="G804" s="42"/>
      <c r="H804" s="22"/>
      <c r="I804" s="22"/>
      <c r="J804" s="43">
        <f t="shared" ref="J804:K804" si="314">J805</f>
        <v>41836000</v>
      </c>
      <c r="K804" s="43">
        <f t="shared" si="314"/>
        <v>0</v>
      </c>
      <c r="L804" s="43"/>
      <c r="M804" s="43">
        <f>M805</f>
        <v>772400</v>
      </c>
      <c r="N804" s="43"/>
      <c r="O804" s="24">
        <f t="shared" si="5"/>
        <v>41836000</v>
      </c>
      <c r="P804" s="24">
        <f t="shared" si="6"/>
        <v>41063600</v>
      </c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35" t="s">
        <v>68</v>
      </c>
      <c r="C805" s="13"/>
      <c r="D805" s="44" t="s">
        <v>69</v>
      </c>
      <c r="E805" s="12"/>
      <c r="F805" s="13"/>
      <c r="G805" s="45"/>
      <c r="H805" s="22"/>
      <c r="I805" s="22"/>
      <c r="J805" s="46">
        <f t="shared" ref="J805:K805" si="315">SUM(J807:J808)</f>
        <v>41836000</v>
      </c>
      <c r="K805" s="46">
        <f t="shared" si="315"/>
        <v>0</v>
      </c>
      <c r="L805" s="46"/>
      <c r="M805" s="46">
        <f>SUM(M807:M808)</f>
        <v>772400</v>
      </c>
      <c r="N805" s="46"/>
      <c r="O805" s="24">
        <f t="shared" si="5"/>
        <v>41836000</v>
      </c>
      <c r="P805" s="24">
        <f t="shared" si="6"/>
        <v>41063600</v>
      </c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22"/>
      <c r="C806" s="22"/>
      <c r="D806" s="35" t="s">
        <v>23</v>
      </c>
      <c r="E806" s="12"/>
      <c r="F806" s="13"/>
      <c r="G806" s="36"/>
      <c r="H806" s="22"/>
      <c r="I806" s="22"/>
      <c r="J806" s="22"/>
      <c r="K806" s="22"/>
      <c r="L806" s="22"/>
      <c r="M806" s="22"/>
      <c r="N806" s="22"/>
      <c r="O806" s="24">
        <f t="shared" si="5"/>
        <v>0</v>
      </c>
      <c r="P806" s="24">
        <f t="shared" si="6"/>
        <v>0</v>
      </c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22"/>
      <c r="C807" s="22"/>
      <c r="D807" s="47" t="s">
        <v>24</v>
      </c>
      <c r="E807" s="35" t="s">
        <v>94</v>
      </c>
      <c r="F807" s="13"/>
      <c r="G807" s="36">
        <v>12.0</v>
      </c>
      <c r="H807" s="36" t="s">
        <v>95</v>
      </c>
      <c r="I807" s="48">
        <v>2500000.0</v>
      </c>
      <c r="J807" s="46">
        <f t="shared" ref="J807:J808" si="316">G807*I807</f>
        <v>30000000</v>
      </c>
      <c r="K807" s="46"/>
      <c r="L807" s="46"/>
      <c r="M807" s="46"/>
      <c r="N807" s="46"/>
      <c r="O807" s="24">
        <f t="shared" si="5"/>
        <v>30000000</v>
      </c>
      <c r="P807" s="24">
        <f t="shared" si="6"/>
        <v>30000000</v>
      </c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22"/>
      <c r="C808" s="22"/>
      <c r="D808" s="47" t="s">
        <v>24</v>
      </c>
      <c r="E808" s="35" t="s">
        <v>171</v>
      </c>
      <c r="F808" s="13"/>
      <c r="G808" s="36">
        <v>1.0</v>
      </c>
      <c r="H808" s="36" t="s">
        <v>97</v>
      </c>
      <c r="I808" s="48">
        <v>1.1836E7</v>
      </c>
      <c r="J808" s="46">
        <f t="shared" si="316"/>
        <v>11836000</v>
      </c>
      <c r="K808" s="46"/>
      <c r="L808" s="46"/>
      <c r="M808" s="53">
        <v>772400.0</v>
      </c>
      <c r="N808" s="46"/>
      <c r="O808" s="24">
        <f t="shared" si="5"/>
        <v>11836000</v>
      </c>
      <c r="P808" s="24">
        <f t="shared" si="6"/>
        <v>11063600</v>
      </c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41" t="s">
        <v>98</v>
      </c>
      <c r="C809" s="13"/>
      <c r="D809" s="41" t="s">
        <v>99</v>
      </c>
      <c r="E809" s="12"/>
      <c r="F809" s="13"/>
      <c r="G809" s="42"/>
      <c r="H809" s="22"/>
      <c r="I809" s="22"/>
      <c r="J809" s="43">
        <f t="shared" ref="J809:K809" si="317">J810+J819</f>
        <v>6760000</v>
      </c>
      <c r="K809" s="43">
        <f t="shared" si="317"/>
        <v>0</v>
      </c>
      <c r="L809" s="43"/>
      <c r="M809" s="43">
        <f>M810+M819</f>
        <v>1163716</v>
      </c>
      <c r="N809" s="43"/>
      <c r="O809" s="24">
        <f t="shared" si="5"/>
        <v>6760000</v>
      </c>
      <c r="P809" s="24">
        <f t="shared" si="6"/>
        <v>5596284</v>
      </c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35" t="s">
        <v>100</v>
      </c>
      <c r="C810" s="13"/>
      <c r="D810" s="44" t="s">
        <v>101</v>
      </c>
      <c r="E810" s="12"/>
      <c r="F810" s="13"/>
      <c r="G810" s="45"/>
      <c r="H810" s="22"/>
      <c r="I810" s="22"/>
      <c r="J810" s="46">
        <f t="shared" ref="J810:K810" si="318">SUM(J812:J818)</f>
        <v>5600000</v>
      </c>
      <c r="K810" s="46">
        <f t="shared" si="318"/>
        <v>0</v>
      </c>
      <c r="L810" s="46"/>
      <c r="M810" s="53">
        <v>525716.0</v>
      </c>
      <c r="N810" s="46"/>
      <c r="O810" s="24">
        <f t="shared" si="5"/>
        <v>5600000</v>
      </c>
      <c r="P810" s="24">
        <f t="shared" si="6"/>
        <v>5074284</v>
      </c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22"/>
      <c r="C811" s="22"/>
      <c r="D811" s="35" t="s">
        <v>23</v>
      </c>
      <c r="E811" s="12"/>
      <c r="F811" s="13"/>
      <c r="G811" s="36"/>
      <c r="H811" s="22"/>
      <c r="I811" s="22"/>
      <c r="J811" s="22"/>
      <c r="K811" s="22"/>
      <c r="L811" s="22"/>
      <c r="M811" s="22"/>
      <c r="N811" s="22"/>
      <c r="O811" s="24">
        <f t="shared" si="5"/>
        <v>0</v>
      </c>
      <c r="P811" s="24">
        <f t="shared" si="6"/>
        <v>0</v>
      </c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22"/>
      <c r="C812" s="22"/>
      <c r="D812" s="47" t="s">
        <v>24</v>
      </c>
      <c r="E812" s="35" t="s">
        <v>102</v>
      </c>
      <c r="F812" s="13"/>
      <c r="G812" s="36">
        <v>2.0</v>
      </c>
      <c r="H812" s="36" t="s">
        <v>95</v>
      </c>
      <c r="I812" s="48">
        <v>350000.0</v>
      </c>
      <c r="J812" s="46">
        <f t="shared" ref="J812:J818" si="319">G812*I812</f>
        <v>700000</v>
      </c>
      <c r="K812" s="46"/>
      <c r="L812" s="46"/>
      <c r="M812" s="46"/>
      <c r="N812" s="46"/>
      <c r="O812" s="24">
        <f t="shared" si="5"/>
        <v>700000</v>
      </c>
      <c r="P812" s="24">
        <f t="shared" si="6"/>
        <v>700000</v>
      </c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22"/>
      <c r="C813" s="22"/>
      <c r="D813" s="47" t="s">
        <v>24</v>
      </c>
      <c r="E813" s="35" t="s">
        <v>103</v>
      </c>
      <c r="F813" s="13"/>
      <c r="G813" s="36">
        <v>2.0</v>
      </c>
      <c r="H813" s="36" t="s">
        <v>95</v>
      </c>
      <c r="I813" s="48">
        <v>225000.0</v>
      </c>
      <c r="J813" s="46">
        <f t="shared" si="319"/>
        <v>450000</v>
      </c>
      <c r="K813" s="46"/>
      <c r="L813" s="46"/>
      <c r="M813" s="46"/>
      <c r="N813" s="46"/>
      <c r="O813" s="24">
        <f t="shared" si="5"/>
        <v>450000</v>
      </c>
      <c r="P813" s="24">
        <f t="shared" si="6"/>
        <v>450000</v>
      </c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22"/>
      <c r="C814" s="22"/>
      <c r="D814" s="47" t="s">
        <v>24</v>
      </c>
      <c r="E814" s="35" t="s">
        <v>104</v>
      </c>
      <c r="F814" s="13"/>
      <c r="G814" s="36">
        <v>2.0</v>
      </c>
      <c r="H814" s="36" t="s">
        <v>95</v>
      </c>
      <c r="I814" s="48">
        <v>450000.0</v>
      </c>
      <c r="J814" s="46">
        <f t="shared" si="319"/>
        <v>900000</v>
      </c>
      <c r="K814" s="46"/>
      <c r="L814" s="46"/>
      <c r="M814" s="46"/>
      <c r="N814" s="46"/>
      <c r="O814" s="24">
        <f t="shared" si="5"/>
        <v>900000</v>
      </c>
      <c r="P814" s="24">
        <f t="shared" si="6"/>
        <v>900000</v>
      </c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22"/>
      <c r="C815" s="22"/>
      <c r="D815" s="47" t="s">
        <v>24</v>
      </c>
      <c r="E815" s="35" t="s">
        <v>105</v>
      </c>
      <c r="F815" s="13"/>
      <c r="G815" s="36">
        <v>2.0</v>
      </c>
      <c r="H815" s="36" t="s">
        <v>95</v>
      </c>
      <c r="I815" s="48">
        <v>250000.0</v>
      </c>
      <c r="J815" s="46">
        <f t="shared" si="319"/>
        <v>500000</v>
      </c>
      <c r="K815" s="46"/>
      <c r="L815" s="46"/>
      <c r="M815" s="46"/>
      <c r="N815" s="46"/>
      <c r="O815" s="24">
        <f t="shared" si="5"/>
        <v>500000</v>
      </c>
      <c r="P815" s="24">
        <f t="shared" si="6"/>
        <v>500000</v>
      </c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22"/>
      <c r="C816" s="22"/>
      <c r="D816" s="47" t="s">
        <v>24</v>
      </c>
      <c r="E816" s="35" t="s">
        <v>106</v>
      </c>
      <c r="F816" s="13"/>
      <c r="G816" s="36">
        <v>2.0</v>
      </c>
      <c r="H816" s="36" t="s">
        <v>95</v>
      </c>
      <c r="I816" s="48">
        <v>100000.0</v>
      </c>
      <c r="J816" s="46">
        <f t="shared" si="319"/>
        <v>200000</v>
      </c>
      <c r="K816" s="46"/>
      <c r="L816" s="46"/>
      <c r="M816" s="46"/>
      <c r="N816" s="46"/>
      <c r="O816" s="24">
        <f t="shared" si="5"/>
        <v>200000</v>
      </c>
      <c r="P816" s="24">
        <f t="shared" si="6"/>
        <v>200000</v>
      </c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22"/>
      <c r="C817" s="22"/>
      <c r="D817" s="47" t="s">
        <v>24</v>
      </c>
      <c r="E817" s="35" t="s">
        <v>107</v>
      </c>
      <c r="F817" s="13"/>
      <c r="G817" s="36">
        <v>2.0</v>
      </c>
      <c r="H817" s="36" t="s">
        <v>95</v>
      </c>
      <c r="I817" s="48">
        <v>725000.0</v>
      </c>
      <c r="J817" s="46">
        <f t="shared" si="319"/>
        <v>1450000</v>
      </c>
      <c r="K817" s="46"/>
      <c r="L817" s="46"/>
      <c r="M817" s="46"/>
      <c r="N817" s="46"/>
      <c r="O817" s="24">
        <f t="shared" si="5"/>
        <v>1450000</v>
      </c>
      <c r="P817" s="24">
        <f t="shared" si="6"/>
        <v>1450000</v>
      </c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22"/>
      <c r="C818" s="22"/>
      <c r="D818" s="47" t="s">
        <v>24</v>
      </c>
      <c r="E818" s="35" t="s">
        <v>108</v>
      </c>
      <c r="F818" s="13"/>
      <c r="G818" s="36">
        <v>2.0</v>
      </c>
      <c r="H818" s="36" t="s">
        <v>95</v>
      </c>
      <c r="I818" s="48">
        <v>700000.0</v>
      </c>
      <c r="J818" s="46">
        <f t="shared" si="319"/>
        <v>1400000</v>
      </c>
      <c r="K818" s="46"/>
      <c r="L818" s="46"/>
      <c r="M818" s="46"/>
      <c r="N818" s="46"/>
      <c r="O818" s="24">
        <f t="shared" si="5"/>
        <v>1400000</v>
      </c>
      <c r="P818" s="24">
        <f t="shared" si="6"/>
        <v>1400000</v>
      </c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35" t="s">
        <v>68</v>
      </c>
      <c r="C819" s="13"/>
      <c r="D819" s="44" t="s">
        <v>69</v>
      </c>
      <c r="E819" s="12"/>
      <c r="F819" s="13"/>
      <c r="G819" s="45"/>
      <c r="H819" s="22"/>
      <c r="I819" s="22"/>
      <c r="J819" s="46">
        <f t="shared" ref="J819:K819" si="320">SUM(J821:J824)</f>
        <v>1160000</v>
      </c>
      <c r="K819" s="46">
        <f t="shared" si="320"/>
        <v>0</v>
      </c>
      <c r="L819" s="46"/>
      <c r="M819" s="53">
        <v>638000.0</v>
      </c>
      <c r="N819" s="46"/>
      <c r="O819" s="24">
        <f t="shared" si="5"/>
        <v>1160000</v>
      </c>
      <c r="P819" s="24">
        <f t="shared" si="6"/>
        <v>522000</v>
      </c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22"/>
      <c r="C820" s="22"/>
      <c r="D820" s="35" t="s">
        <v>23</v>
      </c>
      <c r="E820" s="12"/>
      <c r="F820" s="13"/>
      <c r="G820" s="36"/>
      <c r="H820" s="22"/>
      <c r="I820" s="22"/>
      <c r="J820" s="22"/>
      <c r="K820" s="22"/>
      <c r="L820" s="22"/>
      <c r="M820" s="22"/>
      <c r="N820" s="22"/>
      <c r="O820" s="24">
        <f t="shared" si="5"/>
        <v>0</v>
      </c>
      <c r="P820" s="24">
        <f t="shared" si="6"/>
        <v>0</v>
      </c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22"/>
      <c r="C821" s="22"/>
      <c r="D821" s="47" t="s">
        <v>24</v>
      </c>
      <c r="E821" s="35" t="s">
        <v>109</v>
      </c>
      <c r="F821" s="13"/>
      <c r="G821" s="36">
        <v>10.0</v>
      </c>
      <c r="H821" s="36" t="s">
        <v>95</v>
      </c>
      <c r="I821" s="48">
        <v>50000.0</v>
      </c>
      <c r="J821" s="46">
        <f t="shared" ref="J821:J824" si="321">G821*I821</f>
        <v>500000</v>
      </c>
      <c r="K821" s="46"/>
      <c r="L821" s="46"/>
      <c r="M821" s="46"/>
      <c r="N821" s="46"/>
      <c r="O821" s="24">
        <f t="shared" si="5"/>
        <v>500000</v>
      </c>
      <c r="P821" s="24">
        <f t="shared" si="6"/>
        <v>500000</v>
      </c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22"/>
      <c r="C822" s="22"/>
      <c r="D822" s="47" t="s">
        <v>24</v>
      </c>
      <c r="E822" s="35" t="s">
        <v>110</v>
      </c>
      <c r="F822" s="13"/>
      <c r="G822" s="36">
        <v>2.0</v>
      </c>
      <c r="H822" s="36" t="s">
        <v>95</v>
      </c>
      <c r="I822" s="48">
        <v>100000.0</v>
      </c>
      <c r="J822" s="46">
        <f t="shared" si="321"/>
        <v>200000</v>
      </c>
      <c r="K822" s="46"/>
      <c r="L822" s="46"/>
      <c r="M822" s="46"/>
      <c r="N822" s="46"/>
      <c r="O822" s="24">
        <f t="shared" si="5"/>
        <v>200000</v>
      </c>
      <c r="P822" s="24">
        <f t="shared" si="6"/>
        <v>200000</v>
      </c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22"/>
      <c r="C823" s="22"/>
      <c r="D823" s="47" t="s">
        <v>24</v>
      </c>
      <c r="E823" s="35" t="s">
        <v>111</v>
      </c>
      <c r="F823" s="13"/>
      <c r="G823" s="36">
        <v>2.0</v>
      </c>
      <c r="H823" s="36" t="s">
        <v>95</v>
      </c>
      <c r="I823" s="48">
        <v>200000.0</v>
      </c>
      <c r="J823" s="46">
        <f t="shared" si="321"/>
        <v>400000</v>
      </c>
      <c r="K823" s="46"/>
      <c r="L823" s="46"/>
      <c r="M823" s="46"/>
      <c r="N823" s="46"/>
      <c r="O823" s="24">
        <f t="shared" si="5"/>
        <v>400000</v>
      </c>
      <c r="P823" s="24">
        <f t="shared" si="6"/>
        <v>400000</v>
      </c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22"/>
      <c r="C824" s="22"/>
      <c r="D824" s="47" t="s">
        <v>24</v>
      </c>
      <c r="E824" s="35" t="s">
        <v>112</v>
      </c>
      <c r="F824" s="13"/>
      <c r="G824" s="36">
        <v>2.0</v>
      </c>
      <c r="H824" s="36" t="s">
        <v>95</v>
      </c>
      <c r="I824" s="48">
        <v>30000.0</v>
      </c>
      <c r="J824" s="46">
        <f t="shared" si="321"/>
        <v>60000</v>
      </c>
      <c r="K824" s="46"/>
      <c r="L824" s="46"/>
      <c r="M824" s="46"/>
      <c r="N824" s="46"/>
      <c r="O824" s="24">
        <f t="shared" si="5"/>
        <v>60000</v>
      </c>
      <c r="P824" s="24">
        <f t="shared" si="6"/>
        <v>60000</v>
      </c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41" t="s">
        <v>113</v>
      </c>
      <c r="C825" s="13"/>
      <c r="D825" s="41" t="s">
        <v>114</v>
      </c>
      <c r="E825" s="12"/>
      <c r="F825" s="13"/>
      <c r="G825" s="42"/>
      <c r="H825" s="22"/>
      <c r="I825" s="22"/>
      <c r="J825" s="43">
        <f t="shared" ref="J825:K825" si="322">J826</f>
        <v>410750000</v>
      </c>
      <c r="K825" s="43">
        <f t="shared" si="322"/>
        <v>0</v>
      </c>
      <c r="L825" s="43"/>
      <c r="M825" s="43">
        <f>M826</f>
        <v>180000</v>
      </c>
      <c r="N825" s="43"/>
      <c r="O825" s="24">
        <f t="shared" si="5"/>
        <v>410750000</v>
      </c>
      <c r="P825" s="24">
        <f t="shared" si="6"/>
        <v>410570000</v>
      </c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35" t="s">
        <v>68</v>
      </c>
      <c r="C826" s="13"/>
      <c r="D826" s="44" t="s">
        <v>69</v>
      </c>
      <c r="E826" s="12"/>
      <c r="F826" s="13"/>
      <c r="G826" s="45"/>
      <c r="H826" s="22"/>
      <c r="I826" s="22"/>
      <c r="J826" s="46">
        <f t="shared" ref="J826:K826" si="323">SUM(J828:J838)</f>
        <v>410750000</v>
      </c>
      <c r="K826" s="46">
        <f t="shared" si="323"/>
        <v>0</v>
      </c>
      <c r="L826" s="46"/>
      <c r="M826" s="46">
        <f>SUM(M828:M838)</f>
        <v>180000</v>
      </c>
      <c r="N826" s="46"/>
      <c r="O826" s="24">
        <f t="shared" si="5"/>
        <v>410750000</v>
      </c>
      <c r="P826" s="24">
        <f t="shared" si="6"/>
        <v>410570000</v>
      </c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22"/>
      <c r="C827" s="22"/>
      <c r="D827" s="35" t="s">
        <v>23</v>
      </c>
      <c r="E827" s="12"/>
      <c r="F827" s="13"/>
      <c r="G827" s="36"/>
      <c r="H827" s="22"/>
      <c r="I827" s="22"/>
      <c r="J827" s="22"/>
      <c r="K827" s="22"/>
      <c r="L827" s="22"/>
      <c r="M827" s="22"/>
      <c r="N827" s="22"/>
      <c r="O827" s="24">
        <f t="shared" si="5"/>
        <v>0</v>
      </c>
      <c r="P827" s="24">
        <f t="shared" si="6"/>
        <v>0</v>
      </c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22"/>
      <c r="C828" s="22"/>
      <c r="D828" s="47" t="s">
        <v>24</v>
      </c>
      <c r="E828" s="35" t="s">
        <v>172</v>
      </c>
      <c r="F828" s="13"/>
      <c r="G828" s="36">
        <v>100.0</v>
      </c>
      <c r="H828" s="36" t="s">
        <v>95</v>
      </c>
      <c r="I828" s="48">
        <v>110000.0</v>
      </c>
      <c r="J828" s="46">
        <f t="shared" ref="J828:J838" si="324">G828*I828</f>
        <v>11000000</v>
      </c>
      <c r="K828" s="46"/>
      <c r="L828" s="46"/>
      <c r="M828" s="53">
        <v>90000.0</v>
      </c>
      <c r="N828" s="46"/>
      <c r="O828" s="24">
        <f t="shared" si="5"/>
        <v>11000000</v>
      </c>
      <c r="P828" s="24">
        <f t="shared" si="6"/>
        <v>10910000</v>
      </c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22"/>
      <c r="C829" s="22"/>
      <c r="D829" s="47" t="s">
        <v>24</v>
      </c>
      <c r="E829" s="35" t="s">
        <v>173</v>
      </c>
      <c r="F829" s="13"/>
      <c r="G829" s="36">
        <v>100.0</v>
      </c>
      <c r="H829" s="36" t="s">
        <v>95</v>
      </c>
      <c r="I829" s="48">
        <v>120000.0</v>
      </c>
      <c r="J829" s="46">
        <f t="shared" si="324"/>
        <v>12000000</v>
      </c>
      <c r="K829" s="46"/>
      <c r="L829" s="46"/>
      <c r="M829" s="53">
        <v>90000.0</v>
      </c>
      <c r="N829" s="46"/>
      <c r="O829" s="24">
        <f t="shared" si="5"/>
        <v>12000000</v>
      </c>
      <c r="P829" s="24">
        <f t="shared" si="6"/>
        <v>11910000</v>
      </c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22"/>
      <c r="C830" s="22"/>
      <c r="D830" s="47" t="s">
        <v>24</v>
      </c>
      <c r="E830" s="35" t="s">
        <v>174</v>
      </c>
      <c r="F830" s="13"/>
      <c r="G830" s="36">
        <v>100.0</v>
      </c>
      <c r="H830" s="36" t="s">
        <v>95</v>
      </c>
      <c r="I830" s="48">
        <v>150000.0</v>
      </c>
      <c r="J830" s="46">
        <f t="shared" si="324"/>
        <v>15000000</v>
      </c>
      <c r="K830" s="46"/>
      <c r="L830" s="46"/>
      <c r="M830" s="46"/>
      <c r="N830" s="46"/>
      <c r="O830" s="24">
        <f t="shared" si="5"/>
        <v>15000000</v>
      </c>
      <c r="P830" s="24">
        <f t="shared" si="6"/>
        <v>15000000</v>
      </c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22"/>
      <c r="C831" s="22"/>
      <c r="D831" s="47" t="s">
        <v>24</v>
      </c>
      <c r="E831" s="35" t="s">
        <v>175</v>
      </c>
      <c r="F831" s="13"/>
      <c r="G831" s="36">
        <v>100.0</v>
      </c>
      <c r="H831" s="36" t="s">
        <v>95</v>
      </c>
      <c r="I831" s="48">
        <v>100000.0</v>
      </c>
      <c r="J831" s="46">
        <f t="shared" si="324"/>
        <v>10000000</v>
      </c>
      <c r="K831" s="46"/>
      <c r="L831" s="46"/>
      <c r="M831" s="46"/>
      <c r="N831" s="46"/>
      <c r="O831" s="24">
        <f t="shared" si="5"/>
        <v>10000000</v>
      </c>
      <c r="P831" s="24">
        <f t="shared" si="6"/>
        <v>10000000</v>
      </c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22"/>
      <c r="C832" s="22"/>
      <c r="D832" s="47" t="s">
        <v>24</v>
      </c>
      <c r="E832" s="35" t="s">
        <v>176</v>
      </c>
      <c r="F832" s="13"/>
      <c r="G832" s="36">
        <v>100.0</v>
      </c>
      <c r="H832" s="36" t="s">
        <v>95</v>
      </c>
      <c r="I832" s="48">
        <v>350000.0</v>
      </c>
      <c r="J832" s="46">
        <f t="shared" si="324"/>
        <v>35000000</v>
      </c>
      <c r="K832" s="46"/>
      <c r="L832" s="46"/>
      <c r="M832" s="46"/>
      <c r="N832" s="46"/>
      <c r="O832" s="24">
        <f t="shared" si="5"/>
        <v>35000000</v>
      </c>
      <c r="P832" s="24">
        <f t="shared" si="6"/>
        <v>35000000</v>
      </c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22"/>
      <c r="C833" s="22"/>
      <c r="D833" s="47" t="s">
        <v>24</v>
      </c>
      <c r="E833" s="35" t="s">
        <v>177</v>
      </c>
      <c r="F833" s="13"/>
      <c r="G833" s="36">
        <v>50.0</v>
      </c>
      <c r="H833" s="36" t="s">
        <v>95</v>
      </c>
      <c r="I833" s="48">
        <v>175000.0</v>
      </c>
      <c r="J833" s="46">
        <f t="shared" si="324"/>
        <v>8750000</v>
      </c>
      <c r="K833" s="46"/>
      <c r="L833" s="46"/>
      <c r="M833" s="46"/>
      <c r="N833" s="46"/>
      <c r="O833" s="24">
        <f t="shared" si="5"/>
        <v>8750000</v>
      </c>
      <c r="P833" s="24">
        <f t="shared" si="6"/>
        <v>8750000</v>
      </c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22"/>
      <c r="C834" s="22"/>
      <c r="D834" s="47" t="s">
        <v>24</v>
      </c>
      <c r="E834" s="35" t="s">
        <v>178</v>
      </c>
      <c r="F834" s="13"/>
      <c r="G834" s="36">
        <v>350.0</v>
      </c>
      <c r="H834" s="36" t="s">
        <v>95</v>
      </c>
      <c r="I834" s="48">
        <v>150000.0</v>
      </c>
      <c r="J834" s="46">
        <f t="shared" si="324"/>
        <v>52500000</v>
      </c>
      <c r="K834" s="46"/>
      <c r="L834" s="46"/>
      <c r="M834" s="46"/>
      <c r="N834" s="46"/>
      <c r="O834" s="24">
        <f t="shared" si="5"/>
        <v>52500000</v>
      </c>
      <c r="P834" s="24">
        <f t="shared" si="6"/>
        <v>52500000</v>
      </c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22"/>
      <c r="C835" s="22"/>
      <c r="D835" s="47" t="s">
        <v>24</v>
      </c>
      <c r="E835" s="35" t="s">
        <v>179</v>
      </c>
      <c r="F835" s="13"/>
      <c r="G835" s="36">
        <v>350.0</v>
      </c>
      <c r="H835" s="36" t="s">
        <v>95</v>
      </c>
      <c r="I835" s="48">
        <v>200000.0</v>
      </c>
      <c r="J835" s="46">
        <f t="shared" si="324"/>
        <v>70000000</v>
      </c>
      <c r="K835" s="46"/>
      <c r="L835" s="46"/>
      <c r="M835" s="46"/>
      <c r="N835" s="46"/>
      <c r="O835" s="24">
        <f t="shared" si="5"/>
        <v>70000000</v>
      </c>
      <c r="P835" s="24">
        <f t="shared" si="6"/>
        <v>70000000</v>
      </c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22"/>
      <c r="C836" s="22"/>
      <c r="D836" s="47" t="s">
        <v>24</v>
      </c>
      <c r="E836" s="35" t="s">
        <v>180</v>
      </c>
      <c r="F836" s="13"/>
      <c r="G836" s="36">
        <v>600.0</v>
      </c>
      <c r="H836" s="36" t="s">
        <v>95</v>
      </c>
      <c r="I836" s="48">
        <v>250000.0</v>
      </c>
      <c r="J836" s="46">
        <f t="shared" si="324"/>
        <v>150000000</v>
      </c>
      <c r="K836" s="46"/>
      <c r="L836" s="46"/>
      <c r="M836" s="46"/>
      <c r="N836" s="46"/>
      <c r="O836" s="24">
        <f t="shared" si="5"/>
        <v>150000000</v>
      </c>
      <c r="P836" s="24">
        <f t="shared" si="6"/>
        <v>150000000</v>
      </c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22"/>
      <c r="C837" s="22"/>
      <c r="D837" s="47" t="s">
        <v>24</v>
      </c>
      <c r="E837" s="35" t="s">
        <v>181</v>
      </c>
      <c r="F837" s="13"/>
      <c r="G837" s="36">
        <v>360.0</v>
      </c>
      <c r="H837" s="36" t="s">
        <v>95</v>
      </c>
      <c r="I837" s="48">
        <v>100000.0</v>
      </c>
      <c r="J837" s="46">
        <f t="shared" si="324"/>
        <v>36000000</v>
      </c>
      <c r="K837" s="46"/>
      <c r="L837" s="46"/>
      <c r="M837" s="46"/>
      <c r="N837" s="46"/>
      <c r="O837" s="24">
        <f t="shared" si="5"/>
        <v>36000000</v>
      </c>
      <c r="P837" s="24">
        <f t="shared" si="6"/>
        <v>36000000</v>
      </c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22"/>
      <c r="C838" s="22"/>
      <c r="D838" s="47" t="s">
        <v>24</v>
      </c>
      <c r="E838" s="35" t="s">
        <v>182</v>
      </c>
      <c r="F838" s="13"/>
      <c r="G838" s="36">
        <v>210.0</v>
      </c>
      <c r="H838" s="36" t="s">
        <v>95</v>
      </c>
      <c r="I838" s="48">
        <v>50000.0</v>
      </c>
      <c r="J838" s="46">
        <f t="shared" si="324"/>
        <v>10500000</v>
      </c>
      <c r="K838" s="46"/>
      <c r="L838" s="46"/>
      <c r="M838" s="46"/>
      <c r="N838" s="46"/>
      <c r="O838" s="24">
        <f t="shared" si="5"/>
        <v>10500000</v>
      </c>
      <c r="P838" s="24">
        <f t="shared" si="6"/>
        <v>10500000</v>
      </c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41" t="s">
        <v>126</v>
      </c>
      <c r="C839" s="13"/>
      <c r="D839" s="41" t="s">
        <v>127</v>
      </c>
      <c r="E839" s="12"/>
      <c r="F839" s="13"/>
      <c r="G839" s="42"/>
      <c r="H839" s="22"/>
      <c r="I839" s="22"/>
      <c r="J839" s="43">
        <f t="shared" ref="J839:K839" si="325">J840</f>
        <v>190740000</v>
      </c>
      <c r="K839" s="43">
        <f t="shared" si="325"/>
        <v>0</v>
      </c>
      <c r="L839" s="43"/>
      <c r="M839" s="43">
        <f>M840</f>
        <v>0</v>
      </c>
      <c r="N839" s="43"/>
      <c r="O839" s="24">
        <f t="shared" si="5"/>
        <v>190740000</v>
      </c>
      <c r="P839" s="24">
        <f t="shared" si="6"/>
        <v>190740000</v>
      </c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35" t="s">
        <v>68</v>
      </c>
      <c r="C840" s="13"/>
      <c r="D840" s="44" t="s">
        <v>69</v>
      </c>
      <c r="E840" s="12"/>
      <c r="F840" s="13"/>
      <c r="G840" s="45"/>
      <c r="H840" s="22"/>
      <c r="I840" s="22"/>
      <c r="J840" s="46">
        <f t="shared" ref="J840:K840" si="326">SUM(J842:J846)</f>
        <v>190740000</v>
      </c>
      <c r="K840" s="46">
        <f t="shared" si="326"/>
        <v>0</v>
      </c>
      <c r="L840" s="46"/>
      <c r="M840" s="46">
        <f>SUM(M842:M846)</f>
        <v>0</v>
      </c>
      <c r="N840" s="46"/>
      <c r="O840" s="24">
        <f t="shared" si="5"/>
        <v>190740000</v>
      </c>
      <c r="P840" s="24">
        <f t="shared" si="6"/>
        <v>190740000</v>
      </c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22"/>
      <c r="C841" s="22"/>
      <c r="D841" s="35" t="s">
        <v>23</v>
      </c>
      <c r="E841" s="12"/>
      <c r="F841" s="13"/>
      <c r="G841" s="36"/>
      <c r="H841" s="22"/>
      <c r="I841" s="22"/>
      <c r="J841" s="22"/>
      <c r="K841" s="22"/>
      <c r="L841" s="22"/>
      <c r="M841" s="22"/>
      <c r="N841" s="22"/>
      <c r="O841" s="24">
        <f t="shared" si="5"/>
        <v>0</v>
      </c>
      <c r="P841" s="24">
        <f t="shared" si="6"/>
        <v>0</v>
      </c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22"/>
      <c r="C842" s="22"/>
      <c r="D842" s="47" t="s">
        <v>24</v>
      </c>
      <c r="E842" s="35" t="s">
        <v>128</v>
      </c>
      <c r="F842" s="13"/>
      <c r="G842" s="36">
        <v>88.0</v>
      </c>
      <c r="H842" s="36" t="s">
        <v>129</v>
      </c>
      <c r="I842" s="48">
        <v>110000.0</v>
      </c>
      <c r="J842" s="46">
        <f t="shared" ref="J842:J846" si="327">G842*I842</f>
        <v>9680000</v>
      </c>
      <c r="K842" s="46"/>
      <c r="L842" s="46"/>
      <c r="M842" s="46"/>
      <c r="N842" s="46"/>
      <c r="O842" s="24">
        <f t="shared" si="5"/>
        <v>9680000</v>
      </c>
      <c r="P842" s="24">
        <f t="shared" si="6"/>
        <v>9680000</v>
      </c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22"/>
      <c r="C843" s="22"/>
      <c r="D843" s="47" t="s">
        <v>24</v>
      </c>
      <c r="E843" s="35" t="s">
        <v>130</v>
      </c>
      <c r="F843" s="13"/>
      <c r="G843" s="36">
        <v>88.0</v>
      </c>
      <c r="H843" s="36" t="s">
        <v>129</v>
      </c>
      <c r="I843" s="48">
        <v>120000.0</v>
      </c>
      <c r="J843" s="46">
        <f t="shared" si="327"/>
        <v>10560000</v>
      </c>
      <c r="K843" s="46"/>
      <c r="L843" s="46"/>
      <c r="M843" s="46"/>
      <c r="N843" s="46"/>
      <c r="O843" s="24">
        <f t="shared" si="5"/>
        <v>10560000</v>
      </c>
      <c r="P843" s="24">
        <f t="shared" si="6"/>
        <v>10560000</v>
      </c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22"/>
      <c r="C844" s="22"/>
      <c r="D844" s="47" t="s">
        <v>24</v>
      </c>
      <c r="E844" s="35" t="s">
        <v>131</v>
      </c>
      <c r="F844" s="13"/>
      <c r="G844" s="36">
        <v>88.0</v>
      </c>
      <c r="H844" s="36" t="s">
        <v>129</v>
      </c>
      <c r="I844" s="48">
        <v>350000.0</v>
      </c>
      <c r="J844" s="46">
        <f t="shared" si="327"/>
        <v>30800000</v>
      </c>
      <c r="K844" s="46"/>
      <c r="L844" s="46"/>
      <c r="M844" s="46"/>
      <c r="N844" s="46"/>
      <c r="O844" s="24">
        <f t="shared" si="5"/>
        <v>30800000</v>
      </c>
      <c r="P844" s="24">
        <f t="shared" si="6"/>
        <v>30800000</v>
      </c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22"/>
      <c r="C845" s="22"/>
      <c r="D845" s="47" t="s">
        <v>24</v>
      </c>
      <c r="E845" s="35" t="s">
        <v>132</v>
      </c>
      <c r="F845" s="13"/>
      <c r="G845" s="36">
        <v>44.0</v>
      </c>
      <c r="H845" s="36" t="s">
        <v>129</v>
      </c>
      <c r="I845" s="48">
        <v>175000.0</v>
      </c>
      <c r="J845" s="46">
        <f t="shared" si="327"/>
        <v>7700000</v>
      </c>
      <c r="K845" s="46"/>
      <c r="L845" s="46"/>
      <c r="M845" s="46"/>
      <c r="N845" s="46"/>
      <c r="O845" s="24">
        <f t="shared" si="5"/>
        <v>7700000</v>
      </c>
      <c r="P845" s="24">
        <f t="shared" si="6"/>
        <v>7700000</v>
      </c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22"/>
      <c r="C846" s="22"/>
      <c r="D846" s="47" t="s">
        <v>24</v>
      </c>
      <c r="E846" s="35" t="s">
        <v>133</v>
      </c>
      <c r="F846" s="13"/>
      <c r="G846" s="36">
        <v>528.0</v>
      </c>
      <c r="H846" s="36" t="s">
        <v>129</v>
      </c>
      <c r="I846" s="48">
        <v>250000.0</v>
      </c>
      <c r="J846" s="46">
        <f t="shared" si="327"/>
        <v>132000000</v>
      </c>
      <c r="K846" s="46"/>
      <c r="L846" s="46"/>
      <c r="M846" s="46"/>
      <c r="N846" s="46"/>
      <c r="O846" s="24">
        <f t="shared" si="5"/>
        <v>132000000</v>
      </c>
      <c r="P846" s="24">
        <f t="shared" si="6"/>
        <v>132000000</v>
      </c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41" t="s">
        <v>134</v>
      </c>
      <c r="C847" s="13"/>
      <c r="D847" s="41" t="s">
        <v>135</v>
      </c>
      <c r="E847" s="12"/>
      <c r="F847" s="13"/>
      <c r="G847" s="42"/>
      <c r="H847" s="22"/>
      <c r="I847" s="22"/>
      <c r="J847" s="43">
        <f t="shared" ref="J847:K847" si="328">J848</f>
        <v>20020000</v>
      </c>
      <c r="K847" s="43">
        <f t="shared" si="328"/>
        <v>0</v>
      </c>
      <c r="L847" s="43"/>
      <c r="M847" s="43">
        <f>M848</f>
        <v>0</v>
      </c>
      <c r="N847" s="43"/>
      <c r="O847" s="24">
        <f t="shared" si="5"/>
        <v>20020000</v>
      </c>
      <c r="P847" s="24">
        <f t="shared" si="6"/>
        <v>20020000</v>
      </c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35" t="s">
        <v>68</v>
      </c>
      <c r="C848" s="13"/>
      <c r="D848" s="44" t="s">
        <v>69</v>
      </c>
      <c r="E848" s="12"/>
      <c r="F848" s="13"/>
      <c r="G848" s="45"/>
      <c r="H848" s="22"/>
      <c r="I848" s="22"/>
      <c r="J848" s="46">
        <f t="shared" ref="J848:K848" si="329">SUM(J850:J854)</f>
        <v>20020000</v>
      </c>
      <c r="K848" s="46">
        <f t="shared" si="329"/>
        <v>0</v>
      </c>
      <c r="L848" s="46"/>
      <c r="M848" s="46">
        <f>SUM(M850:M854)</f>
        <v>0</v>
      </c>
      <c r="N848" s="46"/>
      <c r="O848" s="24">
        <f t="shared" si="5"/>
        <v>20020000</v>
      </c>
      <c r="P848" s="24">
        <f t="shared" si="6"/>
        <v>20020000</v>
      </c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22"/>
      <c r="C849" s="22"/>
      <c r="D849" s="35" t="s">
        <v>23</v>
      </c>
      <c r="E849" s="12"/>
      <c r="F849" s="13"/>
      <c r="G849" s="36"/>
      <c r="H849" s="22"/>
      <c r="I849" s="22"/>
      <c r="J849" s="22"/>
      <c r="K849" s="22"/>
      <c r="L849" s="22"/>
      <c r="M849" s="22"/>
      <c r="N849" s="22"/>
      <c r="O849" s="24">
        <f t="shared" si="5"/>
        <v>0</v>
      </c>
      <c r="P849" s="24">
        <f t="shared" si="6"/>
        <v>0</v>
      </c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22"/>
      <c r="C850" s="22"/>
      <c r="D850" s="47" t="s">
        <v>24</v>
      </c>
      <c r="E850" s="35" t="s">
        <v>183</v>
      </c>
      <c r="F850" s="13"/>
      <c r="G850" s="36">
        <v>150.0</v>
      </c>
      <c r="H850" s="36" t="s">
        <v>95</v>
      </c>
      <c r="I850" s="48">
        <v>75000.0</v>
      </c>
      <c r="J850" s="46">
        <f t="shared" ref="J850:J854" si="330">G850*I850</f>
        <v>11250000</v>
      </c>
      <c r="K850" s="46"/>
      <c r="L850" s="46"/>
      <c r="M850" s="46"/>
      <c r="N850" s="46"/>
      <c r="O850" s="24">
        <f t="shared" si="5"/>
        <v>11250000</v>
      </c>
      <c r="P850" s="24">
        <f t="shared" si="6"/>
        <v>11250000</v>
      </c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22"/>
      <c r="C851" s="22"/>
      <c r="D851" s="47" t="s">
        <v>24</v>
      </c>
      <c r="E851" s="35" t="s">
        <v>137</v>
      </c>
      <c r="F851" s="13"/>
      <c r="G851" s="36">
        <v>2.0</v>
      </c>
      <c r="H851" s="36" t="s">
        <v>95</v>
      </c>
      <c r="I851" s="48">
        <v>360000.0</v>
      </c>
      <c r="J851" s="46">
        <f t="shared" si="330"/>
        <v>720000</v>
      </c>
      <c r="K851" s="46"/>
      <c r="L851" s="46"/>
      <c r="M851" s="46"/>
      <c r="N851" s="46"/>
      <c r="O851" s="24">
        <f t="shared" si="5"/>
        <v>720000</v>
      </c>
      <c r="P851" s="24">
        <f t="shared" si="6"/>
        <v>720000</v>
      </c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22"/>
      <c r="C852" s="22"/>
      <c r="D852" s="47" t="s">
        <v>24</v>
      </c>
      <c r="E852" s="35" t="s">
        <v>184</v>
      </c>
      <c r="F852" s="13"/>
      <c r="G852" s="36">
        <v>50.0</v>
      </c>
      <c r="H852" s="36" t="s">
        <v>95</v>
      </c>
      <c r="I852" s="48">
        <v>93000.0</v>
      </c>
      <c r="J852" s="46">
        <f t="shared" si="330"/>
        <v>4650000</v>
      </c>
      <c r="K852" s="46"/>
      <c r="L852" s="46"/>
      <c r="M852" s="46"/>
      <c r="N852" s="46"/>
      <c r="O852" s="24">
        <f t="shared" si="5"/>
        <v>4650000</v>
      </c>
      <c r="P852" s="24">
        <f t="shared" si="6"/>
        <v>4650000</v>
      </c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22"/>
      <c r="C853" s="22"/>
      <c r="D853" s="47" t="s">
        <v>24</v>
      </c>
      <c r="E853" s="35" t="s">
        <v>185</v>
      </c>
      <c r="F853" s="13"/>
      <c r="G853" s="36">
        <v>50.0</v>
      </c>
      <c r="H853" s="36" t="s">
        <v>95</v>
      </c>
      <c r="I853" s="48">
        <v>53000.0</v>
      </c>
      <c r="J853" s="46">
        <f t="shared" si="330"/>
        <v>2650000</v>
      </c>
      <c r="K853" s="46"/>
      <c r="L853" s="46"/>
      <c r="M853" s="46"/>
      <c r="N853" s="46"/>
      <c r="O853" s="24">
        <f t="shared" si="5"/>
        <v>2650000</v>
      </c>
      <c r="P853" s="24">
        <f t="shared" si="6"/>
        <v>2650000</v>
      </c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22"/>
      <c r="C854" s="22"/>
      <c r="D854" s="47" t="s">
        <v>24</v>
      </c>
      <c r="E854" s="35" t="s">
        <v>186</v>
      </c>
      <c r="F854" s="13"/>
      <c r="G854" s="36">
        <v>50.0</v>
      </c>
      <c r="H854" s="36" t="s">
        <v>95</v>
      </c>
      <c r="I854" s="48">
        <v>15000.0</v>
      </c>
      <c r="J854" s="46">
        <f t="shared" si="330"/>
        <v>750000</v>
      </c>
      <c r="K854" s="46"/>
      <c r="L854" s="46"/>
      <c r="M854" s="46"/>
      <c r="N854" s="46"/>
      <c r="O854" s="24">
        <f t="shared" si="5"/>
        <v>750000</v>
      </c>
      <c r="P854" s="24">
        <f t="shared" si="6"/>
        <v>750000</v>
      </c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41" t="s">
        <v>141</v>
      </c>
      <c r="C855" s="13"/>
      <c r="D855" s="41" t="s">
        <v>142</v>
      </c>
      <c r="E855" s="12"/>
      <c r="F855" s="13"/>
      <c r="G855" s="42"/>
      <c r="H855" s="22"/>
      <c r="I855" s="22"/>
      <c r="J855" s="43">
        <f t="shared" ref="J855:K855" si="331">J856</f>
        <v>145500000</v>
      </c>
      <c r="K855" s="43">
        <f t="shared" si="331"/>
        <v>0</v>
      </c>
      <c r="L855" s="43"/>
      <c r="M855" s="43">
        <f>M856</f>
        <v>0</v>
      </c>
      <c r="N855" s="43"/>
      <c r="O855" s="24">
        <f t="shared" si="5"/>
        <v>145500000</v>
      </c>
      <c r="P855" s="24">
        <f t="shared" si="6"/>
        <v>145500000</v>
      </c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35" t="s">
        <v>68</v>
      </c>
      <c r="C856" s="13"/>
      <c r="D856" s="44" t="s">
        <v>69</v>
      </c>
      <c r="E856" s="12"/>
      <c r="F856" s="13"/>
      <c r="G856" s="45"/>
      <c r="H856" s="22"/>
      <c r="I856" s="22"/>
      <c r="J856" s="46">
        <f t="shared" ref="J856:K856" si="332">SUM(J858:J860)</f>
        <v>145500000</v>
      </c>
      <c r="K856" s="46">
        <f t="shared" si="332"/>
        <v>0</v>
      </c>
      <c r="L856" s="46"/>
      <c r="M856" s="46">
        <f>SUM(M858:M860)</f>
        <v>0</v>
      </c>
      <c r="N856" s="46"/>
      <c r="O856" s="24">
        <f t="shared" si="5"/>
        <v>145500000</v>
      </c>
      <c r="P856" s="24">
        <f t="shared" si="6"/>
        <v>145500000</v>
      </c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22"/>
      <c r="C857" s="22"/>
      <c r="D857" s="35" t="s">
        <v>23</v>
      </c>
      <c r="E857" s="12"/>
      <c r="F857" s="13"/>
      <c r="G857" s="36"/>
      <c r="H857" s="22"/>
      <c r="I857" s="22"/>
      <c r="J857" s="22"/>
      <c r="K857" s="22"/>
      <c r="L857" s="22"/>
      <c r="M857" s="22"/>
      <c r="N857" s="22"/>
      <c r="O857" s="24">
        <f t="shared" si="5"/>
        <v>0</v>
      </c>
      <c r="P857" s="24">
        <f t="shared" si="6"/>
        <v>0</v>
      </c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22"/>
      <c r="C858" s="22"/>
      <c r="D858" s="47" t="s">
        <v>24</v>
      </c>
      <c r="E858" s="35" t="s">
        <v>187</v>
      </c>
      <c r="F858" s="13"/>
      <c r="G858" s="36">
        <v>50.0</v>
      </c>
      <c r="H858" s="36" t="s">
        <v>95</v>
      </c>
      <c r="I858" s="48">
        <v>2000000.0</v>
      </c>
      <c r="J858" s="46">
        <f t="shared" ref="J858:J860" si="333">G858*I858</f>
        <v>100000000</v>
      </c>
      <c r="K858" s="46"/>
      <c r="L858" s="46"/>
      <c r="M858" s="46"/>
      <c r="N858" s="46"/>
      <c r="O858" s="24">
        <f t="shared" si="5"/>
        <v>100000000</v>
      </c>
      <c r="P858" s="24">
        <f t="shared" si="6"/>
        <v>100000000</v>
      </c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22"/>
      <c r="C859" s="22"/>
      <c r="D859" s="47" t="s">
        <v>24</v>
      </c>
      <c r="E859" s="35" t="s">
        <v>188</v>
      </c>
      <c r="F859" s="13"/>
      <c r="G859" s="36">
        <v>50.0</v>
      </c>
      <c r="H859" s="36" t="s">
        <v>95</v>
      </c>
      <c r="I859" s="48">
        <v>750000.0</v>
      </c>
      <c r="J859" s="46">
        <f t="shared" si="333"/>
        <v>37500000</v>
      </c>
      <c r="K859" s="46"/>
      <c r="L859" s="46"/>
      <c r="M859" s="46"/>
      <c r="N859" s="46"/>
      <c r="O859" s="24">
        <f t="shared" si="5"/>
        <v>37500000</v>
      </c>
      <c r="P859" s="24">
        <f t="shared" si="6"/>
        <v>37500000</v>
      </c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22"/>
      <c r="C860" s="22"/>
      <c r="D860" s="47" t="s">
        <v>24</v>
      </c>
      <c r="E860" s="35" t="s">
        <v>145</v>
      </c>
      <c r="F860" s="13"/>
      <c r="G860" s="36">
        <v>4.0</v>
      </c>
      <c r="H860" s="36" t="s">
        <v>95</v>
      </c>
      <c r="I860" s="48">
        <v>2000000.0</v>
      </c>
      <c r="J860" s="46">
        <f t="shared" si="333"/>
        <v>8000000</v>
      </c>
      <c r="K860" s="46"/>
      <c r="L860" s="46"/>
      <c r="M860" s="46"/>
      <c r="N860" s="46"/>
      <c r="O860" s="24">
        <f t="shared" si="5"/>
        <v>8000000</v>
      </c>
      <c r="P860" s="24">
        <f t="shared" si="6"/>
        <v>8000000</v>
      </c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41" t="s">
        <v>146</v>
      </c>
      <c r="C861" s="13"/>
      <c r="D861" s="41" t="s">
        <v>147</v>
      </c>
      <c r="E861" s="12"/>
      <c r="F861" s="13"/>
      <c r="G861" s="42"/>
      <c r="H861" s="22"/>
      <c r="I861" s="22"/>
      <c r="J861" s="43">
        <f t="shared" ref="J861:K861" si="334">J862+J869</f>
        <v>219800000</v>
      </c>
      <c r="K861" s="43">
        <f t="shared" si="334"/>
        <v>0</v>
      </c>
      <c r="L861" s="43"/>
      <c r="M861" s="43">
        <f>M862+M869</f>
        <v>5290000</v>
      </c>
      <c r="N861" s="43"/>
      <c r="O861" s="24">
        <f t="shared" si="5"/>
        <v>219800000</v>
      </c>
      <c r="P861" s="24">
        <f t="shared" si="6"/>
        <v>214510000</v>
      </c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35" t="s">
        <v>74</v>
      </c>
      <c r="C862" s="13"/>
      <c r="D862" s="44" t="s">
        <v>75</v>
      </c>
      <c r="E862" s="12"/>
      <c r="F862" s="13"/>
      <c r="G862" s="45"/>
      <c r="H862" s="22"/>
      <c r="I862" s="22"/>
      <c r="J862" s="46">
        <f t="shared" ref="J862:K862" si="335">SUM(J864:J868)</f>
        <v>195800000</v>
      </c>
      <c r="K862" s="46">
        <f t="shared" si="335"/>
        <v>0</v>
      </c>
      <c r="L862" s="46"/>
      <c r="M862" s="46">
        <f>SUM(M864:M868)</f>
        <v>0</v>
      </c>
      <c r="N862" s="46"/>
      <c r="O862" s="24">
        <f t="shared" si="5"/>
        <v>195800000</v>
      </c>
      <c r="P862" s="24">
        <f t="shared" si="6"/>
        <v>195800000</v>
      </c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22"/>
      <c r="C863" s="22"/>
      <c r="D863" s="35" t="s">
        <v>23</v>
      </c>
      <c r="E863" s="12"/>
      <c r="F863" s="13"/>
      <c r="G863" s="36"/>
      <c r="H863" s="22"/>
      <c r="I863" s="22"/>
      <c r="J863" s="22"/>
      <c r="K863" s="22"/>
      <c r="L863" s="22"/>
      <c r="M863" s="22"/>
      <c r="N863" s="22"/>
      <c r="O863" s="24">
        <f t="shared" si="5"/>
        <v>0</v>
      </c>
      <c r="P863" s="24">
        <f t="shared" si="6"/>
        <v>0</v>
      </c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22"/>
      <c r="C864" s="22"/>
      <c r="D864" s="47" t="s">
        <v>24</v>
      </c>
      <c r="E864" s="35" t="s">
        <v>148</v>
      </c>
      <c r="F864" s="13"/>
      <c r="G864" s="36">
        <v>75.0</v>
      </c>
      <c r="H864" s="36" t="s">
        <v>26</v>
      </c>
      <c r="I864" s="48">
        <v>430000.0</v>
      </c>
      <c r="J864" s="46">
        <f t="shared" ref="J864:J868" si="336">G864*I864</f>
        <v>32250000</v>
      </c>
      <c r="K864" s="46"/>
      <c r="L864" s="46"/>
      <c r="M864" s="46"/>
      <c r="N864" s="46"/>
      <c r="O864" s="24">
        <f t="shared" si="5"/>
        <v>32250000</v>
      </c>
      <c r="P864" s="24">
        <f t="shared" si="6"/>
        <v>32250000</v>
      </c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22"/>
      <c r="C865" s="22"/>
      <c r="D865" s="47" t="s">
        <v>24</v>
      </c>
      <c r="E865" s="35" t="s">
        <v>149</v>
      </c>
      <c r="F865" s="13"/>
      <c r="G865" s="36">
        <v>50.0</v>
      </c>
      <c r="H865" s="36" t="s">
        <v>26</v>
      </c>
      <c r="I865" s="48">
        <v>783500.0</v>
      </c>
      <c r="J865" s="46">
        <f t="shared" si="336"/>
        <v>39175000</v>
      </c>
      <c r="K865" s="46"/>
      <c r="L865" s="46"/>
      <c r="M865" s="46"/>
      <c r="N865" s="46"/>
      <c r="O865" s="24">
        <f t="shared" si="5"/>
        <v>39175000</v>
      </c>
      <c r="P865" s="24">
        <f t="shared" si="6"/>
        <v>39175000</v>
      </c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22"/>
      <c r="C866" s="22"/>
      <c r="D866" s="47" t="s">
        <v>24</v>
      </c>
      <c r="E866" s="35" t="s">
        <v>150</v>
      </c>
      <c r="F866" s="13"/>
      <c r="G866" s="36">
        <v>25.0</v>
      </c>
      <c r="H866" s="36" t="s">
        <v>26</v>
      </c>
      <c r="I866" s="48">
        <v>875000.0</v>
      </c>
      <c r="J866" s="46">
        <f t="shared" si="336"/>
        <v>21875000</v>
      </c>
      <c r="K866" s="46"/>
      <c r="L866" s="46"/>
      <c r="M866" s="46"/>
      <c r="N866" s="46"/>
      <c r="O866" s="24">
        <f t="shared" si="5"/>
        <v>21875000</v>
      </c>
      <c r="P866" s="24">
        <f t="shared" si="6"/>
        <v>21875000</v>
      </c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22"/>
      <c r="C867" s="22"/>
      <c r="D867" s="47" t="s">
        <v>24</v>
      </c>
      <c r="E867" s="35" t="s">
        <v>189</v>
      </c>
      <c r="F867" s="13"/>
      <c r="G867" s="36">
        <v>100.0</v>
      </c>
      <c r="H867" s="36" t="s">
        <v>26</v>
      </c>
      <c r="I867" s="48">
        <v>500000.0</v>
      </c>
      <c r="J867" s="46">
        <f t="shared" si="336"/>
        <v>50000000</v>
      </c>
      <c r="K867" s="46"/>
      <c r="L867" s="46"/>
      <c r="M867" s="46"/>
      <c r="N867" s="46"/>
      <c r="O867" s="24">
        <f t="shared" si="5"/>
        <v>50000000</v>
      </c>
      <c r="P867" s="24">
        <f t="shared" si="6"/>
        <v>50000000</v>
      </c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22"/>
      <c r="C868" s="22"/>
      <c r="D868" s="47" t="s">
        <v>24</v>
      </c>
      <c r="E868" s="35" t="s">
        <v>190</v>
      </c>
      <c r="F868" s="13"/>
      <c r="G868" s="36">
        <v>150.0</v>
      </c>
      <c r="H868" s="36" t="s">
        <v>26</v>
      </c>
      <c r="I868" s="48">
        <v>350000.0</v>
      </c>
      <c r="J868" s="46">
        <f t="shared" si="336"/>
        <v>52500000</v>
      </c>
      <c r="K868" s="46"/>
      <c r="L868" s="46"/>
      <c r="M868" s="46"/>
      <c r="N868" s="46"/>
      <c r="O868" s="24">
        <f t="shared" si="5"/>
        <v>52500000</v>
      </c>
      <c r="P868" s="24">
        <f t="shared" si="6"/>
        <v>52500000</v>
      </c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35" t="s">
        <v>79</v>
      </c>
      <c r="C869" s="13"/>
      <c r="D869" s="44" t="s">
        <v>80</v>
      </c>
      <c r="E869" s="12"/>
      <c r="F869" s="13"/>
      <c r="G869" s="45"/>
      <c r="H869" s="22"/>
      <c r="I869" s="22"/>
      <c r="J869" s="46">
        <f t="shared" ref="J869:K869" si="337">J871</f>
        <v>24000000</v>
      </c>
      <c r="K869" s="46" t="str">
        <f t="shared" si="337"/>
        <v/>
      </c>
      <c r="L869" s="46"/>
      <c r="M869" s="46">
        <f>M871</f>
        <v>5290000</v>
      </c>
      <c r="N869" s="46"/>
      <c r="O869" s="24">
        <f t="shared" si="5"/>
        <v>24000000</v>
      </c>
      <c r="P869" s="24">
        <f t="shared" si="6"/>
        <v>18710000</v>
      </c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22"/>
      <c r="C870" s="22"/>
      <c r="D870" s="35" t="s">
        <v>23</v>
      </c>
      <c r="E870" s="12"/>
      <c r="F870" s="13"/>
      <c r="G870" s="36"/>
      <c r="H870" s="22"/>
      <c r="I870" s="22"/>
      <c r="J870" s="22"/>
      <c r="K870" s="22"/>
      <c r="L870" s="22"/>
      <c r="M870" s="22"/>
      <c r="N870" s="22"/>
      <c r="O870" s="24">
        <f t="shared" si="5"/>
        <v>0</v>
      </c>
      <c r="P870" s="24">
        <f t="shared" si="6"/>
        <v>0</v>
      </c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22"/>
      <c r="C871" s="22"/>
      <c r="D871" s="47" t="s">
        <v>24</v>
      </c>
      <c r="E871" s="35" t="s">
        <v>153</v>
      </c>
      <c r="F871" s="13"/>
      <c r="G871" s="36">
        <v>160.0</v>
      </c>
      <c r="H871" s="36" t="s">
        <v>26</v>
      </c>
      <c r="I871" s="48">
        <v>150000.0</v>
      </c>
      <c r="J871" s="46">
        <f>G871*I871</f>
        <v>24000000</v>
      </c>
      <c r="K871" s="46"/>
      <c r="L871" s="46"/>
      <c r="M871" s="53">
        <f>4950000+340000</f>
        <v>5290000</v>
      </c>
      <c r="N871" s="46"/>
      <c r="O871" s="24">
        <f t="shared" si="5"/>
        <v>24000000</v>
      </c>
      <c r="P871" s="24">
        <f t="shared" si="6"/>
        <v>18710000</v>
      </c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37" t="s">
        <v>215</v>
      </c>
      <c r="C872" s="13"/>
      <c r="D872" s="37" t="s">
        <v>216</v>
      </c>
      <c r="E872" s="12"/>
      <c r="F872" s="13"/>
      <c r="G872" s="38"/>
      <c r="H872" s="38"/>
      <c r="I872" s="39"/>
      <c r="J872" s="40">
        <f t="shared" ref="J872:K872" si="338">J873+J887+J899+J912+J929+J938+J948+J953+J969+J983+J991+J999+J1005</f>
        <v>3064496000</v>
      </c>
      <c r="K872" s="40">
        <f t="shared" si="338"/>
        <v>86340000</v>
      </c>
      <c r="L872" s="40"/>
      <c r="M872" s="40">
        <f>M873+M887+M899+M912+M929+M938+M948+M953+M969+M983+M991+M999+M1005</f>
        <v>200051918</v>
      </c>
      <c r="N872" s="40"/>
      <c r="O872" s="24">
        <f t="shared" si="5"/>
        <v>2978156000</v>
      </c>
      <c r="P872" s="24">
        <f t="shared" si="6"/>
        <v>2864444082</v>
      </c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41" t="s">
        <v>20</v>
      </c>
      <c r="C873" s="13"/>
      <c r="D873" s="41" t="s">
        <v>21</v>
      </c>
      <c r="E873" s="12"/>
      <c r="F873" s="13"/>
      <c r="G873" s="42"/>
      <c r="H873" s="22"/>
      <c r="I873" s="22"/>
      <c r="J873" s="43">
        <f t="shared" ref="J873:K873" si="339">J874+J883</f>
        <v>142640000</v>
      </c>
      <c r="K873" s="43">
        <f t="shared" si="339"/>
        <v>0</v>
      </c>
      <c r="L873" s="43"/>
      <c r="M873" s="43">
        <f>M874+M883</f>
        <v>1467750</v>
      </c>
      <c r="N873" s="43"/>
      <c r="O873" s="24">
        <f t="shared" si="5"/>
        <v>142640000</v>
      </c>
      <c r="P873" s="24">
        <f t="shared" si="6"/>
        <v>141172250</v>
      </c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35" t="s">
        <v>40</v>
      </c>
      <c r="C874" s="13"/>
      <c r="D874" s="44" t="s">
        <v>22</v>
      </c>
      <c r="E874" s="12"/>
      <c r="F874" s="13"/>
      <c r="G874" s="45"/>
      <c r="H874" s="22"/>
      <c r="I874" s="22"/>
      <c r="J874" s="46">
        <f t="shared" ref="J874:K874" si="340">SUM(J876:J882)</f>
        <v>130640000</v>
      </c>
      <c r="K874" s="46">
        <f t="shared" si="340"/>
        <v>0</v>
      </c>
      <c r="L874" s="46"/>
      <c r="M874" s="46">
        <f>SUM(M876:M882)</f>
        <v>967750</v>
      </c>
      <c r="N874" s="46"/>
      <c r="O874" s="24">
        <f t="shared" si="5"/>
        <v>130640000</v>
      </c>
      <c r="P874" s="24">
        <f t="shared" si="6"/>
        <v>129672250</v>
      </c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22"/>
      <c r="C875" s="22"/>
      <c r="D875" s="35" t="s">
        <v>23</v>
      </c>
      <c r="E875" s="12"/>
      <c r="F875" s="13"/>
      <c r="G875" s="36"/>
      <c r="H875" s="22"/>
      <c r="I875" s="22"/>
      <c r="J875" s="22"/>
      <c r="K875" s="22"/>
      <c r="L875" s="22"/>
      <c r="M875" s="22"/>
      <c r="N875" s="22"/>
      <c r="O875" s="24">
        <f t="shared" si="5"/>
        <v>0</v>
      </c>
      <c r="P875" s="24">
        <f t="shared" si="6"/>
        <v>0</v>
      </c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22"/>
      <c r="C876" s="22"/>
      <c r="D876" s="47" t="s">
        <v>24</v>
      </c>
      <c r="E876" s="35" t="s">
        <v>156</v>
      </c>
      <c r="F876" s="13"/>
      <c r="G876" s="36">
        <v>24.0</v>
      </c>
      <c r="H876" s="36" t="s">
        <v>26</v>
      </c>
      <c r="I876" s="48">
        <v>500000.0</v>
      </c>
      <c r="J876" s="46">
        <f t="shared" ref="J876:J882" si="341">G876*I876</f>
        <v>12000000</v>
      </c>
      <c r="K876" s="46"/>
      <c r="L876" s="46"/>
      <c r="M876" s="46"/>
      <c r="N876" s="46"/>
      <c r="O876" s="24">
        <f t="shared" si="5"/>
        <v>12000000</v>
      </c>
      <c r="P876" s="24">
        <f t="shared" si="6"/>
        <v>12000000</v>
      </c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22"/>
      <c r="C877" s="22"/>
      <c r="D877" s="47" t="s">
        <v>24</v>
      </c>
      <c r="E877" s="35" t="s">
        <v>27</v>
      </c>
      <c r="F877" s="13"/>
      <c r="G877" s="36">
        <v>2.0</v>
      </c>
      <c r="H877" s="36" t="s">
        <v>26</v>
      </c>
      <c r="I877" s="48">
        <v>2000000.0</v>
      </c>
      <c r="J877" s="46">
        <f t="shared" si="341"/>
        <v>4000000</v>
      </c>
      <c r="K877" s="46"/>
      <c r="L877" s="46"/>
      <c r="M877" s="46"/>
      <c r="N877" s="46"/>
      <c r="O877" s="24">
        <f t="shared" si="5"/>
        <v>4000000</v>
      </c>
      <c r="P877" s="24">
        <f t="shared" si="6"/>
        <v>4000000</v>
      </c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22"/>
      <c r="C878" s="22"/>
      <c r="D878" s="47" t="s">
        <v>24</v>
      </c>
      <c r="E878" s="35" t="s">
        <v>28</v>
      </c>
      <c r="F878" s="13"/>
      <c r="G878" s="36">
        <v>10.0</v>
      </c>
      <c r="H878" s="36" t="s">
        <v>26</v>
      </c>
      <c r="I878" s="48">
        <v>500000.0</v>
      </c>
      <c r="J878" s="46">
        <f t="shared" si="341"/>
        <v>5000000</v>
      </c>
      <c r="K878" s="46"/>
      <c r="L878" s="46"/>
      <c r="M878" s="46"/>
      <c r="N878" s="46"/>
      <c r="O878" s="24">
        <f t="shared" si="5"/>
        <v>5000000</v>
      </c>
      <c r="P878" s="24">
        <f t="shared" si="6"/>
        <v>5000000</v>
      </c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22"/>
      <c r="C879" s="22"/>
      <c r="D879" s="47" t="s">
        <v>24</v>
      </c>
      <c r="E879" s="35" t="s">
        <v>157</v>
      </c>
      <c r="F879" s="13"/>
      <c r="G879" s="36">
        <v>200.0</v>
      </c>
      <c r="H879" s="36" t="s">
        <v>26</v>
      </c>
      <c r="I879" s="48">
        <v>25000.0</v>
      </c>
      <c r="J879" s="46">
        <f t="shared" si="341"/>
        <v>5000000</v>
      </c>
      <c r="K879" s="46"/>
      <c r="L879" s="46"/>
      <c r="M879" s="46">
        <v>895750.0</v>
      </c>
      <c r="N879" s="46"/>
      <c r="O879" s="24">
        <f t="shared" si="5"/>
        <v>5000000</v>
      </c>
      <c r="P879" s="24">
        <f t="shared" si="6"/>
        <v>4104250</v>
      </c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22"/>
      <c r="C880" s="22"/>
      <c r="D880" s="47" t="s">
        <v>24</v>
      </c>
      <c r="E880" s="35" t="s">
        <v>31</v>
      </c>
      <c r="F880" s="13"/>
      <c r="G880" s="36">
        <v>320.0</v>
      </c>
      <c r="H880" s="36" t="s">
        <v>26</v>
      </c>
      <c r="I880" s="48">
        <v>53000.0</v>
      </c>
      <c r="J880" s="46">
        <f t="shared" si="341"/>
        <v>16960000</v>
      </c>
      <c r="K880" s="46"/>
      <c r="L880" s="46"/>
      <c r="M880" s="46"/>
      <c r="N880" s="46"/>
      <c r="O880" s="24">
        <f t="shared" si="5"/>
        <v>16960000</v>
      </c>
      <c r="P880" s="24">
        <f t="shared" si="6"/>
        <v>16960000</v>
      </c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22"/>
      <c r="C881" s="22"/>
      <c r="D881" s="47" t="s">
        <v>24</v>
      </c>
      <c r="E881" s="35" t="s">
        <v>32</v>
      </c>
      <c r="F881" s="13"/>
      <c r="G881" s="36">
        <v>320.0</v>
      </c>
      <c r="H881" s="36" t="s">
        <v>26</v>
      </c>
      <c r="I881" s="48">
        <v>24000.0</v>
      </c>
      <c r="J881" s="46">
        <f t="shared" si="341"/>
        <v>7680000</v>
      </c>
      <c r="K881" s="46"/>
      <c r="L881" s="46"/>
      <c r="M881" s="46"/>
      <c r="N881" s="46"/>
      <c r="O881" s="24">
        <f t="shared" si="5"/>
        <v>7680000</v>
      </c>
      <c r="P881" s="24">
        <f t="shared" si="6"/>
        <v>7680000</v>
      </c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22"/>
      <c r="C882" s="22"/>
      <c r="D882" s="47" t="s">
        <v>24</v>
      </c>
      <c r="E882" s="35" t="s">
        <v>158</v>
      </c>
      <c r="F882" s="13"/>
      <c r="G882" s="36">
        <v>100.0</v>
      </c>
      <c r="H882" s="36" t="s">
        <v>26</v>
      </c>
      <c r="I882" s="48">
        <v>800000.0</v>
      </c>
      <c r="J882" s="46">
        <f t="shared" si="341"/>
        <v>80000000</v>
      </c>
      <c r="K882" s="46"/>
      <c r="L882" s="46"/>
      <c r="M882" s="46">
        <v>72000.0</v>
      </c>
      <c r="N882" s="46"/>
      <c r="O882" s="24">
        <f t="shared" si="5"/>
        <v>80000000</v>
      </c>
      <c r="P882" s="24">
        <f t="shared" si="6"/>
        <v>79928000</v>
      </c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35" t="s">
        <v>58</v>
      </c>
      <c r="C883" s="13"/>
      <c r="D883" s="44" t="s">
        <v>34</v>
      </c>
      <c r="E883" s="12"/>
      <c r="F883" s="13"/>
      <c r="G883" s="45"/>
      <c r="H883" s="22"/>
      <c r="I883" s="22"/>
      <c r="J883" s="46">
        <f t="shared" ref="J883:K883" si="342">SUM(J885:J886)</f>
        <v>12000000</v>
      </c>
      <c r="K883" s="46">
        <f t="shared" si="342"/>
        <v>0</v>
      </c>
      <c r="L883" s="46"/>
      <c r="M883" s="46">
        <f>SUM(M885:M886)</f>
        <v>500000</v>
      </c>
      <c r="N883" s="46"/>
      <c r="O883" s="24">
        <f t="shared" si="5"/>
        <v>12000000</v>
      </c>
      <c r="P883" s="24">
        <f t="shared" si="6"/>
        <v>11500000</v>
      </c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22"/>
      <c r="C884" s="22"/>
      <c r="D884" s="35" t="s">
        <v>23</v>
      </c>
      <c r="E884" s="12"/>
      <c r="F884" s="13"/>
      <c r="G884" s="36"/>
      <c r="H884" s="22"/>
      <c r="I884" s="22"/>
      <c r="J884" s="22"/>
      <c r="K884" s="22"/>
      <c r="L884" s="22"/>
      <c r="M884" s="22"/>
      <c r="N884" s="22"/>
      <c r="O884" s="24">
        <f t="shared" si="5"/>
        <v>0</v>
      </c>
      <c r="P884" s="24">
        <f t="shared" si="6"/>
        <v>0</v>
      </c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22"/>
      <c r="C885" s="22"/>
      <c r="D885" s="47" t="s">
        <v>24</v>
      </c>
      <c r="E885" s="35" t="s">
        <v>159</v>
      </c>
      <c r="F885" s="13"/>
      <c r="G885" s="36">
        <v>16.0</v>
      </c>
      <c r="H885" s="36" t="s">
        <v>26</v>
      </c>
      <c r="I885" s="48">
        <v>500000.0</v>
      </c>
      <c r="J885" s="46">
        <f t="shared" ref="J885:J886" si="343">G885*I885</f>
        <v>8000000</v>
      </c>
      <c r="K885" s="46"/>
      <c r="L885" s="46"/>
      <c r="M885" s="46">
        <v>500000.0</v>
      </c>
      <c r="N885" s="46"/>
      <c r="O885" s="24">
        <f t="shared" si="5"/>
        <v>8000000</v>
      </c>
      <c r="P885" s="24">
        <f t="shared" si="6"/>
        <v>7500000</v>
      </c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22"/>
      <c r="C886" s="22"/>
      <c r="D886" s="47" t="s">
        <v>24</v>
      </c>
      <c r="E886" s="35" t="s">
        <v>36</v>
      </c>
      <c r="F886" s="13"/>
      <c r="G886" s="36">
        <v>8.0</v>
      </c>
      <c r="H886" s="36" t="s">
        <v>26</v>
      </c>
      <c r="I886" s="48">
        <v>500000.0</v>
      </c>
      <c r="J886" s="46">
        <f t="shared" si="343"/>
        <v>4000000</v>
      </c>
      <c r="K886" s="46"/>
      <c r="L886" s="46"/>
      <c r="M886" s="46"/>
      <c r="N886" s="46"/>
      <c r="O886" s="24">
        <f t="shared" si="5"/>
        <v>4000000</v>
      </c>
      <c r="P886" s="24">
        <f t="shared" si="6"/>
        <v>4000000</v>
      </c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41" t="s">
        <v>37</v>
      </c>
      <c r="C887" s="13"/>
      <c r="D887" s="41" t="s">
        <v>38</v>
      </c>
      <c r="E887" s="12"/>
      <c r="F887" s="13"/>
      <c r="G887" s="42"/>
      <c r="H887" s="22"/>
      <c r="I887" s="22"/>
      <c r="J887" s="43">
        <f t="shared" ref="J887:K887" si="344">J888+J893+J896</f>
        <v>24400000</v>
      </c>
      <c r="K887" s="43">
        <f t="shared" si="344"/>
        <v>0</v>
      </c>
      <c r="L887" s="43"/>
      <c r="M887" s="43">
        <f>M888+M893+M896</f>
        <v>931000</v>
      </c>
      <c r="N887" s="43"/>
      <c r="O887" s="24">
        <f t="shared" si="5"/>
        <v>24400000</v>
      </c>
      <c r="P887" s="24">
        <f t="shared" si="6"/>
        <v>23469000</v>
      </c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35" t="s">
        <v>40</v>
      </c>
      <c r="C888" s="13"/>
      <c r="D888" s="44" t="s">
        <v>22</v>
      </c>
      <c r="E888" s="12"/>
      <c r="F888" s="13"/>
      <c r="G888" s="45"/>
      <c r="H888" s="22"/>
      <c r="I888" s="22"/>
      <c r="J888" s="46">
        <f t="shared" ref="J888:K888" si="345">SUM(J890:J892)</f>
        <v>6400000</v>
      </c>
      <c r="K888" s="46">
        <f t="shared" si="345"/>
        <v>0</v>
      </c>
      <c r="L888" s="46"/>
      <c r="M888" s="46">
        <f>SUM(M890:M892)</f>
        <v>81000</v>
      </c>
      <c r="N888" s="46"/>
      <c r="O888" s="24">
        <f t="shared" si="5"/>
        <v>6400000</v>
      </c>
      <c r="P888" s="24">
        <f t="shared" si="6"/>
        <v>6319000</v>
      </c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22"/>
      <c r="C889" s="22"/>
      <c r="D889" s="35" t="s">
        <v>23</v>
      </c>
      <c r="E889" s="12"/>
      <c r="F889" s="13"/>
      <c r="G889" s="36"/>
      <c r="H889" s="22"/>
      <c r="I889" s="22"/>
      <c r="J889" s="22"/>
      <c r="K889" s="22"/>
      <c r="L889" s="22"/>
      <c r="M889" s="22"/>
      <c r="N889" s="22"/>
      <c r="O889" s="24">
        <f t="shared" si="5"/>
        <v>0</v>
      </c>
      <c r="P889" s="24">
        <f t="shared" si="6"/>
        <v>0</v>
      </c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22"/>
      <c r="C890" s="22"/>
      <c r="D890" s="47" t="s">
        <v>24</v>
      </c>
      <c r="E890" s="35" t="s">
        <v>217</v>
      </c>
      <c r="F890" s="13"/>
      <c r="G890" s="36">
        <v>100.0</v>
      </c>
      <c r="H890" s="36" t="s">
        <v>26</v>
      </c>
      <c r="I890" s="48">
        <v>53000.0</v>
      </c>
      <c r="J890" s="46">
        <f t="shared" ref="J890:J892" si="346">G890*I890</f>
        <v>5300000</v>
      </c>
      <c r="K890" s="46"/>
      <c r="L890" s="46"/>
      <c r="M890" s="46"/>
      <c r="N890" s="46"/>
      <c r="O890" s="24">
        <f t="shared" si="5"/>
        <v>5300000</v>
      </c>
      <c r="P890" s="24">
        <f t="shared" si="6"/>
        <v>5300000</v>
      </c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22"/>
      <c r="C891" s="22"/>
      <c r="D891" s="47" t="s">
        <v>24</v>
      </c>
      <c r="E891" s="35" t="s">
        <v>42</v>
      </c>
      <c r="F891" s="13"/>
      <c r="G891" s="36">
        <v>2.0</v>
      </c>
      <c r="H891" s="36" t="s">
        <v>26</v>
      </c>
      <c r="I891" s="48">
        <v>250000.0</v>
      </c>
      <c r="J891" s="46">
        <f t="shared" si="346"/>
        <v>500000</v>
      </c>
      <c r="K891" s="46"/>
      <c r="L891" s="46"/>
      <c r="M891" s="46"/>
      <c r="N891" s="46"/>
      <c r="O891" s="24">
        <f t="shared" si="5"/>
        <v>500000</v>
      </c>
      <c r="P891" s="24">
        <f t="shared" si="6"/>
        <v>500000</v>
      </c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22"/>
      <c r="C892" s="22"/>
      <c r="D892" s="47" t="s">
        <v>24</v>
      </c>
      <c r="E892" s="35" t="s">
        <v>43</v>
      </c>
      <c r="F892" s="13"/>
      <c r="G892" s="36">
        <v>2.0</v>
      </c>
      <c r="H892" s="36" t="s">
        <v>26</v>
      </c>
      <c r="I892" s="48">
        <v>300000.0</v>
      </c>
      <c r="J892" s="46">
        <f t="shared" si="346"/>
        <v>600000</v>
      </c>
      <c r="K892" s="46"/>
      <c r="L892" s="46"/>
      <c r="M892" s="46">
        <v>81000.0</v>
      </c>
      <c r="N892" s="46"/>
      <c r="O892" s="24">
        <f t="shared" si="5"/>
        <v>600000</v>
      </c>
      <c r="P892" s="24">
        <f t="shared" si="6"/>
        <v>519000</v>
      </c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35" t="s">
        <v>44</v>
      </c>
      <c r="C893" s="13"/>
      <c r="D893" s="44" t="s">
        <v>45</v>
      </c>
      <c r="E893" s="12"/>
      <c r="F893" s="13"/>
      <c r="G893" s="45"/>
      <c r="H893" s="22"/>
      <c r="I893" s="22"/>
      <c r="J893" s="46">
        <f t="shared" ref="J893:K893" si="347">J895</f>
        <v>2000000</v>
      </c>
      <c r="K893" s="46" t="str">
        <f t="shared" si="347"/>
        <v/>
      </c>
      <c r="L893" s="46"/>
      <c r="M893" s="46" t="str">
        <f>M895</f>
        <v/>
      </c>
      <c r="N893" s="46"/>
      <c r="O893" s="24">
        <f t="shared" si="5"/>
        <v>2000000</v>
      </c>
      <c r="P893" s="24">
        <f t="shared" si="6"/>
        <v>2000000</v>
      </c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22"/>
      <c r="C894" s="22"/>
      <c r="D894" s="35" t="s">
        <v>23</v>
      </c>
      <c r="E894" s="12"/>
      <c r="F894" s="13"/>
      <c r="G894" s="36"/>
      <c r="H894" s="22"/>
      <c r="I894" s="22"/>
      <c r="J894" s="22"/>
      <c r="K894" s="22"/>
      <c r="L894" s="22"/>
      <c r="M894" s="22"/>
      <c r="N894" s="22"/>
      <c r="O894" s="24">
        <f t="shared" si="5"/>
        <v>0</v>
      </c>
      <c r="P894" s="24">
        <f t="shared" si="6"/>
        <v>0</v>
      </c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22"/>
      <c r="C895" s="22"/>
      <c r="D895" s="47" t="s">
        <v>24</v>
      </c>
      <c r="E895" s="35" t="s">
        <v>161</v>
      </c>
      <c r="F895" s="13"/>
      <c r="G895" s="36">
        <v>4.0</v>
      </c>
      <c r="H895" s="36" t="s">
        <v>26</v>
      </c>
      <c r="I895" s="48">
        <v>500000.0</v>
      </c>
      <c r="J895" s="46">
        <f>G895*I895</f>
        <v>2000000</v>
      </c>
      <c r="K895" s="46"/>
      <c r="L895" s="46"/>
      <c r="M895" s="46"/>
      <c r="N895" s="46"/>
      <c r="O895" s="24">
        <f t="shared" si="5"/>
        <v>2000000</v>
      </c>
      <c r="P895" s="24">
        <f t="shared" si="6"/>
        <v>2000000</v>
      </c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35" t="s">
        <v>47</v>
      </c>
      <c r="C896" s="13"/>
      <c r="D896" s="44" t="s">
        <v>48</v>
      </c>
      <c r="E896" s="12"/>
      <c r="F896" s="13"/>
      <c r="G896" s="45"/>
      <c r="H896" s="22"/>
      <c r="I896" s="22"/>
      <c r="J896" s="46">
        <f t="shared" ref="J896:K896" si="348">J898</f>
        <v>16000000</v>
      </c>
      <c r="K896" s="46" t="str">
        <f t="shared" si="348"/>
        <v/>
      </c>
      <c r="L896" s="46"/>
      <c r="M896" s="46">
        <f>M898</f>
        <v>850000</v>
      </c>
      <c r="N896" s="46"/>
      <c r="O896" s="24">
        <f t="shared" si="5"/>
        <v>16000000</v>
      </c>
      <c r="P896" s="24">
        <f t="shared" si="6"/>
        <v>15150000</v>
      </c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22"/>
      <c r="C897" s="22"/>
      <c r="D897" s="35" t="s">
        <v>23</v>
      </c>
      <c r="E897" s="12"/>
      <c r="F897" s="13"/>
      <c r="G897" s="36"/>
      <c r="H897" s="22"/>
      <c r="I897" s="22"/>
      <c r="J897" s="22"/>
      <c r="K897" s="22"/>
      <c r="L897" s="22"/>
      <c r="M897" s="22"/>
      <c r="N897" s="22"/>
      <c r="O897" s="24">
        <f t="shared" si="5"/>
        <v>0</v>
      </c>
      <c r="P897" s="24">
        <f t="shared" si="6"/>
        <v>0</v>
      </c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22"/>
      <c r="C898" s="22"/>
      <c r="D898" s="47" t="s">
        <v>24</v>
      </c>
      <c r="E898" s="35" t="s">
        <v>162</v>
      </c>
      <c r="F898" s="13"/>
      <c r="G898" s="36">
        <v>4.0</v>
      </c>
      <c r="H898" s="36" t="s">
        <v>26</v>
      </c>
      <c r="I898" s="48">
        <v>4000000.0</v>
      </c>
      <c r="J898" s="46">
        <f>G898*I898</f>
        <v>16000000</v>
      </c>
      <c r="K898" s="46"/>
      <c r="L898" s="46"/>
      <c r="M898" s="46">
        <v>850000.0</v>
      </c>
      <c r="N898" s="46"/>
      <c r="O898" s="24">
        <f t="shared" si="5"/>
        <v>16000000</v>
      </c>
      <c r="P898" s="24">
        <f t="shared" si="6"/>
        <v>15150000</v>
      </c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41" t="s">
        <v>50</v>
      </c>
      <c r="C899" s="13"/>
      <c r="D899" s="41" t="s">
        <v>51</v>
      </c>
      <c r="E899" s="12"/>
      <c r="F899" s="13"/>
      <c r="G899" s="42"/>
      <c r="H899" s="22"/>
      <c r="I899" s="22"/>
      <c r="J899" s="43">
        <f t="shared" ref="J899:K899" si="349">J900+J906+J909</f>
        <v>56050000</v>
      </c>
      <c r="K899" s="43">
        <f t="shared" si="349"/>
        <v>0</v>
      </c>
      <c r="L899" s="43"/>
      <c r="M899" s="43">
        <f>M900+M906+M909</f>
        <v>0</v>
      </c>
      <c r="N899" s="43"/>
      <c r="O899" s="24">
        <f t="shared" si="5"/>
        <v>56050000</v>
      </c>
      <c r="P899" s="24">
        <f t="shared" si="6"/>
        <v>56050000</v>
      </c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35" t="s">
        <v>40</v>
      </c>
      <c r="C900" s="13"/>
      <c r="D900" s="44" t="s">
        <v>22</v>
      </c>
      <c r="E900" s="12"/>
      <c r="F900" s="13"/>
      <c r="G900" s="45"/>
      <c r="H900" s="22"/>
      <c r="I900" s="22"/>
      <c r="J900" s="46">
        <f t="shared" ref="J900:K900" si="350">SUM(J902:J905)</f>
        <v>38050000</v>
      </c>
      <c r="K900" s="46">
        <f t="shared" si="350"/>
        <v>0</v>
      </c>
      <c r="L900" s="46"/>
      <c r="M900" s="46">
        <f>SUM(M902:M905)</f>
        <v>0</v>
      </c>
      <c r="N900" s="46"/>
      <c r="O900" s="24">
        <f t="shared" si="5"/>
        <v>38050000</v>
      </c>
      <c r="P900" s="24">
        <f t="shared" si="6"/>
        <v>38050000</v>
      </c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22"/>
      <c r="C901" s="22"/>
      <c r="D901" s="35" t="s">
        <v>23</v>
      </c>
      <c r="E901" s="12"/>
      <c r="F901" s="13"/>
      <c r="G901" s="36"/>
      <c r="H901" s="22"/>
      <c r="I901" s="22"/>
      <c r="J901" s="22"/>
      <c r="K901" s="22"/>
      <c r="L901" s="22"/>
      <c r="M901" s="22"/>
      <c r="N901" s="22"/>
      <c r="O901" s="24">
        <f t="shared" si="5"/>
        <v>0</v>
      </c>
      <c r="P901" s="24">
        <f t="shared" si="6"/>
        <v>0</v>
      </c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22"/>
      <c r="C902" s="22"/>
      <c r="D902" s="47" t="s">
        <v>24</v>
      </c>
      <c r="E902" s="35" t="s">
        <v>163</v>
      </c>
      <c r="F902" s="13"/>
      <c r="G902" s="36">
        <v>100.0</v>
      </c>
      <c r="H902" s="36" t="s">
        <v>26</v>
      </c>
      <c r="I902" s="48">
        <v>53000.0</v>
      </c>
      <c r="J902" s="46">
        <f t="shared" ref="J902:J905" si="351">G902*I902</f>
        <v>5300000</v>
      </c>
      <c r="K902" s="46"/>
      <c r="L902" s="46"/>
      <c r="M902" s="46"/>
      <c r="N902" s="46"/>
      <c r="O902" s="24">
        <f t="shared" si="5"/>
        <v>5300000</v>
      </c>
      <c r="P902" s="24">
        <f t="shared" si="6"/>
        <v>5300000</v>
      </c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22"/>
      <c r="C903" s="22"/>
      <c r="D903" s="47" t="s">
        <v>24</v>
      </c>
      <c r="E903" s="35" t="s">
        <v>53</v>
      </c>
      <c r="F903" s="13"/>
      <c r="G903" s="36">
        <v>5.0</v>
      </c>
      <c r="H903" s="36" t="s">
        <v>26</v>
      </c>
      <c r="I903" s="48">
        <v>500000.0</v>
      </c>
      <c r="J903" s="46">
        <f t="shared" si="351"/>
        <v>2500000</v>
      </c>
      <c r="K903" s="46"/>
      <c r="L903" s="46"/>
      <c r="M903" s="46"/>
      <c r="N903" s="46"/>
      <c r="O903" s="24">
        <f t="shared" si="5"/>
        <v>2500000</v>
      </c>
      <c r="P903" s="24">
        <f t="shared" si="6"/>
        <v>2500000</v>
      </c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22"/>
      <c r="C904" s="22"/>
      <c r="D904" s="47" t="s">
        <v>24</v>
      </c>
      <c r="E904" s="35" t="s">
        <v>54</v>
      </c>
      <c r="F904" s="13"/>
      <c r="G904" s="36">
        <v>1.0</v>
      </c>
      <c r="H904" s="36" t="s">
        <v>55</v>
      </c>
      <c r="I904" s="48">
        <v>250000.0</v>
      </c>
      <c r="J904" s="46">
        <f t="shared" si="351"/>
        <v>250000</v>
      </c>
      <c r="K904" s="46"/>
      <c r="L904" s="46"/>
      <c r="M904" s="46"/>
      <c r="N904" s="46"/>
      <c r="O904" s="24">
        <f t="shared" si="5"/>
        <v>250000</v>
      </c>
      <c r="P904" s="24">
        <f t="shared" si="6"/>
        <v>250000</v>
      </c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22"/>
      <c r="C905" s="22"/>
      <c r="D905" s="47" t="s">
        <v>24</v>
      </c>
      <c r="E905" s="35" t="s">
        <v>164</v>
      </c>
      <c r="F905" s="13"/>
      <c r="G905" s="36">
        <v>100.0</v>
      </c>
      <c r="H905" s="36" t="s">
        <v>26</v>
      </c>
      <c r="I905" s="48">
        <v>300000.0</v>
      </c>
      <c r="J905" s="46">
        <f t="shared" si="351"/>
        <v>30000000</v>
      </c>
      <c r="K905" s="46"/>
      <c r="L905" s="46"/>
      <c r="M905" s="46"/>
      <c r="N905" s="46"/>
      <c r="O905" s="24">
        <f t="shared" si="5"/>
        <v>30000000</v>
      </c>
      <c r="P905" s="24">
        <f t="shared" si="6"/>
        <v>30000000</v>
      </c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35" t="s">
        <v>47</v>
      </c>
      <c r="C906" s="13"/>
      <c r="D906" s="44" t="s">
        <v>48</v>
      </c>
      <c r="E906" s="12"/>
      <c r="F906" s="13"/>
      <c r="G906" s="45"/>
      <c r="H906" s="22"/>
      <c r="I906" s="22"/>
      <c r="J906" s="46">
        <f t="shared" ref="J906:K906" si="352">J908</f>
        <v>16000000</v>
      </c>
      <c r="K906" s="46" t="str">
        <f t="shared" si="352"/>
        <v/>
      </c>
      <c r="L906" s="46"/>
      <c r="M906" s="46" t="str">
        <f>M908</f>
        <v/>
      </c>
      <c r="N906" s="46"/>
      <c r="O906" s="24">
        <f t="shared" si="5"/>
        <v>16000000</v>
      </c>
      <c r="P906" s="24">
        <f t="shared" si="6"/>
        <v>16000000</v>
      </c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22"/>
      <c r="C907" s="22"/>
      <c r="D907" s="35" t="s">
        <v>23</v>
      </c>
      <c r="E907" s="12"/>
      <c r="F907" s="13"/>
      <c r="G907" s="36"/>
      <c r="H907" s="22"/>
      <c r="I907" s="22"/>
      <c r="J907" s="22"/>
      <c r="K907" s="22"/>
      <c r="L907" s="22"/>
      <c r="M907" s="22"/>
      <c r="N907" s="22"/>
      <c r="O907" s="24">
        <f t="shared" si="5"/>
        <v>0</v>
      </c>
      <c r="P907" s="24">
        <f t="shared" si="6"/>
        <v>0</v>
      </c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22"/>
      <c r="C908" s="22"/>
      <c r="D908" s="47" t="s">
        <v>24</v>
      </c>
      <c r="E908" s="35" t="s">
        <v>165</v>
      </c>
      <c r="F908" s="13"/>
      <c r="G908" s="36">
        <v>4.0</v>
      </c>
      <c r="H908" s="36" t="s">
        <v>26</v>
      </c>
      <c r="I908" s="48">
        <v>4000000.0</v>
      </c>
      <c r="J908" s="46">
        <f>G908*I908</f>
        <v>16000000</v>
      </c>
      <c r="K908" s="46"/>
      <c r="L908" s="46"/>
      <c r="M908" s="46"/>
      <c r="N908" s="46"/>
      <c r="O908" s="24">
        <f t="shared" si="5"/>
        <v>16000000</v>
      </c>
      <c r="P908" s="24">
        <f t="shared" si="6"/>
        <v>16000000</v>
      </c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35" t="s">
        <v>58</v>
      </c>
      <c r="C909" s="13"/>
      <c r="D909" s="44" t="s">
        <v>34</v>
      </c>
      <c r="E909" s="12"/>
      <c r="F909" s="13"/>
      <c r="G909" s="45"/>
      <c r="H909" s="22"/>
      <c r="I909" s="22"/>
      <c r="J909" s="46">
        <f t="shared" ref="J909:K909" si="353">J911</f>
        <v>2000000</v>
      </c>
      <c r="K909" s="46" t="str">
        <f t="shared" si="353"/>
        <v/>
      </c>
      <c r="L909" s="46"/>
      <c r="M909" s="46" t="str">
        <f>M911</f>
        <v/>
      </c>
      <c r="N909" s="46"/>
      <c r="O909" s="24">
        <f t="shared" si="5"/>
        <v>2000000</v>
      </c>
      <c r="P909" s="24">
        <f t="shared" si="6"/>
        <v>2000000</v>
      </c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22"/>
      <c r="C910" s="22"/>
      <c r="D910" s="35" t="s">
        <v>23</v>
      </c>
      <c r="E910" s="12"/>
      <c r="F910" s="13"/>
      <c r="G910" s="36"/>
      <c r="H910" s="22"/>
      <c r="I910" s="22"/>
      <c r="J910" s="22"/>
      <c r="K910" s="22"/>
      <c r="L910" s="22"/>
      <c r="M910" s="22"/>
      <c r="N910" s="22"/>
      <c r="O910" s="24">
        <f t="shared" si="5"/>
        <v>0</v>
      </c>
      <c r="P910" s="24">
        <f t="shared" si="6"/>
        <v>0</v>
      </c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22"/>
      <c r="C911" s="22"/>
      <c r="D911" s="47" t="s">
        <v>24</v>
      </c>
      <c r="E911" s="35" t="s">
        <v>59</v>
      </c>
      <c r="F911" s="13"/>
      <c r="G911" s="36">
        <v>4.0</v>
      </c>
      <c r="H911" s="36" t="s">
        <v>26</v>
      </c>
      <c r="I911" s="48">
        <v>500000.0</v>
      </c>
      <c r="J911" s="46">
        <f>G911*I911</f>
        <v>2000000</v>
      </c>
      <c r="K911" s="46"/>
      <c r="L911" s="46"/>
      <c r="M911" s="46"/>
      <c r="N911" s="46"/>
      <c r="O911" s="24">
        <f t="shared" si="5"/>
        <v>2000000</v>
      </c>
      <c r="P911" s="24">
        <f t="shared" si="6"/>
        <v>2000000</v>
      </c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41" t="s">
        <v>60</v>
      </c>
      <c r="C912" s="13"/>
      <c r="D912" s="41" t="s">
        <v>61</v>
      </c>
      <c r="E912" s="12"/>
      <c r="F912" s="13"/>
      <c r="G912" s="42"/>
      <c r="H912" s="22"/>
      <c r="I912" s="22"/>
      <c r="J912" s="43">
        <f t="shared" ref="J912:K912" si="354">J913+J916+J920+J923+J926</f>
        <v>220800000</v>
      </c>
      <c r="K912" s="43">
        <f t="shared" si="354"/>
        <v>0</v>
      </c>
      <c r="L912" s="43"/>
      <c r="M912" s="43">
        <f>M913+M916+M920+M923+M926</f>
        <v>2039000</v>
      </c>
      <c r="N912" s="43"/>
      <c r="O912" s="24">
        <f t="shared" si="5"/>
        <v>220800000</v>
      </c>
      <c r="P912" s="24">
        <f t="shared" si="6"/>
        <v>218761000</v>
      </c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35" t="s">
        <v>40</v>
      </c>
      <c r="C913" s="13"/>
      <c r="D913" s="44" t="s">
        <v>22</v>
      </c>
      <c r="E913" s="12"/>
      <c r="F913" s="13"/>
      <c r="G913" s="45"/>
      <c r="H913" s="22"/>
      <c r="I913" s="22"/>
      <c r="J913" s="46">
        <f t="shared" ref="J913:K913" si="355">J915</f>
        <v>31800000</v>
      </c>
      <c r="K913" s="46" t="str">
        <f t="shared" si="355"/>
        <v/>
      </c>
      <c r="L913" s="46"/>
      <c r="M913" s="46">
        <f>M915</f>
        <v>84000</v>
      </c>
      <c r="N913" s="46"/>
      <c r="O913" s="24">
        <f t="shared" si="5"/>
        <v>31800000</v>
      </c>
      <c r="P913" s="24">
        <f t="shared" si="6"/>
        <v>31716000</v>
      </c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22"/>
      <c r="C914" s="22"/>
      <c r="D914" s="35" t="s">
        <v>23</v>
      </c>
      <c r="E914" s="12"/>
      <c r="F914" s="13"/>
      <c r="G914" s="36"/>
      <c r="H914" s="22"/>
      <c r="I914" s="22"/>
      <c r="J914" s="22"/>
      <c r="K914" s="22"/>
      <c r="L914" s="22"/>
      <c r="M914" s="22"/>
      <c r="N914" s="22"/>
      <c r="O914" s="24">
        <f t="shared" si="5"/>
        <v>0</v>
      </c>
      <c r="P914" s="24">
        <f t="shared" si="6"/>
        <v>0</v>
      </c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22"/>
      <c r="C915" s="22"/>
      <c r="D915" s="47" t="s">
        <v>24</v>
      </c>
      <c r="E915" s="35" t="s">
        <v>166</v>
      </c>
      <c r="F915" s="13"/>
      <c r="G915" s="36">
        <v>600.0</v>
      </c>
      <c r="H915" s="36" t="s">
        <v>26</v>
      </c>
      <c r="I915" s="48">
        <v>53000.0</v>
      </c>
      <c r="J915" s="46">
        <f>G915*I915</f>
        <v>31800000</v>
      </c>
      <c r="K915" s="46"/>
      <c r="L915" s="46"/>
      <c r="M915" s="46">
        <v>84000.0</v>
      </c>
      <c r="N915" s="46"/>
      <c r="O915" s="24">
        <f t="shared" si="5"/>
        <v>31800000</v>
      </c>
      <c r="P915" s="24">
        <f t="shared" si="6"/>
        <v>31716000</v>
      </c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35" t="s">
        <v>63</v>
      </c>
      <c r="C916" s="13"/>
      <c r="D916" s="44" t="s">
        <v>64</v>
      </c>
      <c r="E916" s="12"/>
      <c r="F916" s="13"/>
      <c r="G916" s="45"/>
      <c r="H916" s="22"/>
      <c r="I916" s="22"/>
      <c r="J916" s="46">
        <f t="shared" ref="J916:K916" si="356">SUM(J918:J919)</f>
        <v>115000000</v>
      </c>
      <c r="K916" s="46">
        <f t="shared" si="356"/>
        <v>0</v>
      </c>
      <c r="L916" s="46"/>
      <c r="M916" s="46">
        <f>SUM(M918:M919)</f>
        <v>1335000</v>
      </c>
      <c r="N916" s="46"/>
      <c r="O916" s="24">
        <f t="shared" si="5"/>
        <v>115000000</v>
      </c>
      <c r="P916" s="24">
        <f t="shared" si="6"/>
        <v>113665000</v>
      </c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22"/>
      <c r="C917" s="22"/>
      <c r="D917" s="35" t="s">
        <v>23</v>
      </c>
      <c r="E917" s="12"/>
      <c r="F917" s="13"/>
      <c r="G917" s="36"/>
      <c r="H917" s="22"/>
      <c r="I917" s="22"/>
      <c r="J917" s="22"/>
      <c r="K917" s="22"/>
      <c r="L917" s="22"/>
      <c r="M917" s="22"/>
      <c r="N917" s="22"/>
      <c r="O917" s="24">
        <f t="shared" si="5"/>
        <v>0</v>
      </c>
      <c r="P917" s="24">
        <f t="shared" si="6"/>
        <v>0</v>
      </c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22"/>
      <c r="C918" s="22"/>
      <c r="D918" s="47" t="s">
        <v>24</v>
      </c>
      <c r="E918" s="35" t="s">
        <v>65</v>
      </c>
      <c r="F918" s="13"/>
      <c r="G918" s="36">
        <v>1.0</v>
      </c>
      <c r="H918" s="36" t="s">
        <v>66</v>
      </c>
      <c r="I918" s="48">
        <v>9.5E7</v>
      </c>
      <c r="J918" s="46">
        <f t="shared" ref="J918:J919" si="357">G918*I918</f>
        <v>95000000</v>
      </c>
      <c r="K918" s="46"/>
      <c r="L918" s="46"/>
      <c r="M918" s="46">
        <v>1335000.0</v>
      </c>
      <c r="N918" s="46"/>
      <c r="O918" s="24">
        <f t="shared" si="5"/>
        <v>95000000</v>
      </c>
      <c r="P918" s="24">
        <f t="shared" si="6"/>
        <v>93665000</v>
      </c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22"/>
      <c r="C919" s="22"/>
      <c r="D919" s="47" t="s">
        <v>24</v>
      </c>
      <c r="E919" s="35" t="s">
        <v>167</v>
      </c>
      <c r="F919" s="13"/>
      <c r="G919" s="36">
        <v>100.0</v>
      </c>
      <c r="H919" s="36" t="s">
        <v>26</v>
      </c>
      <c r="I919" s="48">
        <v>200000.0</v>
      </c>
      <c r="J919" s="46">
        <f t="shared" si="357"/>
        <v>20000000</v>
      </c>
      <c r="K919" s="46"/>
      <c r="L919" s="46"/>
      <c r="M919" s="46"/>
      <c r="N919" s="46"/>
      <c r="O919" s="24">
        <f t="shared" si="5"/>
        <v>20000000</v>
      </c>
      <c r="P919" s="24">
        <f t="shared" si="6"/>
        <v>20000000</v>
      </c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35" t="s">
        <v>68</v>
      </c>
      <c r="C920" s="13"/>
      <c r="D920" s="44" t="s">
        <v>69</v>
      </c>
      <c r="E920" s="12"/>
      <c r="F920" s="13"/>
      <c r="G920" s="45"/>
      <c r="H920" s="22"/>
      <c r="I920" s="22"/>
      <c r="J920" s="46">
        <f t="shared" ref="J920:K920" si="358">J922</f>
        <v>10000000</v>
      </c>
      <c r="K920" s="46" t="str">
        <f t="shared" si="358"/>
        <v/>
      </c>
      <c r="L920" s="46"/>
      <c r="M920" s="46">
        <f>M922</f>
        <v>120000</v>
      </c>
      <c r="N920" s="46"/>
      <c r="O920" s="24">
        <f t="shared" si="5"/>
        <v>10000000</v>
      </c>
      <c r="P920" s="24">
        <f t="shared" si="6"/>
        <v>9880000</v>
      </c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22"/>
      <c r="C921" s="22"/>
      <c r="D921" s="35" t="s">
        <v>23</v>
      </c>
      <c r="E921" s="12"/>
      <c r="F921" s="13"/>
      <c r="G921" s="36"/>
      <c r="H921" s="22"/>
      <c r="I921" s="22"/>
      <c r="J921" s="22"/>
      <c r="K921" s="22"/>
      <c r="L921" s="22"/>
      <c r="M921" s="22"/>
      <c r="N921" s="22"/>
      <c r="O921" s="24">
        <f t="shared" si="5"/>
        <v>0</v>
      </c>
      <c r="P921" s="24">
        <f t="shared" si="6"/>
        <v>0</v>
      </c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22"/>
      <c r="C922" s="22"/>
      <c r="D922" s="47" t="s">
        <v>24</v>
      </c>
      <c r="E922" s="35" t="s">
        <v>70</v>
      </c>
      <c r="F922" s="13"/>
      <c r="G922" s="36">
        <v>20.0</v>
      </c>
      <c r="H922" s="36" t="s">
        <v>26</v>
      </c>
      <c r="I922" s="48">
        <v>500000.0</v>
      </c>
      <c r="J922" s="46">
        <f>G922*I922</f>
        <v>10000000</v>
      </c>
      <c r="K922" s="46"/>
      <c r="L922" s="46"/>
      <c r="M922" s="46">
        <v>120000.0</v>
      </c>
      <c r="N922" s="46"/>
      <c r="O922" s="24">
        <f t="shared" si="5"/>
        <v>10000000</v>
      </c>
      <c r="P922" s="24">
        <f t="shared" si="6"/>
        <v>9880000</v>
      </c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35" t="s">
        <v>47</v>
      </c>
      <c r="C923" s="13"/>
      <c r="D923" s="44" t="s">
        <v>48</v>
      </c>
      <c r="E923" s="12"/>
      <c r="F923" s="13"/>
      <c r="G923" s="45"/>
      <c r="H923" s="22"/>
      <c r="I923" s="22"/>
      <c r="J923" s="46">
        <f t="shared" ref="J923:K923" si="359">J925</f>
        <v>16000000</v>
      </c>
      <c r="K923" s="46" t="str">
        <f t="shared" si="359"/>
        <v/>
      </c>
      <c r="L923" s="46"/>
      <c r="M923" s="46" t="str">
        <f>M925</f>
        <v/>
      </c>
      <c r="N923" s="46"/>
      <c r="O923" s="24">
        <f t="shared" si="5"/>
        <v>16000000</v>
      </c>
      <c r="P923" s="24">
        <f t="shared" si="6"/>
        <v>16000000</v>
      </c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22"/>
      <c r="C924" s="22"/>
      <c r="D924" s="35" t="s">
        <v>23</v>
      </c>
      <c r="E924" s="12"/>
      <c r="F924" s="13"/>
      <c r="G924" s="36"/>
      <c r="H924" s="22"/>
      <c r="I924" s="22"/>
      <c r="J924" s="22"/>
      <c r="K924" s="22"/>
      <c r="L924" s="22"/>
      <c r="M924" s="22"/>
      <c r="N924" s="22"/>
      <c r="O924" s="24">
        <f t="shared" si="5"/>
        <v>0</v>
      </c>
      <c r="P924" s="24">
        <f t="shared" si="6"/>
        <v>0</v>
      </c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22"/>
      <c r="C925" s="22"/>
      <c r="D925" s="47" t="s">
        <v>24</v>
      </c>
      <c r="E925" s="35" t="s">
        <v>165</v>
      </c>
      <c r="F925" s="13"/>
      <c r="G925" s="36">
        <v>4.0</v>
      </c>
      <c r="H925" s="36" t="s">
        <v>26</v>
      </c>
      <c r="I925" s="48">
        <v>4000000.0</v>
      </c>
      <c r="J925" s="46">
        <f>G925*I925</f>
        <v>16000000</v>
      </c>
      <c r="K925" s="46"/>
      <c r="L925" s="46"/>
      <c r="M925" s="46"/>
      <c r="N925" s="46"/>
      <c r="O925" s="24">
        <f t="shared" si="5"/>
        <v>16000000</v>
      </c>
      <c r="P925" s="24">
        <f t="shared" si="6"/>
        <v>16000000</v>
      </c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35" t="s">
        <v>58</v>
      </c>
      <c r="C926" s="13"/>
      <c r="D926" s="44" t="s">
        <v>34</v>
      </c>
      <c r="E926" s="12"/>
      <c r="F926" s="13"/>
      <c r="G926" s="45"/>
      <c r="H926" s="22"/>
      <c r="I926" s="22"/>
      <c r="J926" s="46">
        <f t="shared" ref="J926:K926" si="360">J928</f>
        <v>48000000</v>
      </c>
      <c r="K926" s="46" t="str">
        <f t="shared" si="360"/>
        <v/>
      </c>
      <c r="L926" s="46"/>
      <c r="M926" s="46">
        <f>M928</f>
        <v>500000</v>
      </c>
      <c r="N926" s="46"/>
      <c r="O926" s="24">
        <f t="shared" si="5"/>
        <v>48000000</v>
      </c>
      <c r="P926" s="24">
        <f t="shared" si="6"/>
        <v>47500000</v>
      </c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22"/>
      <c r="C927" s="22"/>
      <c r="D927" s="35" t="s">
        <v>23</v>
      </c>
      <c r="E927" s="12"/>
      <c r="F927" s="13"/>
      <c r="G927" s="36"/>
      <c r="H927" s="22"/>
      <c r="I927" s="22"/>
      <c r="J927" s="22"/>
      <c r="K927" s="22"/>
      <c r="L927" s="22"/>
      <c r="M927" s="22"/>
      <c r="N927" s="22"/>
      <c r="O927" s="24">
        <f t="shared" si="5"/>
        <v>0</v>
      </c>
      <c r="P927" s="24">
        <f t="shared" si="6"/>
        <v>0</v>
      </c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22"/>
      <c r="C928" s="22"/>
      <c r="D928" s="47" t="s">
        <v>24</v>
      </c>
      <c r="E928" s="35" t="s">
        <v>71</v>
      </c>
      <c r="F928" s="13"/>
      <c r="G928" s="36">
        <v>96.0</v>
      </c>
      <c r="H928" s="36" t="s">
        <v>26</v>
      </c>
      <c r="I928" s="48">
        <v>500000.0</v>
      </c>
      <c r="J928" s="46">
        <f>G928*I928</f>
        <v>48000000</v>
      </c>
      <c r="K928" s="46"/>
      <c r="L928" s="46"/>
      <c r="M928" s="46">
        <v>500000.0</v>
      </c>
      <c r="N928" s="46"/>
      <c r="O928" s="24">
        <f t="shared" si="5"/>
        <v>48000000</v>
      </c>
      <c r="P928" s="24">
        <f t="shared" si="6"/>
        <v>47500000</v>
      </c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41" t="s">
        <v>72</v>
      </c>
      <c r="C929" s="13"/>
      <c r="D929" s="41" t="s">
        <v>73</v>
      </c>
      <c r="E929" s="12"/>
      <c r="F929" s="13"/>
      <c r="G929" s="42"/>
      <c r="H929" s="22"/>
      <c r="I929" s="22"/>
      <c r="J929" s="43">
        <f t="shared" ref="J929:K929" si="361">J930+J935</f>
        <v>151200000</v>
      </c>
      <c r="K929" s="43">
        <f t="shared" si="361"/>
        <v>0</v>
      </c>
      <c r="L929" s="43"/>
      <c r="M929" s="43">
        <f>M930+M935</f>
        <v>75726268</v>
      </c>
      <c r="N929" s="43"/>
      <c r="O929" s="24">
        <f t="shared" si="5"/>
        <v>151200000</v>
      </c>
      <c r="P929" s="24">
        <f t="shared" si="6"/>
        <v>75473732</v>
      </c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35" t="s">
        <v>74</v>
      </c>
      <c r="C930" s="13"/>
      <c r="D930" s="44" t="s">
        <v>75</v>
      </c>
      <c r="E930" s="12"/>
      <c r="F930" s="13"/>
      <c r="G930" s="45"/>
      <c r="H930" s="22"/>
      <c r="I930" s="22"/>
      <c r="J930" s="46">
        <f t="shared" ref="J930:K930" si="362">SUM(J932:J934)</f>
        <v>142700000</v>
      </c>
      <c r="K930" s="46">
        <f t="shared" si="362"/>
        <v>0</v>
      </c>
      <c r="L930" s="46"/>
      <c r="M930" s="46">
        <f>SUM(M932:M934)</f>
        <v>75386268</v>
      </c>
      <c r="N930" s="46"/>
      <c r="O930" s="24">
        <f t="shared" si="5"/>
        <v>142700000</v>
      </c>
      <c r="P930" s="24">
        <f t="shared" si="6"/>
        <v>67313732</v>
      </c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22"/>
      <c r="C931" s="22"/>
      <c r="D931" s="35" t="s">
        <v>23</v>
      </c>
      <c r="E931" s="12"/>
      <c r="F931" s="13"/>
      <c r="G931" s="36"/>
      <c r="H931" s="22"/>
      <c r="I931" s="22"/>
      <c r="J931" s="22"/>
      <c r="K931" s="22"/>
      <c r="L931" s="22"/>
      <c r="M931" s="22"/>
      <c r="N931" s="22"/>
      <c r="O931" s="24">
        <f t="shared" si="5"/>
        <v>0</v>
      </c>
      <c r="P931" s="24">
        <f t="shared" si="6"/>
        <v>0</v>
      </c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22"/>
      <c r="C932" s="22"/>
      <c r="D932" s="47" t="s">
        <v>24</v>
      </c>
      <c r="E932" s="35" t="s">
        <v>76</v>
      </c>
      <c r="F932" s="13"/>
      <c r="G932" s="36">
        <v>20.0</v>
      </c>
      <c r="H932" s="36" t="s">
        <v>26</v>
      </c>
      <c r="I932" s="48">
        <v>5000000.0</v>
      </c>
      <c r="J932" s="46">
        <f t="shared" ref="J932:J934" si="363">G932*I932</f>
        <v>100000000</v>
      </c>
      <c r="K932" s="46"/>
      <c r="L932" s="46"/>
      <c r="M932" s="46">
        <v>6.0486268E7</v>
      </c>
      <c r="N932" s="46"/>
      <c r="O932" s="24">
        <f t="shared" si="5"/>
        <v>100000000</v>
      </c>
      <c r="P932" s="24">
        <f t="shared" si="6"/>
        <v>39513732</v>
      </c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22"/>
      <c r="C933" s="22"/>
      <c r="D933" s="47" t="s">
        <v>24</v>
      </c>
      <c r="E933" s="35" t="s">
        <v>77</v>
      </c>
      <c r="F933" s="13"/>
      <c r="G933" s="36">
        <v>30.0</v>
      </c>
      <c r="H933" s="36" t="s">
        <v>26</v>
      </c>
      <c r="I933" s="48">
        <v>850000.0</v>
      </c>
      <c r="J933" s="46">
        <f t="shared" si="363"/>
        <v>25500000</v>
      </c>
      <c r="K933" s="46"/>
      <c r="L933" s="46"/>
      <c r="M933" s="46">
        <v>1.02E7</v>
      </c>
      <c r="N933" s="46"/>
      <c r="O933" s="24">
        <f t="shared" si="5"/>
        <v>25500000</v>
      </c>
      <c r="P933" s="24">
        <f t="shared" si="6"/>
        <v>15300000</v>
      </c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22"/>
      <c r="C934" s="22"/>
      <c r="D934" s="47" t="s">
        <v>24</v>
      </c>
      <c r="E934" s="35" t="s">
        <v>78</v>
      </c>
      <c r="F934" s="13"/>
      <c r="G934" s="36">
        <v>40.0</v>
      </c>
      <c r="H934" s="36" t="s">
        <v>26</v>
      </c>
      <c r="I934" s="48">
        <v>430000.0</v>
      </c>
      <c r="J934" s="46">
        <f t="shared" si="363"/>
        <v>17200000</v>
      </c>
      <c r="K934" s="46"/>
      <c r="L934" s="46"/>
      <c r="M934" s="46">
        <v>4700000.0</v>
      </c>
      <c r="N934" s="46"/>
      <c r="O934" s="24">
        <f t="shared" si="5"/>
        <v>17200000</v>
      </c>
      <c r="P934" s="24">
        <f t="shared" si="6"/>
        <v>12500000</v>
      </c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35" t="s">
        <v>79</v>
      </c>
      <c r="C935" s="13"/>
      <c r="D935" s="44" t="s">
        <v>80</v>
      </c>
      <c r="E935" s="12"/>
      <c r="F935" s="13"/>
      <c r="G935" s="45"/>
      <c r="H935" s="22"/>
      <c r="I935" s="22"/>
      <c r="J935" s="46">
        <f t="shared" ref="J935:K935" si="364">J937</f>
        <v>8500000</v>
      </c>
      <c r="K935" s="46" t="str">
        <f t="shared" si="364"/>
        <v/>
      </c>
      <c r="L935" s="46"/>
      <c r="M935" s="46">
        <f>M937</f>
        <v>340000</v>
      </c>
      <c r="N935" s="46"/>
      <c r="O935" s="24">
        <f t="shared" si="5"/>
        <v>8500000</v>
      </c>
      <c r="P935" s="24">
        <f t="shared" si="6"/>
        <v>8160000</v>
      </c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22"/>
      <c r="C936" s="22"/>
      <c r="D936" s="35" t="s">
        <v>23</v>
      </c>
      <c r="E936" s="12"/>
      <c r="F936" s="13"/>
      <c r="G936" s="36"/>
      <c r="H936" s="22"/>
      <c r="I936" s="22"/>
      <c r="J936" s="22"/>
      <c r="K936" s="22"/>
      <c r="L936" s="22"/>
      <c r="M936" s="22"/>
      <c r="N936" s="22"/>
      <c r="O936" s="24">
        <f t="shared" si="5"/>
        <v>0</v>
      </c>
      <c r="P936" s="24">
        <f t="shared" si="6"/>
        <v>0</v>
      </c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22"/>
      <c r="C937" s="22"/>
      <c r="D937" s="47" t="s">
        <v>24</v>
      </c>
      <c r="E937" s="35" t="s">
        <v>81</v>
      </c>
      <c r="F937" s="13"/>
      <c r="G937" s="36">
        <v>50.0</v>
      </c>
      <c r="H937" s="36" t="s">
        <v>26</v>
      </c>
      <c r="I937" s="48">
        <v>170000.0</v>
      </c>
      <c r="J937" s="46">
        <f>G937*I937</f>
        <v>8500000</v>
      </c>
      <c r="K937" s="46"/>
      <c r="L937" s="46"/>
      <c r="M937" s="46">
        <v>340000.0</v>
      </c>
      <c r="N937" s="46"/>
      <c r="O937" s="24">
        <f t="shared" si="5"/>
        <v>8500000</v>
      </c>
      <c r="P937" s="24">
        <f t="shared" si="6"/>
        <v>8160000</v>
      </c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41" t="s">
        <v>82</v>
      </c>
      <c r="C938" s="13"/>
      <c r="D938" s="41" t="s">
        <v>83</v>
      </c>
      <c r="E938" s="12"/>
      <c r="F938" s="13"/>
      <c r="G938" s="42"/>
      <c r="H938" s="22"/>
      <c r="I938" s="22"/>
      <c r="J938" s="43">
        <f t="shared" ref="J938:K938" si="365">J939+J944</f>
        <v>1434000000</v>
      </c>
      <c r="K938" s="43">
        <f t="shared" si="365"/>
        <v>86340000</v>
      </c>
      <c r="L938" s="43"/>
      <c r="M938" s="43">
        <f>M939+M944</f>
        <v>113213000</v>
      </c>
      <c r="N938" s="43"/>
      <c r="O938" s="24">
        <f t="shared" si="5"/>
        <v>1347660000</v>
      </c>
      <c r="P938" s="24">
        <f t="shared" si="6"/>
        <v>1320787000</v>
      </c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35" t="s">
        <v>84</v>
      </c>
      <c r="C939" s="13"/>
      <c r="D939" s="44" t="s">
        <v>85</v>
      </c>
      <c r="E939" s="12"/>
      <c r="F939" s="13"/>
      <c r="G939" s="45"/>
      <c r="H939" s="22"/>
      <c r="I939" s="22"/>
      <c r="J939" s="46">
        <f t="shared" ref="J939:K939" si="366">SUM(J941:J943)</f>
        <v>1320000000</v>
      </c>
      <c r="K939" s="46">
        <f t="shared" si="366"/>
        <v>86340000</v>
      </c>
      <c r="L939" s="46"/>
      <c r="M939" s="46">
        <f>SUM(M941:M943)</f>
        <v>113183000</v>
      </c>
      <c r="N939" s="46"/>
      <c r="O939" s="24">
        <f t="shared" si="5"/>
        <v>1233660000</v>
      </c>
      <c r="P939" s="24">
        <f t="shared" si="6"/>
        <v>1206817000</v>
      </c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22"/>
      <c r="C940" s="22"/>
      <c r="D940" s="35" t="s">
        <v>23</v>
      </c>
      <c r="E940" s="12"/>
      <c r="F940" s="13"/>
      <c r="G940" s="36"/>
      <c r="H940" s="22"/>
      <c r="I940" s="22"/>
      <c r="J940" s="22"/>
      <c r="K940" s="22"/>
      <c r="L940" s="22"/>
      <c r="M940" s="22"/>
      <c r="N940" s="22"/>
      <c r="O940" s="24">
        <f t="shared" si="5"/>
        <v>0</v>
      </c>
      <c r="P940" s="24">
        <f t="shared" si="6"/>
        <v>0</v>
      </c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22"/>
      <c r="C941" s="22"/>
      <c r="D941" s="47" t="s">
        <v>24</v>
      </c>
      <c r="E941" s="35" t="s">
        <v>168</v>
      </c>
      <c r="F941" s="13"/>
      <c r="G941" s="36">
        <v>54750.0</v>
      </c>
      <c r="H941" s="36" t="s">
        <v>87</v>
      </c>
      <c r="I941" s="48">
        <v>15000.0</v>
      </c>
      <c r="J941" s="46">
        <f t="shared" ref="J941:J943" si="367">G941*I941</f>
        <v>821250000</v>
      </c>
      <c r="K941" s="46">
        <v>6.0435E7</v>
      </c>
      <c r="L941" s="46"/>
      <c r="M941" s="46">
        <v>7.9688E7</v>
      </c>
      <c r="N941" s="46"/>
      <c r="O941" s="24">
        <f t="shared" si="5"/>
        <v>760815000</v>
      </c>
      <c r="P941" s="24">
        <f t="shared" si="6"/>
        <v>741562000</v>
      </c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22"/>
      <c r="C942" s="22"/>
      <c r="D942" s="47" t="s">
        <v>24</v>
      </c>
      <c r="E942" s="35" t="s">
        <v>88</v>
      </c>
      <c r="F942" s="13"/>
      <c r="G942" s="36">
        <v>9000.0</v>
      </c>
      <c r="H942" s="36" t="s">
        <v>87</v>
      </c>
      <c r="I942" s="48">
        <v>25000.0</v>
      </c>
      <c r="J942" s="46">
        <f t="shared" si="367"/>
        <v>225000000</v>
      </c>
      <c r="K942" s="46">
        <v>3600000.0</v>
      </c>
      <c r="L942" s="46"/>
      <c r="M942" s="46">
        <v>3600000.0</v>
      </c>
      <c r="N942" s="46"/>
      <c r="O942" s="24">
        <f t="shared" si="5"/>
        <v>221400000</v>
      </c>
      <c r="P942" s="24">
        <f t="shared" si="6"/>
        <v>221400000</v>
      </c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22"/>
      <c r="C943" s="22"/>
      <c r="D943" s="47" t="s">
        <v>24</v>
      </c>
      <c r="E943" s="35" t="s">
        <v>169</v>
      </c>
      <c r="F943" s="13"/>
      <c r="G943" s="36">
        <v>36500.0</v>
      </c>
      <c r="H943" s="36" t="s">
        <v>87</v>
      </c>
      <c r="I943" s="48">
        <v>7500.0</v>
      </c>
      <c r="J943" s="46">
        <f t="shared" si="367"/>
        <v>273750000</v>
      </c>
      <c r="K943" s="46">
        <v>2.2305E7</v>
      </c>
      <c r="L943" s="46"/>
      <c r="M943" s="46">
        <v>2.9895E7</v>
      </c>
      <c r="N943" s="46"/>
      <c r="O943" s="24">
        <f t="shared" si="5"/>
        <v>251445000</v>
      </c>
      <c r="P943" s="24">
        <f t="shared" si="6"/>
        <v>243855000</v>
      </c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35" t="s">
        <v>63</v>
      </c>
      <c r="C944" s="13"/>
      <c r="D944" s="44" t="s">
        <v>64</v>
      </c>
      <c r="E944" s="12"/>
      <c r="F944" s="13"/>
      <c r="G944" s="45"/>
      <c r="H944" s="22"/>
      <c r="I944" s="22"/>
      <c r="J944" s="46">
        <f t="shared" ref="J944:K944" si="368">SUM(J946:J947)</f>
        <v>114000000</v>
      </c>
      <c r="K944" s="46">
        <f t="shared" si="368"/>
        <v>0</v>
      </c>
      <c r="L944" s="46"/>
      <c r="M944" s="46">
        <f>SUM(M946:M947)</f>
        <v>30000</v>
      </c>
      <c r="N944" s="46"/>
      <c r="O944" s="24">
        <f t="shared" si="5"/>
        <v>114000000</v>
      </c>
      <c r="P944" s="24">
        <f t="shared" si="6"/>
        <v>113970000</v>
      </c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22"/>
      <c r="C945" s="22"/>
      <c r="D945" s="35" t="s">
        <v>23</v>
      </c>
      <c r="E945" s="12"/>
      <c r="F945" s="13"/>
      <c r="G945" s="36"/>
      <c r="H945" s="22"/>
      <c r="I945" s="22"/>
      <c r="J945" s="22"/>
      <c r="K945" s="22"/>
      <c r="L945" s="22"/>
      <c r="M945" s="22"/>
      <c r="N945" s="22"/>
      <c r="O945" s="24">
        <f t="shared" si="5"/>
        <v>0</v>
      </c>
      <c r="P945" s="24">
        <f t="shared" si="6"/>
        <v>0</v>
      </c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22"/>
      <c r="C946" s="22"/>
      <c r="D946" s="47" t="s">
        <v>24</v>
      </c>
      <c r="E946" s="35" t="s">
        <v>90</v>
      </c>
      <c r="F946" s="13"/>
      <c r="G946" s="36">
        <v>180.0</v>
      </c>
      <c r="H946" s="36" t="s">
        <v>87</v>
      </c>
      <c r="I946" s="48">
        <v>500000.0</v>
      </c>
      <c r="J946" s="46">
        <f t="shared" ref="J946:J947" si="369">G946*I946</f>
        <v>90000000</v>
      </c>
      <c r="K946" s="46"/>
      <c r="L946" s="46"/>
      <c r="M946" s="46"/>
      <c r="N946" s="46"/>
      <c r="O946" s="24">
        <f t="shared" si="5"/>
        <v>90000000</v>
      </c>
      <c r="P946" s="24">
        <f t="shared" si="6"/>
        <v>90000000</v>
      </c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22"/>
      <c r="C947" s="22"/>
      <c r="D947" s="47" t="s">
        <v>24</v>
      </c>
      <c r="E947" s="35" t="s">
        <v>170</v>
      </c>
      <c r="F947" s="13"/>
      <c r="G947" s="36">
        <v>600.0</v>
      </c>
      <c r="H947" s="36" t="s">
        <v>87</v>
      </c>
      <c r="I947" s="48">
        <v>40000.0</v>
      </c>
      <c r="J947" s="46">
        <f t="shared" si="369"/>
        <v>24000000</v>
      </c>
      <c r="K947" s="46"/>
      <c r="L947" s="46"/>
      <c r="M947" s="46">
        <v>30000.0</v>
      </c>
      <c r="N947" s="46"/>
      <c r="O947" s="24">
        <f t="shared" si="5"/>
        <v>24000000</v>
      </c>
      <c r="P947" s="24">
        <f t="shared" si="6"/>
        <v>23970000</v>
      </c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41" t="s">
        <v>92</v>
      </c>
      <c r="C948" s="13"/>
      <c r="D948" s="41" t="s">
        <v>93</v>
      </c>
      <c r="E948" s="12"/>
      <c r="F948" s="13"/>
      <c r="G948" s="42"/>
      <c r="H948" s="22"/>
      <c r="I948" s="22"/>
      <c r="J948" s="43">
        <f t="shared" ref="J948:K948" si="370">J949</f>
        <v>41836000</v>
      </c>
      <c r="K948" s="43">
        <f t="shared" si="370"/>
        <v>0</v>
      </c>
      <c r="L948" s="43"/>
      <c r="M948" s="43">
        <f>M949</f>
        <v>585200</v>
      </c>
      <c r="N948" s="43"/>
      <c r="O948" s="24">
        <f t="shared" si="5"/>
        <v>41836000</v>
      </c>
      <c r="P948" s="24">
        <f t="shared" si="6"/>
        <v>41250800</v>
      </c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35" t="s">
        <v>68</v>
      </c>
      <c r="C949" s="13"/>
      <c r="D949" s="44" t="s">
        <v>69</v>
      </c>
      <c r="E949" s="12"/>
      <c r="F949" s="13"/>
      <c r="G949" s="45"/>
      <c r="H949" s="22"/>
      <c r="I949" s="22"/>
      <c r="J949" s="46">
        <f t="shared" ref="J949:K949" si="371">SUM(J951:J952)</f>
        <v>41836000</v>
      </c>
      <c r="K949" s="46">
        <f t="shared" si="371"/>
        <v>0</v>
      </c>
      <c r="L949" s="46"/>
      <c r="M949" s="46">
        <f>SUM(M951:M952)</f>
        <v>585200</v>
      </c>
      <c r="N949" s="46"/>
      <c r="O949" s="24">
        <f t="shared" si="5"/>
        <v>41836000</v>
      </c>
      <c r="P949" s="24">
        <f t="shared" si="6"/>
        <v>41250800</v>
      </c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22"/>
      <c r="C950" s="22"/>
      <c r="D950" s="35" t="s">
        <v>23</v>
      </c>
      <c r="E950" s="12"/>
      <c r="F950" s="13"/>
      <c r="G950" s="36"/>
      <c r="H950" s="22"/>
      <c r="I950" s="22"/>
      <c r="J950" s="22"/>
      <c r="K950" s="22"/>
      <c r="L950" s="22"/>
      <c r="M950" s="22"/>
      <c r="N950" s="22"/>
      <c r="O950" s="24">
        <f t="shared" si="5"/>
        <v>0</v>
      </c>
      <c r="P950" s="24">
        <f t="shared" si="6"/>
        <v>0</v>
      </c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22"/>
      <c r="C951" s="22"/>
      <c r="D951" s="47" t="s">
        <v>24</v>
      </c>
      <c r="E951" s="35" t="s">
        <v>94</v>
      </c>
      <c r="F951" s="13"/>
      <c r="G951" s="36">
        <v>12.0</v>
      </c>
      <c r="H951" s="36" t="s">
        <v>95</v>
      </c>
      <c r="I951" s="48">
        <v>2500000.0</v>
      </c>
      <c r="J951" s="46">
        <f t="shared" ref="J951:J952" si="372">G951*I951</f>
        <v>30000000</v>
      </c>
      <c r="K951" s="46"/>
      <c r="L951" s="46"/>
      <c r="M951" s="46">
        <v>585200.0</v>
      </c>
      <c r="N951" s="46"/>
      <c r="O951" s="24">
        <f t="shared" si="5"/>
        <v>30000000</v>
      </c>
      <c r="P951" s="24">
        <f t="shared" si="6"/>
        <v>29414800</v>
      </c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22"/>
      <c r="C952" s="22"/>
      <c r="D952" s="47" t="s">
        <v>24</v>
      </c>
      <c r="E952" s="35" t="s">
        <v>171</v>
      </c>
      <c r="F952" s="13"/>
      <c r="G952" s="36">
        <v>1.0</v>
      </c>
      <c r="H952" s="36" t="s">
        <v>97</v>
      </c>
      <c r="I952" s="48">
        <v>1.1836E7</v>
      </c>
      <c r="J952" s="46">
        <f t="shared" si="372"/>
        <v>11836000</v>
      </c>
      <c r="K952" s="46"/>
      <c r="L952" s="46"/>
      <c r="M952" s="46"/>
      <c r="N952" s="46"/>
      <c r="O952" s="24">
        <f t="shared" si="5"/>
        <v>11836000</v>
      </c>
      <c r="P952" s="24">
        <f t="shared" si="6"/>
        <v>11836000</v>
      </c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41" t="s">
        <v>98</v>
      </c>
      <c r="C953" s="13"/>
      <c r="D953" s="41" t="s">
        <v>99</v>
      </c>
      <c r="E953" s="12"/>
      <c r="F953" s="13"/>
      <c r="G953" s="42"/>
      <c r="H953" s="22"/>
      <c r="I953" s="22"/>
      <c r="J953" s="43">
        <f t="shared" ref="J953:K953" si="373">J954+J963</f>
        <v>6760000</v>
      </c>
      <c r="K953" s="43">
        <f t="shared" si="373"/>
        <v>0</v>
      </c>
      <c r="L953" s="43"/>
      <c r="M953" s="43">
        <f>M954+M963</f>
        <v>0</v>
      </c>
      <c r="N953" s="43"/>
      <c r="O953" s="24">
        <f t="shared" si="5"/>
        <v>6760000</v>
      </c>
      <c r="P953" s="24">
        <f t="shared" si="6"/>
        <v>6760000</v>
      </c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35" t="s">
        <v>100</v>
      </c>
      <c r="C954" s="13"/>
      <c r="D954" s="44" t="s">
        <v>101</v>
      </c>
      <c r="E954" s="12"/>
      <c r="F954" s="13"/>
      <c r="G954" s="45"/>
      <c r="H954" s="22"/>
      <c r="I954" s="22"/>
      <c r="J954" s="46">
        <f t="shared" ref="J954:K954" si="374">SUM(J956:J962)</f>
        <v>5600000</v>
      </c>
      <c r="K954" s="46">
        <f t="shared" si="374"/>
        <v>0</v>
      </c>
      <c r="L954" s="46"/>
      <c r="M954" s="46">
        <f>SUM(M956:M962)</f>
        <v>0</v>
      </c>
      <c r="N954" s="46"/>
      <c r="O954" s="24">
        <f t="shared" si="5"/>
        <v>5600000</v>
      </c>
      <c r="P954" s="24">
        <f t="shared" si="6"/>
        <v>5600000</v>
      </c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22"/>
      <c r="C955" s="22"/>
      <c r="D955" s="35" t="s">
        <v>23</v>
      </c>
      <c r="E955" s="12"/>
      <c r="F955" s="13"/>
      <c r="G955" s="36"/>
      <c r="H955" s="22"/>
      <c r="I955" s="22"/>
      <c r="J955" s="22"/>
      <c r="K955" s="22"/>
      <c r="L955" s="22"/>
      <c r="M955" s="22"/>
      <c r="N955" s="22"/>
      <c r="O955" s="24">
        <f t="shared" si="5"/>
        <v>0</v>
      </c>
      <c r="P955" s="24">
        <f t="shared" si="6"/>
        <v>0</v>
      </c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22"/>
      <c r="C956" s="22"/>
      <c r="D956" s="47" t="s">
        <v>24</v>
      </c>
      <c r="E956" s="35" t="s">
        <v>102</v>
      </c>
      <c r="F956" s="13"/>
      <c r="G956" s="36">
        <v>2.0</v>
      </c>
      <c r="H956" s="36" t="s">
        <v>95</v>
      </c>
      <c r="I956" s="48">
        <v>350000.0</v>
      </c>
      <c r="J956" s="46">
        <f t="shared" ref="J956:J962" si="375">G956*I956</f>
        <v>700000</v>
      </c>
      <c r="K956" s="46"/>
      <c r="L956" s="46"/>
      <c r="M956" s="46"/>
      <c r="N956" s="46"/>
      <c r="O956" s="24">
        <f t="shared" si="5"/>
        <v>700000</v>
      </c>
      <c r="P956" s="24">
        <f t="shared" si="6"/>
        <v>700000</v>
      </c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22"/>
      <c r="C957" s="22"/>
      <c r="D957" s="47" t="s">
        <v>24</v>
      </c>
      <c r="E957" s="35" t="s">
        <v>103</v>
      </c>
      <c r="F957" s="13"/>
      <c r="G957" s="36">
        <v>2.0</v>
      </c>
      <c r="H957" s="36" t="s">
        <v>95</v>
      </c>
      <c r="I957" s="48">
        <v>225000.0</v>
      </c>
      <c r="J957" s="46">
        <f t="shared" si="375"/>
        <v>450000</v>
      </c>
      <c r="K957" s="46"/>
      <c r="L957" s="46"/>
      <c r="M957" s="46"/>
      <c r="N957" s="46"/>
      <c r="O957" s="24">
        <f t="shared" si="5"/>
        <v>450000</v>
      </c>
      <c r="P957" s="24">
        <f t="shared" si="6"/>
        <v>450000</v>
      </c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22"/>
      <c r="C958" s="22"/>
      <c r="D958" s="47" t="s">
        <v>24</v>
      </c>
      <c r="E958" s="35" t="s">
        <v>104</v>
      </c>
      <c r="F958" s="13"/>
      <c r="G958" s="36">
        <v>2.0</v>
      </c>
      <c r="H958" s="36" t="s">
        <v>95</v>
      </c>
      <c r="I958" s="48">
        <v>450000.0</v>
      </c>
      <c r="J958" s="46">
        <f t="shared" si="375"/>
        <v>900000</v>
      </c>
      <c r="K958" s="46"/>
      <c r="L958" s="46"/>
      <c r="M958" s="46"/>
      <c r="N958" s="46"/>
      <c r="O958" s="24">
        <f t="shared" si="5"/>
        <v>900000</v>
      </c>
      <c r="P958" s="24">
        <f t="shared" si="6"/>
        <v>900000</v>
      </c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22"/>
      <c r="C959" s="22"/>
      <c r="D959" s="47" t="s">
        <v>24</v>
      </c>
      <c r="E959" s="35" t="s">
        <v>105</v>
      </c>
      <c r="F959" s="13"/>
      <c r="G959" s="36">
        <v>2.0</v>
      </c>
      <c r="H959" s="36" t="s">
        <v>95</v>
      </c>
      <c r="I959" s="48">
        <v>250000.0</v>
      </c>
      <c r="J959" s="46">
        <f t="shared" si="375"/>
        <v>500000</v>
      </c>
      <c r="K959" s="46"/>
      <c r="L959" s="46"/>
      <c r="M959" s="46"/>
      <c r="N959" s="46"/>
      <c r="O959" s="24">
        <f t="shared" si="5"/>
        <v>500000</v>
      </c>
      <c r="P959" s="24">
        <f t="shared" si="6"/>
        <v>500000</v>
      </c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22"/>
      <c r="C960" s="22"/>
      <c r="D960" s="47" t="s">
        <v>24</v>
      </c>
      <c r="E960" s="35" t="s">
        <v>106</v>
      </c>
      <c r="F960" s="13"/>
      <c r="G960" s="36">
        <v>2.0</v>
      </c>
      <c r="H960" s="36" t="s">
        <v>95</v>
      </c>
      <c r="I960" s="48">
        <v>100000.0</v>
      </c>
      <c r="J960" s="46">
        <f t="shared" si="375"/>
        <v>200000</v>
      </c>
      <c r="K960" s="46"/>
      <c r="L960" s="46"/>
      <c r="M960" s="46"/>
      <c r="N960" s="46"/>
      <c r="O960" s="24">
        <f t="shared" si="5"/>
        <v>200000</v>
      </c>
      <c r="P960" s="24">
        <f t="shared" si="6"/>
        <v>200000</v>
      </c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22"/>
      <c r="C961" s="22"/>
      <c r="D961" s="47" t="s">
        <v>24</v>
      </c>
      <c r="E961" s="35" t="s">
        <v>107</v>
      </c>
      <c r="F961" s="13"/>
      <c r="G961" s="36">
        <v>2.0</v>
      </c>
      <c r="H961" s="36" t="s">
        <v>95</v>
      </c>
      <c r="I961" s="48">
        <v>725000.0</v>
      </c>
      <c r="J961" s="46">
        <f t="shared" si="375"/>
        <v>1450000</v>
      </c>
      <c r="K961" s="46"/>
      <c r="L961" s="46"/>
      <c r="M961" s="46"/>
      <c r="N961" s="46"/>
      <c r="O961" s="24">
        <f t="shared" si="5"/>
        <v>1450000</v>
      </c>
      <c r="P961" s="24">
        <f t="shared" si="6"/>
        <v>1450000</v>
      </c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22"/>
      <c r="C962" s="22"/>
      <c r="D962" s="47" t="s">
        <v>24</v>
      </c>
      <c r="E962" s="35" t="s">
        <v>108</v>
      </c>
      <c r="F962" s="13"/>
      <c r="G962" s="36">
        <v>2.0</v>
      </c>
      <c r="H962" s="36" t="s">
        <v>95</v>
      </c>
      <c r="I962" s="48">
        <v>700000.0</v>
      </c>
      <c r="J962" s="46">
        <f t="shared" si="375"/>
        <v>1400000</v>
      </c>
      <c r="K962" s="46"/>
      <c r="L962" s="46"/>
      <c r="M962" s="46"/>
      <c r="N962" s="46"/>
      <c r="O962" s="24">
        <f t="shared" si="5"/>
        <v>1400000</v>
      </c>
      <c r="P962" s="24">
        <f t="shared" si="6"/>
        <v>1400000</v>
      </c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35" t="s">
        <v>68</v>
      </c>
      <c r="C963" s="13"/>
      <c r="D963" s="44" t="s">
        <v>69</v>
      </c>
      <c r="E963" s="12"/>
      <c r="F963" s="13"/>
      <c r="G963" s="45"/>
      <c r="H963" s="22"/>
      <c r="I963" s="22"/>
      <c r="J963" s="46">
        <f t="shared" ref="J963:K963" si="376">SUM(J965:J968)</f>
        <v>1160000</v>
      </c>
      <c r="K963" s="46">
        <f t="shared" si="376"/>
        <v>0</v>
      </c>
      <c r="L963" s="46"/>
      <c r="M963" s="46">
        <f>SUM(M965:M968)</f>
        <v>0</v>
      </c>
      <c r="N963" s="46"/>
      <c r="O963" s="24">
        <f t="shared" si="5"/>
        <v>1160000</v>
      </c>
      <c r="P963" s="24">
        <f t="shared" si="6"/>
        <v>1160000</v>
      </c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22"/>
      <c r="C964" s="22"/>
      <c r="D964" s="35" t="s">
        <v>23</v>
      </c>
      <c r="E964" s="12"/>
      <c r="F964" s="13"/>
      <c r="G964" s="36"/>
      <c r="H964" s="22"/>
      <c r="I964" s="22"/>
      <c r="J964" s="22"/>
      <c r="K964" s="22"/>
      <c r="L964" s="22"/>
      <c r="M964" s="22"/>
      <c r="N964" s="22"/>
      <c r="O964" s="24">
        <f t="shared" si="5"/>
        <v>0</v>
      </c>
      <c r="P964" s="24">
        <f t="shared" si="6"/>
        <v>0</v>
      </c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22"/>
      <c r="C965" s="22"/>
      <c r="D965" s="47" t="s">
        <v>24</v>
      </c>
      <c r="E965" s="35" t="s">
        <v>109</v>
      </c>
      <c r="F965" s="13"/>
      <c r="G965" s="36">
        <v>10.0</v>
      </c>
      <c r="H965" s="36" t="s">
        <v>95</v>
      </c>
      <c r="I965" s="48">
        <v>50000.0</v>
      </c>
      <c r="J965" s="46">
        <f t="shared" ref="J965:J968" si="377">G965*I965</f>
        <v>500000</v>
      </c>
      <c r="K965" s="46"/>
      <c r="L965" s="46"/>
      <c r="M965" s="46"/>
      <c r="N965" s="46"/>
      <c r="O965" s="24">
        <f t="shared" si="5"/>
        <v>500000</v>
      </c>
      <c r="P965" s="24">
        <f t="shared" si="6"/>
        <v>500000</v>
      </c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22"/>
      <c r="C966" s="22"/>
      <c r="D966" s="47" t="s">
        <v>24</v>
      </c>
      <c r="E966" s="35" t="s">
        <v>110</v>
      </c>
      <c r="F966" s="13"/>
      <c r="G966" s="36">
        <v>2.0</v>
      </c>
      <c r="H966" s="36" t="s">
        <v>95</v>
      </c>
      <c r="I966" s="48">
        <v>100000.0</v>
      </c>
      <c r="J966" s="46">
        <f t="shared" si="377"/>
        <v>200000</v>
      </c>
      <c r="K966" s="46"/>
      <c r="L966" s="46"/>
      <c r="M966" s="46"/>
      <c r="N966" s="46"/>
      <c r="O966" s="24">
        <f t="shared" si="5"/>
        <v>200000</v>
      </c>
      <c r="P966" s="24">
        <f t="shared" si="6"/>
        <v>200000</v>
      </c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22"/>
      <c r="C967" s="22"/>
      <c r="D967" s="47" t="s">
        <v>24</v>
      </c>
      <c r="E967" s="35" t="s">
        <v>111</v>
      </c>
      <c r="F967" s="13"/>
      <c r="G967" s="36">
        <v>2.0</v>
      </c>
      <c r="H967" s="36" t="s">
        <v>95</v>
      </c>
      <c r="I967" s="48">
        <v>200000.0</v>
      </c>
      <c r="J967" s="46">
        <f t="shared" si="377"/>
        <v>400000</v>
      </c>
      <c r="K967" s="46"/>
      <c r="L967" s="46"/>
      <c r="M967" s="46"/>
      <c r="N967" s="46"/>
      <c r="O967" s="24">
        <f t="shared" si="5"/>
        <v>400000</v>
      </c>
      <c r="P967" s="24">
        <f t="shared" si="6"/>
        <v>400000</v>
      </c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22"/>
      <c r="C968" s="22"/>
      <c r="D968" s="47" t="s">
        <v>24</v>
      </c>
      <c r="E968" s="35" t="s">
        <v>112</v>
      </c>
      <c r="F968" s="13"/>
      <c r="G968" s="36">
        <v>2.0</v>
      </c>
      <c r="H968" s="36" t="s">
        <v>95</v>
      </c>
      <c r="I968" s="48">
        <v>30000.0</v>
      </c>
      <c r="J968" s="46">
        <f t="shared" si="377"/>
        <v>60000</v>
      </c>
      <c r="K968" s="46"/>
      <c r="L968" s="46"/>
      <c r="M968" s="46"/>
      <c r="N968" s="46"/>
      <c r="O968" s="24">
        <f t="shared" si="5"/>
        <v>60000</v>
      </c>
      <c r="P968" s="24">
        <f t="shared" si="6"/>
        <v>60000</v>
      </c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41" t="s">
        <v>113</v>
      </c>
      <c r="C969" s="13"/>
      <c r="D969" s="41" t="s">
        <v>114</v>
      </c>
      <c r="E969" s="12"/>
      <c r="F969" s="13"/>
      <c r="G969" s="42"/>
      <c r="H969" s="22"/>
      <c r="I969" s="22"/>
      <c r="J969" s="43">
        <f t="shared" ref="J969:K969" si="378">J970</f>
        <v>410750000</v>
      </c>
      <c r="K969" s="43">
        <f t="shared" si="378"/>
        <v>0</v>
      </c>
      <c r="L969" s="43"/>
      <c r="M969" s="43">
        <f>M970</f>
        <v>2449700</v>
      </c>
      <c r="N969" s="43"/>
      <c r="O969" s="24">
        <f t="shared" si="5"/>
        <v>410750000</v>
      </c>
      <c r="P969" s="24">
        <f t="shared" si="6"/>
        <v>408300300</v>
      </c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35" t="s">
        <v>68</v>
      </c>
      <c r="C970" s="13"/>
      <c r="D970" s="44" t="s">
        <v>69</v>
      </c>
      <c r="E970" s="12"/>
      <c r="F970" s="13"/>
      <c r="G970" s="45"/>
      <c r="H970" s="22"/>
      <c r="I970" s="22"/>
      <c r="J970" s="46">
        <f t="shared" ref="J970:K970" si="379">SUM(J972:J982)</f>
        <v>410750000</v>
      </c>
      <c r="K970" s="46">
        <f t="shared" si="379"/>
        <v>0</v>
      </c>
      <c r="L970" s="46"/>
      <c r="M970" s="46">
        <f>SUM(M972:M982)</f>
        <v>2449700</v>
      </c>
      <c r="N970" s="46"/>
      <c r="O970" s="24">
        <f t="shared" si="5"/>
        <v>410750000</v>
      </c>
      <c r="P970" s="24">
        <f t="shared" si="6"/>
        <v>408300300</v>
      </c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22"/>
      <c r="C971" s="22"/>
      <c r="D971" s="35" t="s">
        <v>23</v>
      </c>
      <c r="E971" s="12"/>
      <c r="F971" s="13"/>
      <c r="G971" s="36"/>
      <c r="H971" s="22"/>
      <c r="I971" s="22"/>
      <c r="J971" s="22"/>
      <c r="K971" s="22"/>
      <c r="L971" s="22"/>
      <c r="M971" s="22"/>
      <c r="N971" s="22"/>
      <c r="O971" s="24">
        <f t="shared" si="5"/>
        <v>0</v>
      </c>
      <c r="P971" s="24">
        <f t="shared" si="6"/>
        <v>0</v>
      </c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22"/>
      <c r="C972" s="22"/>
      <c r="D972" s="47" t="s">
        <v>24</v>
      </c>
      <c r="E972" s="35" t="s">
        <v>172</v>
      </c>
      <c r="F972" s="13"/>
      <c r="G972" s="36">
        <v>100.0</v>
      </c>
      <c r="H972" s="36" t="s">
        <v>95</v>
      </c>
      <c r="I972" s="48">
        <v>110000.0</v>
      </c>
      <c r="J972" s="46">
        <f t="shared" ref="J972:J982" si="380">G972*I972</f>
        <v>11000000</v>
      </c>
      <c r="K972" s="46"/>
      <c r="L972" s="46"/>
      <c r="M972" s="46"/>
      <c r="N972" s="46"/>
      <c r="O972" s="24">
        <f t="shared" si="5"/>
        <v>11000000</v>
      </c>
      <c r="P972" s="24">
        <f t="shared" si="6"/>
        <v>11000000</v>
      </c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22"/>
      <c r="C973" s="22"/>
      <c r="D973" s="47" t="s">
        <v>24</v>
      </c>
      <c r="E973" s="35" t="s">
        <v>173</v>
      </c>
      <c r="F973" s="13"/>
      <c r="G973" s="36">
        <v>100.0</v>
      </c>
      <c r="H973" s="36" t="s">
        <v>95</v>
      </c>
      <c r="I973" s="48">
        <v>120000.0</v>
      </c>
      <c r="J973" s="46">
        <f t="shared" si="380"/>
        <v>12000000</v>
      </c>
      <c r="K973" s="46"/>
      <c r="L973" s="46"/>
      <c r="M973" s="46"/>
      <c r="N973" s="46"/>
      <c r="O973" s="24">
        <f t="shared" si="5"/>
        <v>12000000</v>
      </c>
      <c r="P973" s="24">
        <f t="shared" si="6"/>
        <v>12000000</v>
      </c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22"/>
      <c r="C974" s="22"/>
      <c r="D974" s="47" t="s">
        <v>24</v>
      </c>
      <c r="E974" s="35" t="s">
        <v>174</v>
      </c>
      <c r="F974" s="13"/>
      <c r="G974" s="36">
        <v>100.0</v>
      </c>
      <c r="H974" s="36" t="s">
        <v>95</v>
      </c>
      <c r="I974" s="48">
        <v>150000.0</v>
      </c>
      <c r="J974" s="46">
        <f t="shared" si="380"/>
        <v>15000000</v>
      </c>
      <c r="K974" s="46"/>
      <c r="L974" s="46"/>
      <c r="M974" s="46"/>
      <c r="N974" s="46"/>
      <c r="O974" s="24">
        <f t="shared" si="5"/>
        <v>15000000</v>
      </c>
      <c r="P974" s="24">
        <f t="shared" si="6"/>
        <v>15000000</v>
      </c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22"/>
      <c r="C975" s="22"/>
      <c r="D975" s="47" t="s">
        <v>24</v>
      </c>
      <c r="E975" s="35" t="s">
        <v>175</v>
      </c>
      <c r="F975" s="13"/>
      <c r="G975" s="36">
        <v>100.0</v>
      </c>
      <c r="H975" s="36" t="s">
        <v>95</v>
      </c>
      <c r="I975" s="48">
        <v>100000.0</v>
      </c>
      <c r="J975" s="46">
        <f t="shared" si="380"/>
        <v>10000000</v>
      </c>
      <c r="K975" s="46"/>
      <c r="L975" s="46"/>
      <c r="M975" s="46"/>
      <c r="N975" s="46"/>
      <c r="O975" s="24">
        <f t="shared" si="5"/>
        <v>10000000</v>
      </c>
      <c r="P975" s="24">
        <f t="shared" si="6"/>
        <v>10000000</v>
      </c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22"/>
      <c r="C976" s="22"/>
      <c r="D976" s="47" t="s">
        <v>24</v>
      </c>
      <c r="E976" s="35" t="s">
        <v>176</v>
      </c>
      <c r="F976" s="13"/>
      <c r="G976" s="36">
        <v>100.0</v>
      </c>
      <c r="H976" s="36" t="s">
        <v>95</v>
      </c>
      <c r="I976" s="48">
        <v>350000.0</v>
      </c>
      <c r="J976" s="46">
        <f t="shared" si="380"/>
        <v>35000000</v>
      </c>
      <c r="K976" s="46"/>
      <c r="L976" s="46"/>
      <c r="M976" s="46">
        <v>1933500.0</v>
      </c>
      <c r="N976" s="46"/>
      <c r="O976" s="24">
        <f t="shared" si="5"/>
        <v>35000000</v>
      </c>
      <c r="P976" s="24">
        <f t="shared" si="6"/>
        <v>33066500</v>
      </c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22"/>
      <c r="C977" s="22"/>
      <c r="D977" s="47" t="s">
        <v>24</v>
      </c>
      <c r="E977" s="35" t="s">
        <v>177</v>
      </c>
      <c r="F977" s="13"/>
      <c r="G977" s="36">
        <v>50.0</v>
      </c>
      <c r="H977" s="36" t="s">
        <v>95</v>
      </c>
      <c r="I977" s="48">
        <v>175000.0</v>
      </c>
      <c r="J977" s="46">
        <f t="shared" si="380"/>
        <v>8750000</v>
      </c>
      <c r="K977" s="46"/>
      <c r="L977" s="46"/>
      <c r="M977" s="46"/>
      <c r="N977" s="46"/>
      <c r="O977" s="24">
        <f t="shared" si="5"/>
        <v>8750000</v>
      </c>
      <c r="P977" s="24">
        <f t="shared" si="6"/>
        <v>8750000</v>
      </c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22"/>
      <c r="C978" s="22"/>
      <c r="D978" s="47" t="s">
        <v>24</v>
      </c>
      <c r="E978" s="35" t="s">
        <v>178</v>
      </c>
      <c r="F978" s="13"/>
      <c r="G978" s="36">
        <v>350.0</v>
      </c>
      <c r="H978" s="36" t="s">
        <v>95</v>
      </c>
      <c r="I978" s="48">
        <v>150000.0</v>
      </c>
      <c r="J978" s="46">
        <f t="shared" si="380"/>
        <v>52500000</v>
      </c>
      <c r="K978" s="46"/>
      <c r="L978" s="46"/>
      <c r="M978" s="46"/>
      <c r="N978" s="46"/>
      <c r="O978" s="24">
        <f t="shared" si="5"/>
        <v>52500000</v>
      </c>
      <c r="P978" s="24">
        <f t="shared" si="6"/>
        <v>52500000</v>
      </c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22"/>
      <c r="C979" s="22"/>
      <c r="D979" s="47" t="s">
        <v>24</v>
      </c>
      <c r="E979" s="35" t="s">
        <v>179</v>
      </c>
      <c r="F979" s="13"/>
      <c r="G979" s="36">
        <v>350.0</v>
      </c>
      <c r="H979" s="36" t="s">
        <v>95</v>
      </c>
      <c r="I979" s="48">
        <v>200000.0</v>
      </c>
      <c r="J979" s="46">
        <f t="shared" si="380"/>
        <v>70000000</v>
      </c>
      <c r="K979" s="46"/>
      <c r="L979" s="46"/>
      <c r="M979" s="46"/>
      <c r="N979" s="46"/>
      <c r="O979" s="24">
        <f t="shared" si="5"/>
        <v>70000000</v>
      </c>
      <c r="P979" s="24">
        <f t="shared" si="6"/>
        <v>70000000</v>
      </c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22"/>
      <c r="C980" s="22"/>
      <c r="D980" s="47" t="s">
        <v>24</v>
      </c>
      <c r="E980" s="35" t="s">
        <v>180</v>
      </c>
      <c r="F980" s="13"/>
      <c r="G980" s="36">
        <v>600.0</v>
      </c>
      <c r="H980" s="36" t="s">
        <v>95</v>
      </c>
      <c r="I980" s="48">
        <v>250000.0</v>
      </c>
      <c r="J980" s="46">
        <f t="shared" si="380"/>
        <v>150000000</v>
      </c>
      <c r="K980" s="46"/>
      <c r="L980" s="46"/>
      <c r="M980" s="46">
        <v>516200.0</v>
      </c>
      <c r="N980" s="46"/>
      <c r="O980" s="24">
        <f t="shared" si="5"/>
        <v>150000000</v>
      </c>
      <c r="P980" s="24">
        <f t="shared" si="6"/>
        <v>149483800</v>
      </c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22"/>
      <c r="C981" s="22"/>
      <c r="D981" s="47" t="s">
        <v>24</v>
      </c>
      <c r="E981" s="35" t="s">
        <v>181</v>
      </c>
      <c r="F981" s="13"/>
      <c r="G981" s="36">
        <v>360.0</v>
      </c>
      <c r="H981" s="36" t="s">
        <v>95</v>
      </c>
      <c r="I981" s="48">
        <v>100000.0</v>
      </c>
      <c r="J981" s="46">
        <f t="shared" si="380"/>
        <v>36000000</v>
      </c>
      <c r="K981" s="46"/>
      <c r="L981" s="46"/>
      <c r="M981" s="46"/>
      <c r="N981" s="46"/>
      <c r="O981" s="24">
        <f t="shared" si="5"/>
        <v>36000000</v>
      </c>
      <c r="P981" s="24">
        <f t="shared" si="6"/>
        <v>36000000</v>
      </c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22"/>
      <c r="C982" s="22"/>
      <c r="D982" s="47" t="s">
        <v>24</v>
      </c>
      <c r="E982" s="35" t="s">
        <v>182</v>
      </c>
      <c r="F982" s="13"/>
      <c r="G982" s="36">
        <v>210.0</v>
      </c>
      <c r="H982" s="36" t="s">
        <v>95</v>
      </c>
      <c r="I982" s="48">
        <v>50000.0</v>
      </c>
      <c r="J982" s="46">
        <f t="shared" si="380"/>
        <v>10500000</v>
      </c>
      <c r="K982" s="46"/>
      <c r="L982" s="46"/>
      <c r="M982" s="46"/>
      <c r="N982" s="46"/>
      <c r="O982" s="24">
        <f t="shared" si="5"/>
        <v>10500000</v>
      </c>
      <c r="P982" s="24">
        <f t="shared" si="6"/>
        <v>10500000</v>
      </c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41" t="s">
        <v>126</v>
      </c>
      <c r="C983" s="13"/>
      <c r="D983" s="41" t="s">
        <v>127</v>
      </c>
      <c r="E983" s="12"/>
      <c r="F983" s="13"/>
      <c r="G983" s="42"/>
      <c r="H983" s="22"/>
      <c r="I983" s="22"/>
      <c r="J983" s="43">
        <f t="shared" ref="J983:K983" si="381">J984</f>
        <v>190740000</v>
      </c>
      <c r="K983" s="43">
        <f t="shared" si="381"/>
        <v>0</v>
      </c>
      <c r="L983" s="43"/>
      <c r="M983" s="43">
        <f>M984</f>
        <v>0</v>
      </c>
      <c r="N983" s="43"/>
      <c r="O983" s="24">
        <f t="shared" si="5"/>
        <v>190740000</v>
      </c>
      <c r="P983" s="24">
        <f t="shared" si="6"/>
        <v>190740000</v>
      </c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35" t="s">
        <v>68</v>
      </c>
      <c r="C984" s="13"/>
      <c r="D984" s="44" t="s">
        <v>69</v>
      </c>
      <c r="E984" s="12"/>
      <c r="F984" s="13"/>
      <c r="G984" s="45"/>
      <c r="H984" s="22"/>
      <c r="I984" s="22"/>
      <c r="J984" s="46">
        <f t="shared" ref="J984:K984" si="382">SUM(J986:J990)</f>
        <v>190740000</v>
      </c>
      <c r="K984" s="46">
        <f t="shared" si="382"/>
        <v>0</v>
      </c>
      <c r="L984" s="46"/>
      <c r="M984" s="46">
        <f>SUM(M986:M990)</f>
        <v>0</v>
      </c>
      <c r="N984" s="46"/>
      <c r="O984" s="24">
        <f t="shared" si="5"/>
        <v>190740000</v>
      </c>
      <c r="P984" s="24">
        <f t="shared" si="6"/>
        <v>190740000</v>
      </c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22"/>
      <c r="C985" s="22"/>
      <c r="D985" s="35" t="s">
        <v>23</v>
      </c>
      <c r="E985" s="12"/>
      <c r="F985" s="13"/>
      <c r="G985" s="36"/>
      <c r="H985" s="22"/>
      <c r="I985" s="22"/>
      <c r="J985" s="22"/>
      <c r="K985" s="22"/>
      <c r="L985" s="22"/>
      <c r="M985" s="22"/>
      <c r="N985" s="22"/>
      <c r="O985" s="24">
        <f t="shared" si="5"/>
        <v>0</v>
      </c>
      <c r="P985" s="24">
        <f t="shared" si="6"/>
        <v>0</v>
      </c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22"/>
      <c r="C986" s="22"/>
      <c r="D986" s="47" t="s">
        <v>24</v>
      </c>
      <c r="E986" s="35" t="s">
        <v>128</v>
      </c>
      <c r="F986" s="13"/>
      <c r="G986" s="36">
        <v>88.0</v>
      </c>
      <c r="H986" s="36" t="s">
        <v>129</v>
      </c>
      <c r="I986" s="48">
        <v>110000.0</v>
      </c>
      <c r="J986" s="46">
        <f t="shared" ref="J986:J990" si="383">G986*I986</f>
        <v>9680000</v>
      </c>
      <c r="K986" s="46"/>
      <c r="L986" s="46"/>
      <c r="M986" s="46"/>
      <c r="N986" s="46"/>
      <c r="O986" s="24">
        <f t="shared" si="5"/>
        <v>9680000</v>
      </c>
      <c r="P986" s="24">
        <f t="shared" si="6"/>
        <v>9680000</v>
      </c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22"/>
      <c r="C987" s="22"/>
      <c r="D987" s="47" t="s">
        <v>24</v>
      </c>
      <c r="E987" s="35" t="s">
        <v>130</v>
      </c>
      <c r="F987" s="13"/>
      <c r="G987" s="36">
        <v>88.0</v>
      </c>
      <c r="H987" s="36" t="s">
        <v>129</v>
      </c>
      <c r="I987" s="48">
        <v>120000.0</v>
      </c>
      <c r="J987" s="46">
        <f t="shared" si="383"/>
        <v>10560000</v>
      </c>
      <c r="K987" s="46"/>
      <c r="L987" s="46"/>
      <c r="M987" s="46"/>
      <c r="N987" s="46"/>
      <c r="O987" s="24">
        <f t="shared" si="5"/>
        <v>10560000</v>
      </c>
      <c r="P987" s="24">
        <f t="shared" si="6"/>
        <v>10560000</v>
      </c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22"/>
      <c r="C988" s="22"/>
      <c r="D988" s="47" t="s">
        <v>24</v>
      </c>
      <c r="E988" s="35" t="s">
        <v>131</v>
      </c>
      <c r="F988" s="13"/>
      <c r="G988" s="36">
        <v>88.0</v>
      </c>
      <c r="H988" s="36" t="s">
        <v>129</v>
      </c>
      <c r="I988" s="48">
        <v>350000.0</v>
      </c>
      <c r="J988" s="46">
        <f t="shared" si="383"/>
        <v>30800000</v>
      </c>
      <c r="K988" s="46"/>
      <c r="L988" s="46"/>
      <c r="M988" s="46"/>
      <c r="N988" s="46"/>
      <c r="O988" s="24">
        <f t="shared" si="5"/>
        <v>30800000</v>
      </c>
      <c r="P988" s="24">
        <f t="shared" si="6"/>
        <v>30800000</v>
      </c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22"/>
      <c r="C989" s="22"/>
      <c r="D989" s="47" t="s">
        <v>24</v>
      </c>
      <c r="E989" s="35" t="s">
        <v>132</v>
      </c>
      <c r="F989" s="13"/>
      <c r="G989" s="36">
        <v>44.0</v>
      </c>
      <c r="H989" s="36" t="s">
        <v>129</v>
      </c>
      <c r="I989" s="48">
        <v>175000.0</v>
      </c>
      <c r="J989" s="46">
        <f t="shared" si="383"/>
        <v>7700000</v>
      </c>
      <c r="K989" s="46"/>
      <c r="L989" s="46"/>
      <c r="M989" s="46"/>
      <c r="N989" s="46"/>
      <c r="O989" s="24">
        <f t="shared" si="5"/>
        <v>7700000</v>
      </c>
      <c r="P989" s="24">
        <f t="shared" si="6"/>
        <v>7700000</v>
      </c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22"/>
      <c r="C990" s="22"/>
      <c r="D990" s="47" t="s">
        <v>24</v>
      </c>
      <c r="E990" s="35" t="s">
        <v>218</v>
      </c>
      <c r="F990" s="13"/>
      <c r="G990" s="36">
        <v>528.0</v>
      </c>
      <c r="H990" s="36" t="s">
        <v>129</v>
      </c>
      <c r="I990" s="48">
        <v>250000.0</v>
      </c>
      <c r="J990" s="46">
        <f t="shared" si="383"/>
        <v>132000000</v>
      </c>
      <c r="K990" s="46"/>
      <c r="L990" s="46"/>
      <c r="M990" s="46"/>
      <c r="N990" s="46"/>
      <c r="O990" s="24">
        <f t="shared" si="5"/>
        <v>132000000</v>
      </c>
      <c r="P990" s="24">
        <f t="shared" si="6"/>
        <v>132000000</v>
      </c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41" t="s">
        <v>134</v>
      </c>
      <c r="C991" s="13"/>
      <c r="D991" s="41" t="s">
        <v>135</v>
      </c>
      <c r="E991" s="12"/>
      <c r="F991" s="13"/>
      <c r="G991" s="42"/>
      <c r="H991" s="22"/>
      <c r="I991" s="22"/>
      <c r="J991" s="43">
        <f t="shared" ref="J991:K991" si="384">J992</f>
        <v>20020000</v>
      </c>
      <c r="K991" s="43">
        <f t="shared" si="384"/>
        <v>0</v>
      </c>
      <c r="L991" s="43"/>
      <c r="M991" s="43">
        <f>M992</f>
        <v>0</v>
      </c>
      <c r="N991" s="43"/>
      <c r="O991" s="24">
        <f t="shared" si="5"/>
        <v>20020000</v>
      </c>
      <c r="P991" s="24">
        <f t="shared" si="6"/>
        <v>20020000</v>
      </c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35" t="s">
        <v>68</v>
      </c>
      <c r="C992" s="13"/>
      <c r="D992" s="44" t="s">
        <v>69</v>
      </c>
      <c r="E992" s="12"/>
      <c r="F992" s="13"/>
      <c r="G992" s="45"/>
      <c r="H992" s="22"/>
      <c r="I992" s="22"/>
      <c r="J992" s="46">
        <f t="shared" ref="J992:K992" si="385">SUM(J994:J998)</f>
        <v>20020000</v>
      </c>
      <c r="K992" s="46">
        <f t="shared" si="385"/>
        <v>0</v>
      </c>
      <c r="L992" s="46"/>
      <c r="M992" s="46">
        <f>SUM(M994:M998)</f>
        <v>0</v>
      </c>
      <c r="N992" s="46"/>
      <c r="O992" s="24">
        <f t="shared" si="5"/>
        <v>20020000</v>
      </c>
      <c r="P992" s="24">
        <f t="shared" si="6"/>
        <v>20020000</v>
      </c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22"/>
      <c r="C993" s="22"/>
      <c r="D993" s="35" t="s">
        <v>23</v>
      </c>
      <c r="E993" s="12"/>
      <c r="F993" s="13"/>
      <c r="G993" s="36"/>
      <c r="H993" s="22"/>
      <c r="I993" s="22"/>
      <c r="J993" s="22"/>
      <c r="K993" s="22"/>
      <c r="L993" s="22"/>
      <c r="M993" s="22"/>
      <c r="N993" s="22"/>
      <c r="O993" s="24">
        <f t="shared" si="5"/>
        <v>0</v>
      </c>
      <c r="P993" s="24">
        <f t="shared" si="6"/>
        <v>0</v>
      </c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22"/>
      <c r="C994" s="22"/>
      <c r="D994" s="47" t="s">
        <v>24</v>
      </c>
      <c r="E994" s="35" t="s">
        <v>183</v>
      </c>
      <c r="F994" s="13"/>
      <c r="G994" s="36">
        <v>150.0</v>
      </c>
      <c r="H994" s="36" t="s">
        <v>95</v>
      </c>
      <c r="I994" s="48">
        <v>75000.0</v>
      </c>
      <c r="J994" s="46">
        <f t="shared" ref="J994:J998" si="386">G994*I994</f>
        <v>11250000</v>
      </c>
      <c r="K994" s="46"/>
      <c r="L994" s="46"/>
      <c r="M994" s="46"/>
      <c r="N994" s="46"/>
      <c r="O994" s="24">
        <f t="shared" si="5"/>
        <v>11250000</v>
      </c>
      <c r="P994" s="24">
        <f t="shared" si="6"/>
        <v>11250000</v>
      </c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22"/>
      <c r="C995" s="22"/>
      <c r="D995" s="47" t="s">
        <v>24</v>
      </c>
      <c r="E995" s="35" t="s">
        <v>137</v>
      </c>
      <c r="F995" s="13"/>
      <c r="G995" s="36">
        <v>2.0</v>
      </c>
      <c r="H995" s="36" t="s">
        <v>95</v>
      </c>
      <c r="I995" s="48">
        <v>360000.0</v>
      </c>
      <c r="J995" s="46">
        <f t="shared" si="386"/>
        <v>720000</v>
      </c>
      <c r="K995" s="46"/>
      <c r="L995" s="46"/>
      <c r="M995" s="46"/>
      <c r="N995" s="46"/>
      <c r="O995" s="24">
        <f t="shared" si="5"/>
        <v>720000</v>
      </c>
      <c r="P995" s="24">
        <f t="shared" si="6"/>
        <v>720000</v>
      </c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22"/>
      <c r="C996" s="22"/>
      <c r="D996" s="47" t="s">
        <v>24</v>
      </c>
      <c r="E996" s="35" t="s">
        <v>184</v>
      </c>
      <c r="F996" s="13"/>
      <c r="G996" s="36">
        <v>50.0</v>
      </c>
      <c r="H996" s="36" t="s">
        <v>95</v>
      </c>
      <c r="I996" s="48">
        <v>93000.0</v>
      </c>
      <c r="J996" s="46">
        <f t="shared" si="386"/>
        <v>4650000</v>
      </c>
      <c r="K996" s="46"/>
      <c r="L996" s="46"/>
      <c r="M996" s="46"/>
      <c r="N996" s="46"/>
      <c r="O996" s="24">
        <f t="shared" si="5"/>
        <v>4650000</v>
      </c>
      <c r="P996" s="24">
        <f t="shared" si="6"/>
        <v>4650000</v>
      </c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22"/>
      <c r="C997" s="22"/>
      <c r="D997" s="47" t="s">
        <v>24</v>
      </c>
      <c r="E997" s="35" t="s">
        <v>185</v>
      </c>
      <c r="F997" s="13"/>
      <c r="G997" s="36">
        <v>50.0</v>
      </c>
      <c r="H997" s="36" t="s">
        <v>95</v>
      </c>
      <c r="I997" s="48">
        <v>53000.0</v>
      </c>
      <c r="J997" s="46">
        <f t="shared" si="386"/>
        <v>2650000</v>
      </c>
      <c r="K997" s="46"/>
      <c r="L997" s="46"/>
      <c r="M997" s="46"/>
      <c r="N997" s="46"/>
      <c r="O997" s="24">
        <f t="shared" si="5"/>
        <v>2650000</v>
      </c>
      <c r="P997" s="24">
        <f t="shared" si="6"/>
        <v>2650000</v>
      </c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22"/>
      <c r="C998" s="22"/>
      <c r="D998" s="47" t="s">
        <v>24</v>
      </c>
      <c r="E998" s="35" t="s">
        <v>186</v>
      </c>
      <c r="F998" s="13"/>
      <c r="G998" s="36">
        <v>50.0</v>
      </c>
      <c r="H998" s="36" t="s">
        <v>95</v>
      </c>
      <c r="I998" s="48">
        <v>15000.0</v>
      </c>
      <c r="J998" s="46">
        <f t="shared" si="386"/>
        <v>750000</v>
      </c>
      <c r="K998" s="46"/>
      <c r="L998" s="46"/>
      <c r="M998" s="46"/>
      <c r="N998" s="46"/>
      <c r="O998" s="24">
        <f t="shared" si="5"/>
        <v>750000</v>
      </c>
      <c r="P998" s="24">
        <f t="shared" si="6"/>
        <v>750000</v>
      </c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41" t="s">
        <v>141</v>
      </c>
      <c r="C999" s="13"/>
      <c r="D999" s="41" t="s">
        <v>142</v>
      </c>
      <c r="E999" s="12"/>
      <c r="F999" s="13"/>
      <c r="G999" s="42"/>
      <c r="H999" s="22"/>
      <c r="I999" s="22"/>
      <c r="J999" s="43">
        <f t="shared" ref="J999:K999" si="387">J1000</f>
        <v>145500000</v>
      </c>
      <c r="K999" s="43">
        <f t="shared" si="387"/>
        <v>0</v>
      </c>
      <c r="L999" s="43"/>
      <c r="M999" s="43">
        <f>M1000</f>
        <v>0</v>
      </c>
      <c r="N999" s="43"/>
      <c r="O999" s="24">
        <f t="shared" si="5"/>
        <v>145500000</v>
      </c>
      <c r="P999" s="24">
        <f t="shared" si="6"/>
        <v>145500000</v>
      </c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35" t="s">
        <v>68</v>
      </c>
      <c r="C1000" s="13"/>
      <c r="D1000" s="44" t="s">
        <v>69</v>
      </c>
      <c r="E1000" s="12"/>
      <c r="F1000" s="13"/>
      <c r="G1000" s="45"/>
      <c r="H1000" s="22"/>
      <c r="I1000" s="22"/>
      <c r="J1000" s="46">
        <f t="shared" ref="J1000:K1000" si="388">SUM(J1002:J1004)</f>
        <v>145500000</v>
      </c>
      <c r="K1000" s="46">
        <f t="shared" si="388"/>
        <v>0</v>
      </c>
      <c r="L1000" s="46"/>
      <c r="M1000" s="46">
        <f>SUM(M1002:M1004)</f>
        <v>0</v>
      </c>
      <c r="N1000" s="46"/>
      <c r="O1000" s="24">
        <f t="shared" si="5"/>
        <v>145500000</v>
      </c>
      <c r="P1000" s="24">
        <f t="shared" si="6"/>
        <v>145500000</v>
      </c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>
      <c r="A1001" s="1"/>
      <c r="B1001" s="22"/>
      <c r="C1001" s="22"/>
      <c r="D1001" s="35" t="s">
        <v>23</v>
      </c>
      <c r="E1001" s="12"/>
      <c r="F1001" s="13"/>
      <c r="G1001" s="36"/>
      <c r="H1001" s="22"/>
      <c r="I1001" s="22"/>
      <c r="J1001" s="22"/>
      <c r="K1001" s="22"/>
      <c r="L1001" s="22"/>
      <c r="M1001" s="22"/>
      <c r="N1001" s="22"/>
      <c r="O1001" s="24">
        <f t="shared" si="5"/>
        <v>0</v>
      </c>
      <c r="P1001" s="24">
        <f t="shared" si="6"/>
        <v>0</v>
      </c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22"/>
      <c r="C1002" s="22"/>
      <c r="D1002" s="47" t="s">
        <v>24</v>
      </c>
      <c r="E1002" s="35" t="s">
        <v>187</v>
      </c>
      <c r="F1002" s="13"/>
      <c r="G1002" s="36">
        <v>50.0</v>
      </c>
      <c r="H1002" s="36" t="s">
        <v>95</v>
      </c>
      <c r="I1002" s="48">
        <v>2000000.0</v>
      </c>
      <c r="J1002" s="46">
        <f t="shared" ref="J1002:J1004" si="389">G1002*I1002</f>
        <v>100000000</v>
      </c>
      <c r="K1002" s="46"/>
      <c r="L1002" s="46"/>
      <c r="M1002" s="46"/>
      <c r="N1002" s="46"/>
      <c r="O1002" s="24">
        <f t="shared" si="5"/>
        <v>100000000</v>
      </c>
      <c r="P1002" s="24">
        <f t="shared" si="6"/>
        <v>100000000</v>
      </c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22"/>
      <c r="C1003" s="22"/>
      <c r="D1003" s="47" t="s">
        <v>24</v>
      </c>
      <c r="E1003" s="35" t="s">
        <v>188</v>
      </c>
      <c r="F1003" s="13"/>
      <c r="G1003" s="36">
        <v>50.0</v>
      </c>
      <c r="H1003" s="36" t="s">
        <v>95</v>
      </c>
      <c r="I1003" s="48">
        <v>750000.0</v>
      </c>
      <c r="J1003" s="46">
        <f t="shared" si="389"/>
        <v>37500000</v>
      </c>
      <c r="K1003" s="46"/>
      <c r="L1003" s="46"/>
      <c r="M1003" s="46"/>
      <c r="N1003" s="46"/>
      <c r="O1003" s="24">
        <f t="shared" si="5"/>
        <v>37500000</v>
      </c>
      <c r="P1003" s="24">
        <f t="shared" si="6"/>
        <v>37500000</v>
      </c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22"/>
      <c r="C1004" s="22"/>
      <c r="D1004" s="47" t="s">
        <v>24</v>
      </c>
      <c r="E1004" s="35" t="s">
        <v>145</v>
      </c>
      <c r="F1004" s="13"/>
      <c r="G1004" s="36">
        <v>4.0</v>
      </c>
      <c r="H1004" s="36" t="s">
        <v>95</v>
      </c>
      <c r="I1004" s="48">
        <v>2000000.0</v>
      </c>
      <c r="J1004" s="46">
        <f t="shared" si="389"/>
        <v>8000000</v>
      </c>
      <c r="K1004" s="46"/>
      <c r="L1004" s="46"/>
      <c r="M1004" s="46"/>
      <c r="N1004" s="46"/>
      <c r="O1004" s="24">
        <f t="shared" si="5"/>
        <v>8000000</v>
      </c>
      <c r="P1004" s="24">
        <f t="shared" si="6"/>
        <v>8000000</v>
      </c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75" customHeight="1">
      <c r="A1005" s="1"/>
      <c r="B1005" s="41" t="s">
        <v>146</v>
      </c>
      <c r="C1005" s="13"/>
      <c r="D1005" s="41" t="s">
        <v>147</v>
      </c>
      <c r="E1005" s="12"/>
      <c r="F1005" s="13"/>
      <c r="G1005" s="42"/>
      <c r="H1005" s="22"/>
      <c r="I1005" s="22"/>
      <c r="J1005" s="43">
        <f t="shared" ref="J1005:K1005" si="390">J1006+J1013</f>
        <v>219800000</v>
      </c>
      <c r="K1005" s="43">
        <f t="shared" si="390"/>
        <v>0</v>
      </c>
      <c r="L1005" s="43"/>
      <c r="M1005" s="43">
        <f>M1006+M1013</f>
        <v>3640000</v>
      </c>
      <c r="N1005" s="43"/>
      <c r="O1005" s="24">
        <f t="shared" si="5"/>
        <v>219800000</v>
      </c>
      <c r="P1005" s="24">
        <f t="shared" si="6"/>
        <v>216160000</v>
      </c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75" customHeight="1">
      <c r="A1006" s="1"/>
      <c r="B1006" s="35" t="s">
        <v>74</v>
      </c>
      <c r="C1006" s="13"/>
      <c r="D1006" s="44" t="s">
        <v>75</v>
      </c>
      <c r="E1006" s="12"/>
      <c r="F1006" s="13"/>
      <c r="G1006" s="45"/>
      <c r="H1006" s="22"/>
      <c r="I1006" s="22"/>
      <c r="J1006" s="46">
        <f t="shared" ref="J1006:K1006" si="391">SUM(J1008:J1012)</f>
        <v>195800000</v>
      </c>
      <c r="K1006" s="46">
        <f t="shared" si="391"/>
        <v>0</v>
      </c>
      <c r="L1006" s="46"/>
      <c r="M1006" s="46">
        <f>SUM(M1008:M1012)</f>
        <v>0</v>
      </c>
      <c r="N1006" s="46"/>
      <c r="O1006" s="24">
        <f t="shared" si="5"/>
        <v>195800000</v>
      </c>
      <c r="P1006" s="24">
        <f t="shared" si="6"/>
        <v>195800000</v>
      </c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2.75" customHeight="1">
      <c r="A1007" s="1"/>
      <c r="B1007" s="22"/>
      <c r="C1007" s="22"/>
      <c r="D1007" s="35" t="s">
        <v>23</v>
      </c>
      <c r="E1007" s="12"/>
      <c r="F1007" s="13"/>
      <c r="G1007" s="36"/>
      <c r="H1007" s="22"/>
      <c r="I1007" s="22"/>
      <c r="J1007" s="22"/>
      <c r="K1007" s="22"/>
      <c r="L1007" s="22"/>
      <c r="M1007" s="22"/>
      <c r="N1007" s="22"/>
      <c r="O1007" s="24">
        <f t="shared" si="5"/>
        <v>0</v>
      </c>
      <c r="P1007" s="24">
        <f t="shared" si="6"/>
        <v>0</v>
      </c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2.75" customHeight="1">
      <c r="A1008" s="1"/>
      <c r="B1008" s="22"/>
      <c r="C1008" s="22"/>
      <c r="D1008" s="47" t="s">
        <v>24</v>
      </c>
      <c r="E1008" s="35" t="s">
        <v>148</v>
      </c>
      <c r="F1008" s="13"/>
      <c r="G1008" s="36">
        <v>75.0</v>
      </c>
      <c r="H1008" s="36" t="s">
        <v>26</v>
      </c>
      <c r="I1008" s="48">
        <v>430000.0</v>
      </c>
      <c r="J1008" s="46">
        <f t="shared" ref="J1008:J1012" si="392">G1008*I1008</f>
        <v>32250000</v>
      </c>
      <c r="K1008" s="46"/>
      <c r="L1008" s="46"/>
      <c r="M1008" s="46"/>
      <c r="N1008" s="46"/>
      <c r="O1008" s="24">
        <f t="shared" si="5"/>
        <v>32250000</v>
      </c>
      <c r="P1008" s="24">
        <f t="shared" si="6"/>
        <v>32250000</v>
      </c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22"/>
      <c r="C1009" s="22"/>
      <c r="D1009" s="47" t="s">
        <v>24</v>
      </c>
      <c r="E1009" s="35" t="s">
        <v>149</v>
      </c>
      <c r="F1009" s="13"/>
      <c r="G1009" s="36">
        <v>50.0</v>
      </c>
      <c r="H1009" s="36" t="s">
        <v>26</v>
      </c>
      <c r="I1009" s="48">
        <v>783500.0</v>
      </c>
      <c r="J1009" s="46">
        <f t="shared" si="392"/>
        <v>39175000</v>
      </c>
      <c r="K1009" s="46"/>
      <c r="L1009" s="46"/>
      <c r="M1009" s="46"/>
      <c r="N1009" s="46"/>
      <c r="O1009" s="24">
        <f t="shared" si="5"/>
        <v>39175000</v>
      </c>
      <c r="P1009" s="24">
        <f t="shared" si="6"/>
        <v>39175000</v>
      </c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2.75" customHeight="1">
      <c r="A1010" s="1"/>
      <c r="B1010" s="22"/>
      <c r="C1010" s="22"/>
      <c r="D1010" s="47" t="s">
        <v>24</v>
      </c>
      <c r="E1010" s="35" t="s">
        <v>150</v>
      </c>
      <c r="F1010" s="13"/>
      <c r="G1010" s="36">
        <v>25.0</v>
      </c>
      <c r="H1010" s="36" t="s">
        <v>26</v>
      </c>
      <c r="I1010" s="48">
        <v>875000.0</v>
      </c>
      <c r="J1010" s="46">
        <f t="shared" si="392"/>
        <v>21875000</v>
      </c>
      <c r="K1010" s="46"/>
      <c r="L1010" s="46"/>
      <c r="M1010" s="46"/>
      <c r="N1010" s="46"/>
      <c r="O1010" s="24">
        <f t="shared" si="5"/>
        <v>21875000</v>
      </c>
      <c r="P1010" s="24">
        <f t="shared" si="6"/>
        <v>21875000</v>
      </c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22"/>
      <c r="C1011" s="22"/>
      <c r="D1011" s="47" t="s">
        <v>24</v>
      </c>
      <c r="E1011" s="35" t="s">
        <v>189</v>
      </c>
      <c r="F1011" s="13"/>
      <c r="G1011" s="36">
        <v>100.0</v>
      </c>
      <c r="H1011" s="36" t="s">
        <v>26</v>
      </c>
      <c r="I1011" s="48">
        <v>500000.0</v>
      </c>
      <c r="J1011" s="46">
        <f t="shared" si="392"/>
        <v>50000000</v>
      </c>
      <c r="K1011" s="46"/>
      <c r="L1011" s="46"/>
      <c r="M1011" s="46"/>
      <c r="N1011" s="46"/>
      <c r="O1011" s="24">
        <f t="shared" si="5"/>
        <v>50000000</v>
      </c>
      <c r="P1011" s="24">
        <f t="shared" si="6"/>
        <v>50000000</v>
      </c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22"/>
      <c r="C1012" s="22"/>
      <c r="D1012" s="47" t="s">
        <v>24</v>
      </c>
      <c r="E1012" s="35" t="s">
        <v>190</v>
      </c>
      <c r="F1012" s="13"/>
      <c r="G1012" s="36">
        <v>150.0</v>
      </c>
      <c r="H1012" s="36" t="s">
        <v>26</v>
      </c>
      <c r="I1012" s="48">
        <v>350000.0</v>
      </c>
      <c r="J1012" s="46">
        <f t="shared" si="392"/>
        <v>52500000</v>
      </c>
      <c r="K1012" s="46"/>
      <c r="L1012" s="46"/>
      <c r="M1012" s="46"/>
      <c r="N1012" s="46"/>
      <c r="O1012" s="24">
        <f t="shared" si="5"/>
        <v>52500000</v>
      </c>
      <c r="P1012" s="24">
        <f t="shared" si="6"/>
        <v>52500000</v>
      </c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2.75" customHeight="1">
      <c r="A1013" s="1"/>
      <c r="B1013" s="35" t="s">
        <v>79</v>
      </c>
      <c r="C1013" s="13"/>
      <c r="D1013" s="44" t="s">
        <v>80</v>
      </c>
      <c r="E1013" s="12"/>
      <c r="F1013" s="13"/>
      <c r="G1013" s="45"/>
      <c r="H1013" s="22"/>
      <c r="I1013" s="22"/>
      <c r="J1013" s="46">
        <f t="shared" ref="J1013:K1013" si="393">J1015</f>
        <v>24000000</v>
      </c>
      <c r="K1013" s="46" t="str">
        <f t="shared" si="393"/>
        <v/>
      </c>
      <c r="L1013" s="46"/>
      <c r="M1013" s="46">
        <f>M1015</f>
        <v>3640000</v>
      </c>
      <c r="N1013" s="46"/>
      <c r="O1013" s="24">
        <f t="shared" si="5"/>
        <v>24000000</v>
      </c>
      <c r="P1013" s="24">
        <f t="shared" si="6"/>
        <v>20360000</v>
      </c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2.75" customHeight="1">
      <c r="A1014" s="1"/>
      <c r="B1014" s="22"/>
      <c r="C1014" s="22"/>
      <c r="D1014" s="35" t="s">
        <v>23</v>
      </c>
      <c r="E1014" s="12"/>
      <c r="F1014" s="13"/>
      <c r="G1014" s="36"/>
      <c r="H1014" s="22"/>
      <c r="I1014" s="22"/>
      <c r="J1014" s="22"/>
      <c r="K1014" s="22"/>
      <c r="L1014" s="22"/>
      <c r="M1014" s="22"/>
      <c r="N1014" s="22"/>
      <c r="O1014" s="24">
        <f t="shared" si="5"/>
        <v>0</v>
      </c>
      <c r="P1014" s="24">
        <f t="shared" si="6"/>
        <v>0</v>
      </c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2.75" customHeight="1">
      <c r="A1015" s="1"/>
      <c r="B1015" s="22"/>
      <c r="C1015" s="22"/>
      <c r="D1015" s="47" t="s">
        <v>24</v>
      </c>
      <c r="E1015" s="35" t="s">
        <v>153</v>
      </c>
      <c r="F1015" s="13"/>
      <c r="G1015" s="36">
        <v>160.0</v>
      </c>
      <c r="H1015" s="36" t="s">
        <v>26</v>
      </c>
      <c r="I1015" s="48">
        <v>150000.0</v>
      </c>
      <c r="J1015" s="46">
        <f>G1015*I1015</f>
        <v>24000000</v>
      </c>
      <c r="K1015" s="46"/>
      <c r="L1015" s="46"/>
      <c r="M1015" s="46">
        <v>3640000.0</v>
      </c>
      <c r="N1015" s="46"/>
      <c r="O1015" s="24">
        <f t="shared" si="5"/>
        <v>24000000</v>
      </c>
      <c r="P1015" s="24">
        <f t="shared" si="6"/>
        <v>20360000</v>
      </c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6.5" customHeight="1">
      <c r="A1016" s="1"/>
      <c r="B1016" s="37">
        <v>305.0</v>
      </c>
      <c r="C1016" s="13"/>
      <c r="D1016" s="55"/>
      <c r="E1016" s="37" t="s">
        <v>219</v>
      </c>
      <c r="F1016" s="13"/>
      <c r="G1016" s="38"/>
      <c r="H1016" s="38"/>
      <c r="I1016" s="39"/>
      <c r="J1016" s="40">
        <f t="shared" ref="J1016:K1016" si="394">J1017+J1031+J1043+J1056+J1073+J1082+J1092+J1097+J1113+J1127+J1135+J1143+J1149</f>
        <v>2060121000</v>
      </c>
      <c r="K1016" s="40">
        <f t="shared" si="394"/>
        <v>120244000</v>
      </c>
      <c r="L1016" s="40"/>
      <c r="M1016" s="40">
        <f>M1017+M1031+M1043+M1056+M1073+M1082+M1092+M1097+M1113+M1127+M1135+M1143+M1149</f>
        <v>135116311</v>
      </c>
      <c r="N1016" s="40"/>
      <c r="O1016" s="24">
        <f t="shared" si="5"/>
        <v>1939877000</v>
      </c>
      <c r="P1016" s="24">
        <f t="shared" si="6"/>
        <v>1925004689</v>
      </c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2.75" customHeight="1">
      <c r="A1017" s="1"/>
      <c r="B1017" s="22"/>
      <c r="C1017" s="22"/>
      <c r="D1017" s="56"/>
      <c r="E1017" s="57" t="s">
        <v>21</v>
      </c>
      <c r="F1017" s="57"/>
      <c r="G1017" s="42"/>
      <c r="H1017" s="22"/>
      <c r="I1017" s="22"/>
      <c r="J1017" s="43">
        <f t="shared" ref="J1017:K1017" si="395">J1018+J1027</f>
        <v>90140000</v>
      </c>
      <c r="K1017" s="43">
        <f t="shared" si="395"/>
        <v>0</v>
      </c>
      <c r="L1017" s="43"/>
      <c r="M1017" s="43">
        <f>M1018+M1027</f>
        <v>18284415</v>
      </c>
      <c r="N1017" s="43"/>
      <c r="O1017" s="24">
        <f t="shared" si="5"/>
        <v>90140000</v>
      </c>
      <c r="P1017" s="24">
        <f t="shared" si="6"/>
        <v>71855585</v>
      </c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2.75" customHeight="1">
      <c r="A1018" s="1"/>
      <c r="B1018" s="22"/>
      <c r="C1018" s="22"/>
      <c r="D1018" s="47"/>
      <c r="E1018" s="58" t="s">
        <v>22</v>
      </c>
      <c r="F1018" s="58"/>
      <c r="G1018" s="45"/>
      <c r="H1018" s="22"/>
      <c r="I1018" s="22"/>
      <c r="J1018" s="46">
        <f t="shared" ref="J1018:K1018" si="396">SUM(J1020:J1026)</f>
        <v>82140000</v>
      </c>
      <c r="K1018" s="46">
        <f t="shared" si="396"/>
        <v>0</v>
      </c>
      <c r="L1018" s="46"/>
      <c r="M1018" s="46">
        <f>SUM(M1020:M1026)</f>
        <v>17784415</v>
      </c>
      <c r="N1018" s="46"/>
      <c r="O1018" s="24">
        <f t="shared" si="5"/>
        <v>82140000</v>
      </c>
      <c r="P1018" s="24">
        <f t="shared" si="6"/>
        <v>64355585</v>
      </c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2.75" customHeight="1">
      <c r="A1019" s="1"/>
      <c r="B1019" s="22"/>
      <c r="C1019" s="22"/>
      <c r="D1019" s="22"/>
      <c r="E1019" s="59" t="s">
        <v>23</v>
      </c>
      <c r="F1019" s="59"/>
      <c r="G1019" s="36"/>
      <c r="H1019" s="22"/>
      <c r="I1019" s="22"/>
      <c r="J1019" s="22"/>
      <c r="K1019" s="22"/>
      <c r="L1019" s="22"/>
      <c r="M1019" s="22"/>
      <c r="N1019" s="22"/>
      <c r="O1019" s="24">
        <f t="shared" si="5"/>
        <v>0</v>
      </c>
      <c r="P1019" s="24">
        <f t="shared" si="6"/>
        <v>0</v>
      </c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2.75" customHeight="1">
      <c r="A1020" s="1"/>
      <c r="B1020" s="22"/>
      <c r="C1020" s="22"/>
      <c r="D1020" s="22"/>
      <c r="E1020" s="60" t="s">
        <v>25</v>
      </c>
      <c r="F1020" s="60"/>
      <c r="G1020" s="36">
        <v>12.0</v>
      </c>
      <c r="H1020" s="36" t="s">
        <v>26</v>
      </c>
      <c r="I1020" s="48">
        <v>500000.0</v>
      </c>
      <c r="J1020" s="46">
        <f t="shared" ref="J1020:J1026" si="397">G1020*I1020</f>
        <v>6000000</v>
      </c>
      <c r="K1020" s="46"/>
      <c r="L1020" s="46"/>
      <c r="M1020" s="53">
        <v>4975010.0</v>
      </c>
      <c r="N1020" s="46"/>
      <c r="O1020" s="24">
        <f t="shared" si="5"/>
        <v>6000000</v>
      </c>
      <c r="P1020" s="24">
        <f t="shared" si="6"/>
        <v>1024990</v>
      </c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2.75" customHeight="1">
      <c r="A1021" s="1"/>
      <c r="B1021" s="22"/>
      <c r="C1021" s="22"/>
      <c r="D1021" s="22"/>
      <c r="E1021" s="60" t="s">
        <v>27</v>
      </c>
      <c r="F1021" s="60"/>
      <c r="G1021" s="36">
        <v>2.0</v>
      </c>
      <c r="H1021" s="36" t="s">
        <v>26</v>
      </c>
      <c r="I1021" s="48">
        <v>2000000.0</v>
      </c>
      <c r="J1021" s="46">
        <f t="shared" si="397"/>
        <v>4000000</v>
      </c>
      <c r="K1021" s="46"/>
      <c r="L1021" s="46"/>
      <c r="M1021" s="46"/>
      <c r="N1021" s="46"/>
      <c r="O1021" s="24">
        <f t="shared" si="5"/>
        <v>4000000</v>
      </c>
      <c r="P1021" s="24">
        <f t="shared" si="6"/>
        <v>4000000</v>
      </c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14.25" customHeight="1">
      <c r="A1022" s="1"/>
      <c r="B1022" s="61"/>
      <c r="C1022" s="61"/>
      <c r="D1022" s="22"/>
      <c r="E1022" s="60" t="s">
        <v>28</v>
      </c>
      <c r="F1022" s="60"/>
      <c r="G1022" s="36">
        <v>10.0</v>
      </c>
      <c r="H1022" s="36" t="s">
        <v>26</v>
      </c>
      <c r="I1022" s="48">
        <v>500000.0</v>
      </c>
      <c r="J1022" s="46">
        <f t="shared" si="397"/>
        <v>5000000</v>
      </c>
      <c r="K1022" s="46"/>
      <c r="L1022" s="46"/>
      <c r="M1022" s="46"/>
      <c r="N1022" s="46"/>
      <c r="O1022" s="24">
        <f t="shared" si="5"/>
        <v>5000000</v>
      </c>
      <c r="P1022" s="24">
        <f t="shared" si="6"/>
        <v>5000000</v>
      </c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14.25" customHeight="1">
      <c r="A1023" s="1"/>
      <c r="B1023" s="61"/>
      <c r="C1023" s="61"/>
      <c r="D1023" s="22"/>
      <c r="E1023" s="60" t="s">
        <v>30</v>
      </c>
      <c r="F1023" s="60"/>
      <c r="G1023" s="36">
        <v>100.0</v>
      </c>
      <c r="H1023" s="36" t="s">
        <v>26</v>
      </c>
      <c r="I1023" s="48">
        <v>25000.0</v>
      </c>
      <c r="J1023" s="46">
        <f t="shared" si="397"/>
        <v>2500000</v>
      </c>
      <c r="K1023" s="46"/>
      <c r="L1023" s="46"/>
      <c r="M1023" s="53">
        <v>144400.0</v>
      </c>
      <c r="N1023" s="46"/>
      <c r="O1023" s="24">
        <f t="shared" si="5"/>
        <v>2500000</v>
      </c>
      <c r="P1023" s="24">
        <f t="shared" si="6"/>
        <v>2355600</v>
      </c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14.25" customHeight="1">
      <c r="A1024" s="1"/>
      <c r="B1024" s="61"/>
      <c r="C1024" s="61"/>
      <c r="D1024" s="22"/>
      <c r="E1024" s="60" t="s">
        <v>220</v>
      </c>
      <c r="F1024" s="60"/>
      <c r="G1024" s="36">
        <v>320.0</v>
      </c>
      <c r="H1024" s="36" t="s">
        <v>26</v>
      </c>
      <c r="I1024" s="48">
        <v>53000.0</v>
      </c>
      <c r="J1024" s="46">
        <f t="shared" si="397"/>
        <v>16960000</v>
      </c>
      <c r="K1024" s="46"/>
      <c r="L1024" s="46"/>
      <c r="M1024" s="46"/>
      <c r="N1024" s="46"/>
      <c r="O1024" s="24">
        <f t="shared" si="5"/>
        <v>16960000</v>
      </c>
      <c r="P1024" s="24">
        <f t="shared" si="6"/>
        <v>16960000</v>
      </c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14.25" customHeight="1">
      <c r="A1025" s="1"/>
      <c r="B1025" s="61"/>
      <c r="C1025" s="61"/>
      <c r="D1025" s="22"/>
      <c r="E1025" s="60" t="s">
        <v>221</v>
      </c>
      <c r="F1025" s="60"/>
      <c r="G1025" s="36">
        <v>320.0</v>
      </c>
      <c r="H1025" s="36" t="s">
        <v>26</v>
      </c>
      <c r="I1025" s="48">
        <v>24000.0</v>
      </c>
      <c r="J1025" s="46">
        <f t="shared" si="397"/>
        <v>7680000</v>
      </c>
      <c r="K1025" s="46"/>
      <c r="L1025" s="46"/>
      <c r="M1025" s="46"/>
      <c r="N1025" s="46"/>
      <c r="O1025" s="24">
        <f t="shared" si="5"/>
        <v>7680000</v>
      </c>
      <c r="P1025" s="24">
        <f t="shared" si="6"/>
        <v>7680000</v>
      </c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14.25" customHeight="1">
      <c r="A1026" s="1"/>
      <c r="B1026" s="61"/>
      <c r="C1026" s="61"/>
      <c r="D1026" s="22"/>
      <c r="E1026" s="60" t="s">
        <v>222</v>
      </c>
      <c r="F1026" s="60"/>
      <c r="G1026" s="36">
        <v>50.0</v>
      </c>
      <c r="H1026" s="36" t="s">
        <v>26</v>
      </c>
      <c r="I1026" s="48">
        <v>800000.0</v>
      </c>
      <c r="J1026" s="46">
        <f t="shared" si="397"/>
        <v>40000000</v>
      </c>
      <c r="K1026" s="46"/>
      <c r="L1026" s="46"/>
      <c r="M1026" s="53">
        <v>1.2665005E7</v>
      </c>
      <c r="N1026" s="46"/>
      <c r="O1026" s="24">
        <f t="shared" si="5"/>
        <v>40000000</v>
      </c>
      <c r="P1026" s="24">
        <f t="shared" si="6"/>
        <v>27334995</v>
      </c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10.5" customHeight="1">
      <c r="A1027" s="1"/>
      <c r="B1027" s="61"/>
      <c r="C1027" s="61"/>
      <c r="D1027" s="47"/>
      <c r="E1027" s="62" t="s">
        <v>34</v>
      </c>
      <c r="F1027" s="62"/>
      <c r="G1027" s="45"/>
      <c r="H1027" s="22"/>
      <c r="I1027" s="22"/>
      <c r="J1027" s="46">
        <f t="shared" ref="J1027:K1027" si="398">SUM(J1029:J1030)</f>
        <v>8000000</v>
      </c>
      <c r="K1027" s="46">
        <f t="shared" si="398"/>
        <v>0</v>
      </c>
      <c r="L1027" s="46"/>
      <c r="M1027" s="46">
        <f>SUM(M1029:M1030)</f>
        <v>500000</v>
      </c>
      <c r="N1027" s="46"/>
      <c r="O1027" s="24">
        <f t="shared" si="5"/>
        <v>8000000</v>
      </c>
      <c r="P1027" s="24">
        <f t="shared" si="6"/>
        <v>7500000</v>
      </c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10.5" customHeight="1">
      <c r="A1028" s="1"/>
      <c r="B1028" s="61"/>
      <c r="C1028" s="61"/>
      <c r="D1028" s="22"/>
      <c r="E1028" s="60" t="s">
        <v>23</v>
      </c>
      <c r="F1028" s="60"/>
      <c r="G1028" s="36"/>
      <c r="H1028" s="22"/>
      <c r="I1028" s="22"/>
      <c r="J1028" s="22"/>
      <c r="K1028" s="22"/>
      <c r="L1028" s="22"/>
      <c r="M1028" s="22"/>
      <c r="N1028" s="22"/>
      <c r="O1028" s="24">
        <f t="shared" si="5"/>
        <v>0</v>
      </c>
      <c r="P1028" s="24">
        <f t="shared" si="6"/>
        <v>0</v>
      </c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14.25" customHeight="1">
      <c r="A1029" s="1"/>
      <c r="B1029" s="61"/>
      <c r="C1029" s="61"/>
      <c r="D1029" s="22"/>
      <c r="E1029" s="60" t="s">
        <v>35</v>
      </c>
      <c r="F1029" s="60"/>
      <c r="G1029" s="36">
        <v>8.0</v>
      </c>
      <c r="H1029" s="36" t="s">
        <v>26</v>
      </c>
      <c r="I1029" s="48">
        <v>500000.0</v>
      </c>
      <c r="J1029" s="46">
        <f t="shared" ref="J1029:J1030" si="399">G1029*I1029</f>
        <v>4000000</v>
      </c>
      <c r="K1029" s="46"/>
      <c r="L1029" s="46"/>
      <c r="M1029" s="46"/>
      <c r="N1029" s="46"/>
      <c r="O1029" s="24">
        <f t="shared" si="5"/>
        <v>4000000</v>
      </c>
      <c r="P1029" s="24">
        <f t="shared" si="6"/>
        <v>4000000</v>
      </c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14.25" customHeight="1">
      <c r="A1030" s="1"/>
      <c r="B1030" s="61"/>
      <c r="C1030" s="61"/>
      <c r="D1030" s="22"/>
      <c r="E1030" s="60" t="s">
        <v>36</v>
      </c>
      <c r="F1030" s="60"/>
      <c r="G1030" s="36">
        <v>8.0</v>
      </c>
      <c r="H1030" s="36" t="s">
        <v>26</v>
      </c>
      <c r="I1030" s="48">
        <v>500000.0</v>
      </c>
      <c r="J1030" s="46">
        <f t="shared" si="399"/>
        <v>4000000</v>
      </c>
      <c r="K1030" s="46"/>
      <c r="L1030" s="46"/>
      <c r="M1030" s="53">
        <v>500000.0</v>
      </c>
      <c r="N1030" s="46"/>
      <c r="O1030" s="24">
        <f t="shared" si="5"/>
        <v>4000000</v>
      </c>
      <c r="P1030" s="24">
        <f t="shared" si="6"/>
        <v>3500000</v>
      </c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10.5" customHeight="1">
      <c r="A1031" s="1"/>
      <c r="B1031" s="61"/>
      <c r="C1031" s="61"/>
      <c r="D1031" s="56"/>
      <c r="E1031" s="63" t="s">
        <v>38</v>
      </c>
      <c r="F1031" s="63"/>
      <c r="G1031" s="42"/>
      <c r="H1031" s="22"/>
      <c r="I1031" s="22"/>
      <c r="J1031" s="43">
        <f t="shared" ref="J1031:K1031" si="400">J1032+J1037+J1040</f>
        <v>13750000</v>
      </c>
      <c r="K1031" s="43">
        <f t="shared" si="400"/>
        <v>0</v>
      </c>
      <c r="L1031" s="43"/>
      <c r="M1031" s="43">
        <f>M1032+M1037+M1040</f>
        <v>4443375</v>
      </c>
      <c r="N1031" s="43"/>
      <c r="O1031" s="24">
        <f t="shared" si="5"/>
        <v>13750000</v>
      </c>
      <c r="P1031" s="24">
        <f t="shared" si="6"/>
        <v>9306625</v>
      </c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ht="10.5" customHeight="1">
      <c r="A1032" s="1"/>
      <c r="B1032" s="61"/>
      <c r="C1032" s="61"/>
      <c r="D1032" s="47"/>
      <c r="E1032" s="62" t="s">
        <v>22</v>
      </c>
      <c r="F1032" s="62"/>
      <c r="G1032" s="45"/>
      <c r="H1032" s="22"/>
      <c r="I1032" s="22"/>
      <c r="J1032" s="46">
        <f t="shared" ref="J1032:K1032" si="401">SUM(J1034:J1036)</f>
        <v>3750000</v>
      </c>
      <c r="K1032" s="46">
        <f t="shared" si="401"/>
        <v>0</v>
      </c>
      <c r="L1032" s="46"/>
      <c r="M1032" s="46">
        <f>SUM(M1034:M1036)</f>
        <v>1190000</v>
      </c>
      <c r="N1032" s="46"/>
      <c r="O1032" s="24">
        <f t="shared" si="5"/>
        <v>3750000</v>
      </c>
      <c r="P1032" s="24">
        <f t="shared" si="6"/>
        <v>2560000</v>
      </c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ht="10.5" customHeight="1">
      <c r="A1033" s="1"/>
      <c r="B1033" s="61"/>
      <c r="C1033" s="61"/>
      <c r="D1033" s="22"/>
      <c r="E1033" s="60" t="s">
        <v>23</v>
      </c>
      <c r="F1033" s="60"/>
      <c r="G1033" s="36"/>
      <c r="H1033" s="22"/>
      <c r="I1033" s="22"/>
      <c r="J1033" s="22"/>
      <c r="K1033" s="22"/>
      <c r="L1033" s="22"/>
      <c r="M1033" s="22"/>
      <c r="N1033" s="22"/>
      <c r="O1033" s="24">
        <f t="shared" si="5"/>
        <v>0</v>
      </c>
      <c r="P1033" s="24">
        <f t="shared" si="6"/>
        <v>0</v>
      </c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ht="14.25" customHeight="1">
      <c r="A1034" s="1"/>
      <c r="B1034" s="61"/>
      <c r="C1034" s="61"/>
      <c r="D1034" s="22"/>
      <c r="E1034" s="60" t="s">
        <v>41</v>
      </c>
      <c r="F1034" s="60"/>
      <c r="G1034" s="36">
        <v>50.0</v>
      </c>
      <c r="H1034" s="36" t="s">
        <v>26</v>
      </c>
      <c r="I1034" s="48">
        <v>53000.0</v>
      </c>
      <c r="J1034" s="46">
        <f t="shared" ref="J1034:J1036" si="402">G1034*I1034</f>
        <v>2650000</v>
      </c>
      <c r="K1034" s="46"/>
      <c r="L1034" s="46"/>
      <c r="M1034" s="53">
        <v>1190000.0</v>
      </c>
      <c r="N1034" s="46"/>
      <c r="O1034" s="24">
        <f t="shared" si="5"/>
        <v>2650000</v>
      </c>
      <c r="P1034" s="24">
        <f t="shared" si="6"/>
        <v>1460000</v>
      </c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ht="14.25" customHeight="1">
      <c r="A1035" s="1"/>
      <c r="B1035" s="61"/>
      <c r="C1035" s="61"/>
      <c r="D1035" s="22"/>
      <c r="E1035" s="60" t="s">
        <v>42</v>
      </c>
      <c r="F1035" s="60"/>
      <c r="G1035" s="36">
        <v>2.0</v>
      </c>
      <c r="H1035" s="36" t="s">
        <v>26</v>
      </c>
      <c r="I1035" s="48">
        <v>250000.0</v>
      </c>
      <c r="J1035" s="46">
        <f t="shared" si="402"/>
        <v>500000</v>
      </c>
      <c r="K1035" s="46"/>
      <c r="L1035" s="46"/>
      <c r="M1035" s="46"/>
      <c r="N1035" s="46"/>
      <c r="O1035" s="24">
        <f t="shared" si="5"/>
        <v>500000</v>
      </c>
      <c r="P1035" s="24">
        <f t="shared" si="6"/>
        <v>500000</v>
      </c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ht="10.5" customHeight="1">
      <c r="A1036" s="1"/>
      <c r="B1036" s="61"/>
      <c r="C1036" s="61"/>
      <c r="D1036" s="22"/>
      <c r="E1036" s="60" t="s">
        <v>43</v>
      </c>
      <c r="F1036" s="60"/>
      <c r="G1036" s="36">
        <v>2.0</v>
      </c>
      <c r="H1036" s="36" t="s">
        <v>26</v>
      </c>
      <c r="I1036" s="48">
        <v>300000.0</v>
      </c>
      <c r="J1036" s="46">
        <f t="shared" si="402"/>
        <v>600000</v>
      </c>
      <c r="K1036" s="46"/>
      <c r="L1036" s="46"/>
      <c r="M1036" s="46"/>
      <c r="N1036" s="46"/>
      <c r="O1036" s="24">
        <f t="shared" si="5"/>
        <v>600000</v>
      </c>
      <c r="P1036" s="24">
        <f t="shared" si="6"/>
        <v>600000</v>
      </c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ht="10.5" customHeight="1">
      <c r="A1037" s="1"/>
      <c r="B1037" s="61"/>
      <c r="C1037" s="61"/>
      <c r="D1037" s="47"/>
      <c r="E1037" s="62" t="s">
        <v>45</v>
      </c>
      <c r="F1037" s="62"/>
      <c r="G1037" s="45"/>
      <c r="H1037" s="22"/>
      <c r="I1037" s="22"/>
      <c r="J1037" s="46">
        <f t="shared" ref="J1037:K1037" si="403">J1039</f>
        <v>2000000</v>
      </c>
      <c r="K1037" s="46" t="str">
        <f t="shared" si="403"/>
        <v/>
      </c>
      <c r="L1037" s="46"/>
      <c r="M1037" s="46" t="str">
        <f>M1039</f>
        <v/>
      </c>
      <c r="N1037" s="46"/>
      <c r="O1037" s="24">
        <f t="shared" si="5"/>
        <v>2000000</v>
      </c>
      <c r="P1037" s="24">
        <f t="shared" si="6"/>
        <v>2000000</v>
      </c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ht="10.5" customHeight="1">
      <c r="A1038" s="1"/>
      <c r="B1038" s="61"/>
      <c r="C1038" s="61"/>
      <c r="D1038" s="22"/>
      <c r="E1038" s="60" t="s">
        <v>23</v>
      </c>
      <c r="F1038" s="60"/>
      <c r="G1038" s="36"/>
      <c r="H1038" s="22"/>
      <c r="I1038" s="22"/>
      <c r="J1038" s="22"/>
      <c r="K1038" s="22"/>
      <c r="L1038" s="22"/>
      <c r="M1038" s="22"/>
      <c r="N1038" s="22"/>
      <c r="O1038" s="24">
        <f t="shared" si="5"/>
        <v>0</v>
      </c>
      <c r="P1038" s="24">
        <f t="shared" si="6"/>
        <v>0</v>
      </c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ht="14.25" customHeight="1">
      <c r="A1039" s="1"/>
      <c r="B1039" s="61"/>
      <c r="C1039" s="61"/>
      <c r="D1039" s="22"/>
      <c r="E1039" s="60" t="s">
        <v>161</v>
      </c>
      <c r="F1039" s="60"/>
      <c r="G1039" s="36">
        <v>4.0</v>
      </c>
      <c r="H1039" s="36" t="s">
        <v>26</v>
      </c>
      <c r="I1039" s="48">
        <v>500000.0</v>
      </c>
      <c r="J1039" s="46">
        <f>G1039*I1039</f>
        <v>2000000</v>
      </c>
      <c r="K1039" s="46"/>
      <c r="L1039" s="46"/>
      <c r="M1039" s="46"/>
      <c r="N1039" s="46"/>
      <c r="O1039" s="24">
        <f t="shared" si="5"/>
        <v>2000000</v>
      </c>
      <c r="P1039" s="24">
        <f t="shared" si="6"/>
        <v>2000000</v>
      </c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ht="10.5" customHeight="1">
      <c r="A1040" s="1"/>
      <c r="B1040" s="61"/>
      <c r="C1040" s="61"/>
      <c r="D1040" s="47"/>
      <c r="E1040" s="62" t="s">
        <v>48</v>
      </c>
      <c r="F1040" s="62"/>
      <c r="G1040" s="45"/>
      <c r="H1040" s="22"/>
      <c r="I1040" s="22"/>
      <c r="J1040" s="46">
        <f t="shared" ref="J1040:K1040" si="404">J1042</f>
        <v>8000000</v>
      </c>
      <c r="K1040" s="46" t="str">
        <f t="shared" si="404"/>
        <v/>
      </c>
      <c r="L1040" s="46"/>
      <c r="M1040" s="46">
        <f>M1042</f>
        <v>3253375</v>
      </c>
      <c r="N1040" s="46"/>
      <c r="O1040" s="24">
        <f t="shared" si="5"/>
        <v>8000000</v>
      </c>
      <c r="P1040" s="24">
        <f t="shared" si="6"/>
        <v>4746625</v>
      </c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ht="10.5" customHeight="1">
      <c r="A1041" s="1"/>
      <c r="B1041" s="61"/>
      <c r="C1041" s="61"/>
      <c r="D1041" s="22"/>
      <c r="E1041" s="60" t="s">
        <v>23</v>
      </c>
      <c r="F1041" s="60"/>
      <c r="G1041" s="36"/>
      <c r="H1041" s="22"/>
      <c r="I1041" s="22"/>
      <c r="J1041" s="22"/>
      <c r="K1041" s="22"/>
      <c r="L1041" s="22"/>
      <c r="M1041" s="22"/>
      <c r="N1041" s="22"/>
      <c r="O1041" s="24">
        <f t="shared" si="5"/>
        <v>0</v>
      </c>
      <c r="P1041" s="24">
        <f t="shared" si="6"/>
        <v>0</v>
      </c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ht="14.25" customHeight="1">
      <c r="A1042" s="1"/>
      <c r="B1042" s="61"/>
      <c r="C1042" s="61"/>
      <c r="D1042" s="22"/>
      <c r="E1042" s="60" t="s">
        <v>49</v>
      </c>
      <c r="F1042" s="60"/>
      <c r="G1042" s="36">
        <v>2.0</v>
      </c>
      <c r="H1042" s="36" t="s">
        <v>26</v>
      </c>
      <c r="I1042" s="48">
        <v>4000000.0</v>
      </c>
      <c r="J1042" s="46">
        <f>G1042*I1042</f>
        <v>8000000</v>
      </c>
      <c r="K1042" s="46"/>
      <c r="L1042" s="46"/>
      <c r="M1042" s="53">
        <v>3253375.0</v>
      </c>
      <c r="N1042" s="46"/>
      <c r="O1042" s="24">
        <f t="shared" si="5"/>
        <v>8000000</v>
      </c>
      <c r="P1042" s="24">
        <f t="shared" si="6"/>
        <v>4746625</v>
      </c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ht="10.5" customHeight="1">
      <c r="A1043" s="1"/>
      <c r="B1043" s="61"/>
      <c r="C1043" s="61"/>
      <c r="D1043" s="56"/>
      <c r="E1043" s="63" t="s">
        <v>51</v>
      </c>
      <c r="F1043" s="63"/>
      <c r="G1043" s="42"/>
      <c r="H1043" s="22"/>
      <c r="I1043" s="22"/>
      <c r="J1043" s="43">
        <f t="shared" ref="J1043:K1043" si="405">J1044+J1050+J1053</f>
        <v>30400000</v>
      </c>
      <c r="K1043" s="43">
        <f t="shared" si="405"/>
        <v>0</v>
      </c>
      <c r="L1043" s="43"/>
      <c r="M1043" s="43">
        <f>M1044+M1050+M1053</f>
        <v>4913375</v>
      </c>
      <c r="N1043" s="43"/>
      <c r="O1043" s="24">
        <f t="shared" si="5"/>
        <v>30400000</v>
      </c>
      <c r="P1043" s="24">
        <f t="shared" si="6"/>
        <v>25486625</v>
      </c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ht="10.5" customHeight="1">
      <c r="A1044" s="1"/>
      <c r="B1044" s="61"/>
      <c r="C1044" s="61"/>
      <c r="D1044" s="47"/>
      <c r="E1044" s="62" t="s">
        <v>22</v>
      </c>
      <c r="F1044" s="62"/>
      <c r="G1044" s="45"/>
      <c r="H1044" s="22"/>
      <c r="I1044" s="22"/>
      <c r="J1044" s="46">
        <f t="shared" ref="J1044:K1044" si="406">SUM(J1046:J1049)</f>
        <v>20400000</v>
      </c>
      <c r="K1044" s="46">
        <f t="shared" si="406"/>
        <v>0</v>
      </c>
      <c r="L1044" s="46"/>
      <c r="M1044" s="46">
        <f>SUM(M1046:M1049)</f>
        <v>1660000</v>
      </c>
      <c r="N1044" s="46"/>
      <c r="O1044" s="24">
        <f t="shared" si="5"/>
        <v>20400000</v>
      </c>
      <c r="P1044" s="24">
        <f t="shared" si="6"/>
        <v>18740000</v>
      </c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ht="10.5" customHeight="1">
      <c r="A1045" s="1"/>
      <c r="B1045" s="61"/>
      <c r="C1045" s="61"/>
      <c r="D1045" s="22"/>
      <c r="E1045" s="60" t="s">
        <v>23</v>
      </c>
      <c r="F1045" s="60"/>
      <c r="G1045" s="36"/>
      <c r="H1045" s="22"/>
      <c r="I1045" s="22"/>
      <c r="J1045" s="22"/>
      <c r="K1045" s="22"/>
      <c r="L1045" s="22"/>
      <c r="M1045" s="22"/>
      <c r="N1045" s="22"/>
      <c r="O1045" s="24">
        <f t="shared" si="5"/>
        <v>0</v>
      </c>
      <c r="P1045" s="24">
        <f t="shared" si="6"/>
        <v>0</v>
      </c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ht="14.25" customHeight="1">
      <c r="A1046" s="1"/>
      <c r="B1046" s="61"/>
      <c r="C1046" s="61"/>
      <c r="D1046" s="22"/>
      <c r="E1046" s="60" t="s">
        <v>52</v>
      </c>
      <c r="F1046" s="60"/>
      <c r="G1046" s="36">
        <v>50.0</v>
      </c>
      <c r="H1046" s="36" t="s">
        <v>26</v>
      </c>
      <c r="I1046" s="48">
        <v>53000.0</v>
      </c>
      <c r="J1046" s="46">
        <f t="shared" ref="J1046:J1049" si="407">G1046*I1046</f>
        <v>2650000</v>
      </c>
      <c r="K1046" s="46"/>
      <c r="L1046" s="46"/>
      <c r="M1046" s="46"/>
      <c r="N1046" s="46"/>
      <c r="O1046" s="24">
        <f t="shared" si="5"/>
        <v>2650000</v>
      </c>
      <c r="P1046" s="24">
        <f t="shared" si="6"/>
        <v>2650000</v>
      </c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ht="14.25" customHeight="1">
      <c r="A1047" s="1"/>
      <c r="B1047" s="61"/>
      <c r="C1047" s="61"/>
      <c r="D1047" s="22"/>
      <c r="E1047" s="60" t="s">
        <v>53</v>
      </c>
      <c r="F1047" s="60"/>
      <c r="G1047" s="36">
        <v>5.0</v>
      </c>
      <c r="H1047" s="36" t="s">
        <v>26</v>
      </c>
      <c r="I1047" s="48">
        <v>500000.0</v>
      </c>
      <c r="J1047" s="46">
        <f t="shared" si="407"/>
        <v>2500000</v>
      </c>
      <c r="K1047" s="46"/>
      <c r="L1047" s="46"/>
      <c r="M1047" s="46"/>
      <c r="N1047" s="46"/>
      <c r="O1047" s="24">
        <f t="shared" si="5"/>
        <v>2500000</v>
      </c>
      <c r="P1047" s="24">
        <f t="shared" si="6"/>
        <v>2500000</v>
      </c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ht="14.25" customHeight="1">
      <c r="A1048" s="1"/>
      <c r="B1048" s="61"/>
      <c r="C1048" s="61"/>
      <c r="D1048" s="22"/>
      <c r="E1048" s="60" t="s">
        <v>54</v>
      </c>
      <c r="F1048" s="60"/>
      <c r="G1048" s="36">
        <v>1.0</v>
      </c>
      <c r="H1048" s="36" t="s">
        <v>55</v>
      </c>
      <c r="I1048" s="48">
        <v>250000.0</v>
      </c>
      <c r="J1048" s="46">
        <f t="shared" si="407"/>
        <v>250000</v>
      </c>
      <c r="K1048" s="46"/>
      <c r="L1048" s="46"/>
      <c r="M1048" s="46"/>
      <c r="N1048" s="46"/>
      <c r="O1048" s="24">
        <f t="shared" si="5"/>
        <v>250000</v>
      </c>
      <c r="P1048" s="24">
        <f t="shared" si="6"/>
        <v>250000</v>
      </c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ht="14.25" customHeight="1">
      <c r="A1049" s="1"/>
      <c r="B1049" s="61"/>
      <c r="C1049" s="61"/>
      <c r="D1049" s="22"/>
      <c r="E1049" s="60" t="s">
        <v>56</v>
      </c>
      <c r="F1049" s="60"/>
      <c r="G1049" s="36">
        <v>50.0</v>
      </c>
      <c r="H1049" s="36" t="s">
        <v>26</v>
      </c>
      <c r="I1049" s="48">
        <v>300000.0</v>
      </c>
      <c r="J1049" s="46">
        <f t="shared" si="407"/>
        <v>15000000</v>
      </c>
      <c r="K1049" s="46"/>
      <c r="L1049" s="46"/>
      <c r="M1049" s="53">
        <v>1660000.0</v>
      </c>
      <c r="N1049" s="46"/>
      <c r="O1049" s="24">
        <f t="shared" si="5"/>
        <v>15000000</v>
      </c>
      <c r="P1049" s="24">
        <f t="shared" si="6"/>
        <v>13340000</v>
      </c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ht="10.5" customHeight="1">
      <c r="A1050" s="1"/>
      <c r="B1050" s="61"/>
      <c r="C1050" s="61"/>
      <c r="D1050" s="47"/>
      <c r="E1050" s="62" t="s">
        <v>48</v>
      </c>
      <c r="F1050" s="62"/>
      <c r="G1050" s="45"/>
      <c r="H1050" s="22"/>
      <c r="I1050" s="22"/>
      <c r="J1050" s="46">
        <f t="shared" ref="J1050:K1050" si="408">J1052</f>
        <v>8000000</v>
      </c>
      <c r="K1050" s="46" t="str">
        <f t="shared" si="408"/>
        <v/>
      </c>
      <c r="L1050" s="46"/>
      <c r="M1050" s="46">
        <f>M1052</f>
        <v>3253375</v>
      </c>
      <c r="N1050" s="46"/>
      <c r="O1050" s="24">
        <f t="shared" si="5"/>
        <v>8000000</v>
      </c>
      <c r="P1050" s="24">
        <f t="shared" si="6"/>
        <v>4746625</v>
      </c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ht="10.5" customHeight="1">
      <c r="A1051" s="1"/>
      <c r="B1051" s="61"/>
      <c r="C1051" s="61"/>
      <c r="D1051" s="22"/>
      <c r="E1051" s="60" t="s">
        <v>23</v>
      </c>
      <c r="F1051" s="60"/>
      <c r="G1051" s="36"/>
      <c r="H1051" s="22"/>
      <c r="I1051" s="22"/>
      <c r="J1051" s="22"/>
      <c r="K1051" s="22"/>
      <c r="L1051" s="22"/>
      <c r="M1051" s="22"/>
      <c r="N1051" s="22"/>
      <c r="O1051" s="24">
        <f t="shared" si="5"/>
        <v>0</v>
      </c>
      <c r="P1051" s="24">
        <f t="shared" si="6"/>
        <v>0</v>
      </c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ht="14.25" customHeight="1">
      <c r="A1052" s="1"/>
      <c r="B1052" s="61"/>
      <c r="C1052" s="61"/>
      <c r="D1052" s="22"/>
      <c r="E1052" s="60" t="s">
        <v>57</v>
      </c>
      <c r="F1052" s="60"/>
      <c r="G1052" s="36">
        <v>2.0</v>
      </c>
      <c r="H1052" s="36" t="s">
        <v>26</v>
      </c>
      <c r="I1052" s="48">
        <v>4000000.0</v>
      </c>
      <c r="J1052" s="46">
        <f>G1052*I1052</f>
        <v>8000000</v>
      </c>
      <c r="K1052" s="46"/>
      <c r="L1052" s="46"/>
      <c r="M1052" s="53">
        <v>3253375.0</v>
      </c>
      <c r="N1052" s="46"/>
      <c r="O1052" s="24">
        <f t="shared" si="5"/>
        <v>8000000</v>
      </c>
      <c r="P1052" s="24">
        <f t="shared" si="6"/>
        <v>4746625</v>
      </c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ht="10.5" customHeight="1">
      <c r="A1053" s="1"/>
      <c r="B1053" s="61"/>
      <c r="C1053" s="61"/>
      <c r="D1053" s="47"/>
      <c r="E1053" s="62" t="s">
        <v>34</v>
      </c>
      <c r="F1053" s="62"/>
      <c r="G1053" s="45"/>
      <c r="H1053" s="22"/>
      <c r="I1053" s="22"/>
      <c r="J1053" s="46">
        <f t="shared" ref="J1053:K1053" si="409">J1055</f>
        <v>2000000</v>
      </c>
      <c r="K1053" s="46" t="str">
        <f t="shared" si="409"/>
        <v/>
      </c>
      <c r="L1053" s="46"/>
      <c r="M1053" s="46" t="str">
        <f>M1055</f>
        <v/>
      </c>
      <c r="N1053" s="46"/>
      <c r="O1053" s="24">
        <f t="shared" si="5"/>
        <v>2000000</v>
      </c>
      <c r="P1053" s="24">
        <f t="shared" si="6"/>
        <v>2000000</v>
      </c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ht="10.5" customHeight="1">
      <c r="A1054" s="1"/>
      <c r="B1054" s="61"/>
      <c r="C1054" s="61"/>
      <c r="D1054" s="22"/>
      <c r="E1054" s="60" t="s">
        <v>23</v>
      </c>
      <c r="F1054" s="60"/>
      <c r="G1054" s="36"/>
      <c r="H1054" s="22"/>
      <c r="I1054" s="22"/>
      <c r="J1054" s="22"/>
      <c r="K1054" s="22"/>
      <c r="L1054" s="22"/>
      <c r="M1054" s="22"/>
      <c r="N1054" s="22"/>
      <c r="O1054" s="24">
        <f t="shared" si="5"/>
        <v>0</v>
      </c>
      <c r="P1054" s="24">
        <f t="shared" si="6"/>
        <v>0</v>
      </c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ht="14.25" customHeight="1">
      <c r="A1055" s="1"/>
      <c r="B1055" s="61"/>
      <c r="C1055" s="61"/>
      <c r="D1055" s="22"/>
      <c r="E1055" s="60" t="s">
        <v>59</v>
      </c>
      <c r="F1055" s="60"/>
      <c r="G1055" s="36">
        <v>4.0</v>
      </c>
      <c r="H1055" s="36" t="s">
        <v>26</v>
      </c>
      <c r="I1055" s="48">
        <v>500000.0</v>
      </c>
      <c r="J1055" s="46">
        <f>G1055*I1055</f>
        <v>2000000</v>
      </c>
      <c r="K1055" s="46"/>
      <c r="L1055" s="46"/>
      <c r="M1055" s="46"/>
      <c r="N1055" s="46"/>
      <c r="O1055" s="24">
        <f t="shared" si="5"/>
        <v>2000000</v>
      </c>
      <c r="P1055" s="24">
        <f t="shared" si="6"/>
        <v>2000000</v>
      </c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ht="14.25" customHeight="1">
      <c r="A1056" s="1"/>
      <c r="B1056" s="61"/>
      <c r="C1056" s="61"/>
      <c r="D1056" s="56"/>
      <c r="E1056" s="63" t="s">
        <v>61</v>
      </c>
      <c r="F1056" s="63"/>
      <c r="G1056" s="42"/>
      <c r="H1056" s="22"/>
      <c r="I1056" s="22"/>
      <c r="J1056" s="43">
        <f t="shared" ref="J1056:K1056" si="410">J1057+J1060+J1064+J1067+J1070</f>
        <v>186900000</v>
      </c>
      <c r="K1056" s="43">
        <f t="shared" si="410"/>
        <v>0</v>
      </c>
      <c r="L1056" s="43"/>
      <c r="M1056" s="43">
        <v>6475000.0</v>
      </c>
      <c r="N1056" s="43"/>
      <c r="O1056" s="24">
        <f t="shared" si="5"/>
        <v>186900000</v>
      </c>
      <c r="P1056" s="24">
        <f t="shared" si="6"/>
        <v>180425000</v>
      </c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ht="10.5" customHeight="1">
      <c r="A1057" s="1"/>
      <c r="B1057" s="61"/>
      <c r="C1057" s="61"/>
      <c r="D1057" s="47"/>
      <c r="E1057" s="62" t="s">
        <v>22</v>
      </c>
      <c r="F1057" s="62"/>
      <c r="G1057" s="45"/>
      <c r="H1057" s="22"/>
      <c r="I1057" s="22"/>
      <c r="J1057" s="46">
        <f t="shared" ref="J1057:K1057" si="411">J1059</f>
        <v>15900000</v>
      </c>
      <c r="K1057" s="46" t="str">
        <f t="shared" si="411"/>
        <v/>
      </c>
      <c r="L1057" s="46"/>
      <c r="M1057" s="46" t="str">
        <f>M1059</f>
        <v/>
      </c>
      <c r="N1057" s="46"/>
      <c r="O1057" s="24">
        <f t="shared" si="5"/>
        <v>15900000</v>
      </c>
      <c r="P1057" s="24">
        <f t="shared" si="6"/>
        <v>15900000</v>
      </c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ht="10.5" customHeight="1">
      <c r="A1058" s="1"/>
      <c r="B1058" s="61"/>
      <c r="C1058" s="61"/>
      <c r="D1058" s="22"/>
      <c r="E1058" s="60" t="s">
        <v>23</v>
      </c>
      <c r="F1058" s="60"/>
      <c r="G1058" s="36"/>
      <c r="H1058" s="22"/>
      <c r="I1058" s="22"/>
      <c r="J1058" s="22"/>
      <c r="K1058" s="22"/>
      <c r="L1058" s="22"/>
      <c r="M1058" s="22"/>
      <c r="N1058" s="22"/>
      <c r="O1058" s="24">
        <f t="shared" si="5"/>
        <v>0</v>
      </c>
      <c r="P1058" s="24">
        <f t="shared" si="6"/>
        <v>0</v>
      </c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ht="14.25" customHeight="1">
      <c r="A1059" s="1"/>
      <c r="B1059" s="61"/>
      <c r="C1059" s="61"/>
      <c r="D1059" s="22"/>
      <c r="E1059" s="60" t="s">
        <v>62</v>
      </c>
      <c r="F1059" s="60"/>
      <c r="G1059" s="36">
        <v>300.0</v>
      </c>
      <c r="H1059" s="36" t="s">
        <v>26</v>
      </c>
      <c r="I1059" s="48">
        <v>53000.0</v>
      </c>
      <c r="J1059" s="46">
        <f>G1059*I1059</f>
        <v>15900000</v>
      </c>
      <c r="K1059" s="46"/>
      <c r="L1059" s="46"/>
      <c r="M1059" s="46"/>
      <c r="N1059" s="46"/>
      <c r="O1059" s="24">
        <f t="shared" si="5"/>
        <v>15900000</v>
      </c>
      <c r="P1059" s="24">
        <f t="shared" si="6"/>
        <v>15900000</v>
      </c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ht="14.25" customHeight="1">
      <c r="A1060" s="1"/>
      <c r="B1060" s="61"/>
      <c r="C1060" s="61"/>
      <c r="D1060" s="47"/>
      <c r="E1060" s="62" t="s">
        <v>64</v>
      </c>
      <c r="F1060" s="62"/>
      <c r="G1060" s="45"/>
      <c r="H1060" s="22"/>
      <c r="I1060" s="22"/>
      <c r="J1060" s="46">
        <f t="shared" ref="J1060:K1060" si="412">SUM(J1062:J1063)</f>
        <v>105000000</v>
      </c>
      <c r="K1060" s="46">
        <f t="shared" si="412"/>
        <v>0</v>
      </c>
      <c r="L1060" s="46"/>
      <c r="M1060" s="46">
        <f>SUM(M1062:M1063)</f>
        <v>28085000</v>
      </c>
      <c r="N1060" s="46"/>
      <c r="O1060" s="24">
        <f t="shared" si="5"/>
        <v>105000000</v>
      </c>
      <c r="P1060" s="24">
        <f t="shared" si="6"/>
        <v>76915000</v>
      </c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ht="10.5" customHeight="1">
      <c r="A1061" s="1"/>
      <c r="B1061" s="61"/>
      <c r="C1061" s="61"/>
      <c r="D1061" s="22"/>
      <c r="E1061" s="60" t="s">
        <v>23</v>
      </c>
      <c r="F1061" s="60"/>
      <c r="G1061" s="36"/>
      <c r="H1061" s="22"/>
      <c r="I1061" s="22"/>
      <c r="J1061" s="22"/>
      <c r="K1061" s="22"/>
      <c r="L1061" s="22"/>
      <c r="M1061" s="22"/>
      <c r="N1061" s="22"/>
      <c r="O1061" s="24">
        <f t="shared" si="5"/>
        <v>0</v>
      </c>
      <c r="P1061" s="24">
        <f t="shared" si="6"/>
        <v>0</v>
      </c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ht="14.25" customHeight="1">
      <c r="A1062" s="1"/>
      <c r="B1062" s="61"/>
      <c r="C1062" s="61"/>
      <c r="D1062" s="22"/>
      <c r="E1062" s="60" t="s">
        <v>65</v>
      </c>
      <c r="F1062" s="60"/>
      <c r="G1062" s="36">
        <v>1.0</v>
      </c>
      <c r="H1062" s="36" t="s">
        <v>66</v>
      </c>
      <c r="I1062" s="48">
        <v>9.5E7</v>
      </c>
      <c r="J1062" s="46">
        <f t="shared" ref="J1062:J1063" si="413">G1062*I1062</f>
        <v>95000000</v>
      </c>
      <c r="K1062" s="46"/>
      <c r="L1062" s="46"/>
      <c r="M1062" s="53">
        <v>2.1255E7</v>
      </c>
      <c r="N1062" s="46"/>
      <c r="O1062" s="24">
        <f t="shared" si="5"/>
        <v>95000000</v>
      </c>
      <c r="P1062" s="24">
        <f t="shared" si="6"/>
        <v>73745000</v>
      </c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ht="14.25" customHeight="1">
      <c r="A1063" s="1"/>
      <c r="B1063" s="61"/>
      <c r="C1063" s="61"/>
      <c r="D1063" s="22"/>
      <c r="E1063" s="60" t="s">
        <v>67</v>
      </c>
      <c r="F1063" s="60"/>
      <c r="G1063" s="36">
        <v>50.0</v>
      </c>
      <c r="H1063" s="36" t="s">
        <v>26</v>
      </c>
      <c r="I1063" s="48">
        <v>200000.0</v>
      </c>
      <c r="J1063" s="46">
        <f t="shared" si="413"/>
        <v>10000000</v>
      </c>
      <c r="K1063" s="46"/>
      <c r="L1063" s="46"/>
      <c r="M1063" s="53">
        <v>6830000.0</v>
      </c>
      <c r="N1063" s="46"/>
      <c r="O1063" s="24">
        <f t="shared" si="5"/>
        <v>10000000</v>
      </c>
      <c r="P1063" s="24">
        <f t="shared" si="6"/>
        <v>3170000</v>
      </c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ht="14.25" customHeight="1">
      <c r="A1064" s="1"/>
      <c r="B1064" s="61"/>
      <c r="C1064" s="61"/>
      <c r="D1064" s="47"/>
      <c r="E1064" s="62" t="s">
        <v>69</v>
      </c>
      <c r="F1064" s="62"/>
      <c r="G1064" s="45"/>
      <c r="H1064" s="22"/>
      <c r="I1064" s="22"/>
      <c r="J1064" s="46">
        <f t="shared" ref="J1064:K1064" si="414">J1066</f>
        <v>10000000</v>
      </c>
      <c r="K1064" s="46" t="str">
        <f t="shared" si="414"/>
        <v/>
      </c>
      <c r="L1064" s="46"/>
      <c r="M1064" s="46" t="str">
        <f>M1066</f>
        <v/>
      </c>
      <c r="N1064" s="46"/>
      <c r="O1064" s="24">
        <f t="shared" si="5"/>
        <v>10000000</v>
      </c>
      <c r="P1064" s="24">
        <f t="shared" si="6"/>
        <v>10000000</v>
      </c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ht="10.5" customHeight="1">
      <c r="A1065" s="1"/>
      <c r="B1065" s="61"/>
      <c r="C1065" s="61"/>
      <c r="D1065" s="22"/>
      <c r="E1065" s="60" t="s">
        <v>23</v>
      </c>
      <c r="F1065" s="60"/>
      <c r="G1065" s="36"/>
      <c r="H1065" s="22"/>
      <c r="I1065" s="22"/>
      <c r="J1065" s="22"/>
      <c r="K1065" s="22"/>
      <c r="L1065" s="22"/>
      <c r="M1065" s="22"/>
      <c r="N1065" s="22"/>
      <c r="O1065" s="24">
        <f t="shared" si="5"/>
        <v>0</v>
      </c>
      <c r="P1065" s="24">
        <f t="shared" si="6"/>
        <v>0</v>
      </c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ht="14.25" customHeight="1">
      <c r="A1066" s="1"/>
      <c r="B1066" s="61"/>
      <c r="C1066" s="61"/>
      <c r="D1066" s="22"/>
      <c r="E1066" s="60" t="s">
        <v>70</v>
      </c>
      <c r="F1066" s="60"/>
      <c r="G1066" s="36">
        <v>20.0</v>
      </c>
      <c r="H1066" s="36" t="s">
        <v>26</v>
      </c>
      <c r="I1066" s="48">
        <v>500000.0</v>
      </c>
      <c r="J1066" s="46">
        <f>G1066*I1066</f>
        <v>10000000</v>
      </c>
      <c r="K1066" s="46"/>
      <c r="L1066" s="46"/>
      <c r="M1066" s="46"/>
      <c r="N1066" s="46"/>
      <c r="O1066" s="24">
        <f t="shared" si="5"/>
        <v>10000000</v>
      </c>
      <c r="P1066" s="24">
        <f t="shared" si="6"/>
        <v>10000000</v>
      </c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ht="10.5" customHeight="1">
      <c r="A1067" s="1"/>
      <c r="B1067" s="61"/>
      <c r="C1067" s="61"/>
      <c r="D1067" s="47"/>
      <c r="E1067" s="62" t="s">
        <v>48</v>
      </c>
      <c r="F1067" s="62"/>
      <c r="G1067" s="45"/>
      <c r="H1067" s="22"/>
      <c r="I1067" s="22"/>
      <c r="J1067" s="46">
        <f t="shared" ref="J1067:K1067" si="415">J1069</f>
        <v>8000000</v>
      </c>
      <c r="K1067" s="46" t="str">
        <f t="shared" si="415"/>
        <v/>
      </c>
      <c r="L1067" s="46"/>
      <c r="M1067" s="46" t="str">
        <f>M1069</f>
        <v/>
      </c>
      <c r="N1067" s="46"/>
      <c r="O1067" s="24">
        <f t="shared" si="5"/>
        <v>8000000</v>
      </c>
      <c r="P1067" s="24">
        <f t="shared" si="6"/>
        <v>8000000</v>
      </c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ht="10.5" customHeight="1">
      <c r="A1068" s="1"/>
      <c r="B1068" s="61"/>
      <c r="C1068" s="61"/>
      <c r="D1068" s="22"/>
      <c r="E1068" s="60" t="s">
        <v>23</v>
      </c>
      <c r="F1068" s="60"/>
      <c r="G1068" s="36"/>
      <c r="H1068" s="22"/>
      <c r="I1068" s="22"/>
      <c r="J1068" s="22"/>
      <c r="K1068" s="22"/>
      <c r="L1068" s="22"/>
      <c r="M1068" s="22"/>
      <c r="N1068" s="22"/>
      <c r="O1068" s="24">
        <f t="shared" si="5"/>
        <v>0</v>
      </c>
      <c r="P1068" s="24">
        <f t="shared" si="6"/>
        <v>0</v>
      </c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ht="14.25" customHeight="1">
      <c r="A1069" s="1"/>
      <c r="B1069" s="61"/>
      <c r="C1069" s="61"/>
      <c r="D1069" s="22"/>
      <c r="E1069" s="60" t="s">
        <v>57</v>
      </c>
      <c r="F1069" s="60"/>
      <c r="G1069" s="36">
        <v>2.0</v>
      </c>
      <c r="H1069" s="36" t="s">
        <v>26</v>
      </c>
      <c r="I1069" s="48">
        <v>4000000.0</v>
      </c>
      <c r="J1069" s="46">
        <f>G1069*I1069</f>
        <v>8000000</v>
      </c>
      <c r="K1069" s="46"/>
      <c r="L1069" s="46"/>
      <c r="M1069" s="46"/>
      <c r="N1069" s="46"/>
      <c r="O1069" s="24">
        <f t="shared" si="5"/>
        <v>8000000</v>
      </c>
      <c r="P1069" s="24">
        <f t="shared" si="6"/>
        <v>8000000</v>
      </c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ht="10.5" customHeight="1">
      <c r="A1070" s="1"/>
      <c r="B1070" s="61"/>
      <c r="C1070" s="61"/>
      <c r="D1070" s="47"/>
      <c r="E1070" s="62" t="s">
        <v>34</v>
      </c>
      <c r="F1070" s="62"/>
      <c r="G1070" s="45"/>
      <c r="H1070" s="22"/>
      <c r="I1070" s="22"/>
      <c r="J1070" s="46">
        <f t="shared" ref="J1070:K1070" si="416">J1072</f>
        <v>48000000</v>
      </c>
      <c r="K1070" s="46" t="str">
        <f t="shared" si="416"/>
        <v/>
      </c>
      <c r="L1070" s="46"/>
      <c r="M1070" s="46">
        <f>M1072</f>
        <v>39600000</v>
      </c>
      <c r="N1070" s="46"/>
      <c r="O1070" s="24">
        <f t="shared" si="5"/>
        <v>48000000</v>
      </c>
      <c r="P1070" s="24">
        <f t="shared" si="6"/>
        <v>8400000</v>
      </c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ht="10.5" customHeight="1">
      <c r="A1071" s="1"/>
      <c r="B1071" s="61"/>
      <c r="C1071" s="61"/>
      <c r="D1071" s="22"/>
      <c r="E1071" s="60" t="s">
        <v>23</v>
      </c>
      <c r="F1071" s="60"/>
      <c r="G1071" s="36"/>
      <c r="H1071" s="22"/>
      <c r="I1071" s="22"/>
      <c r="J1071" s="22"/>
      <c r="K1071" s="22"/>
      <c r="L1071" s="22"/>
      <c r="M1071" s="22"/>
      <c r="N1071" s="22"/>
      <c r="O1071" s="24">
        <f t="shared" si="5"/>
        <v>0</v>
      </c>
      <c r="P1071" s="24">
        <f t="shared" si="6"/>
        <v>0</v>
      </c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ht="14.25" customHeight="1">
      <c r="A1072" s="1"/>
      <c r="B1072" s="61"/>
      <c r="C1072" s="61"/>
      <c r="D1072" s="22"/>
      <c r="E1072" s="60" t="s">
        <v>71</v>
      </c>
      <c r="F1072" s="60"/>
      <c r="G1072" s="36">
        <v>96.0</v>
      </c>
      <c r="H1072" s="36" t="s">
        <v>26</v>
      </c>
      <c r="I1072" s="48">
        <v>500000.0</v>
      </c>
      <c r="J1072" s="46">
        <f>G1072*I1072</f>
        <v>48000000</v>
      </c>
      <c r="K1072" s="46"/>
      <c r="L1072" s="46"/>
      <c r="M1072" s="46">
        <f>2400000+37200000</f>
        <v>39600000</v>
      </c>
      <c r="N1072" s="46"/>
      <c r="O1072" s="24">
        <f t="shared" si="5"/>
        <v>48000000</v>
      </c>
      <c r="P1072" s="24">
        <f t="shared" si="6"/>
        <v>8400000</v>
      </c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ht="14.25" customHeight="1">
      <c r="A1073" s="1"/>
      <c r="B1073" s="61"/>
      <c r="C1073" s="61"/>
      <c r="D1073" s="56"/>
      <c r="E1073" s="63" t="s">
        <v>73</v>
      </c>
      <c r="F1073" s="63"/>
      <c r="G1073" s="42"/>
      <c r="H1073" s="22"/>
      <c r="I1073" s="22"/>
      <c r="J1073" s="43">
        <f t="shared" ref="J1073:K1073" si="417">J1074+J1079</f>
        <v>151200000</v>
      </c>
      <c r="K1073" s="43">
        <f t="shared" si="417"/>
        <v>72784000</v>
      </c>
      <c r="L1073" s="43"/>
      <c r="M1073" s="43">
        <f>M1074+M1079</f>
        <v>0</v>
      </c>
      <c r="N1073" s="43"/>
      <c r="O1073" s="24">
        <f t="shared" si="5"/>
        <v>78416000</v>
      </c>
      <c r="P1073" s="24">
        <f t="shared" si="6"/>
        <v>151200000</v>
      </c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ht="14.25" customHeight="1">
      <c r="A1074" s="1"/>
      <c r="B1074" s="61"/>
      <c r="C1074" s="61"/>
      <c r="D1074" s="47"/>
      <c r="E1074" s="62" t="s">
        <v>75</v>
      </c>
      <c r="F1074" s="62"/>
      <c r="G1074" s="45"/>
      <c r="H1074" s="22"/>
      <c r="I1074" s="22"/>
      <c r="J1074" s="46">
        <f t="shared" ref="J1074:K1074" si="418">SUM(J1076:J1078)</f>
        <v>142700000</v>
      </c>
      <c r="K1074" s="46">
        <f t="shared" si="418"/>
        <v>72784000</v>
      </c>
      <c r="L1074" s="46"/>
      <c r="M1074" s="46">
        <f>SUM(M1076:M1078)</f>
        <v>0</v>
      </c>
      <c r="N1074" s="46"/>
      <c r="O1074" s="24">
        <f t="shared" si="5"/>
        <v>69916000</v>
      </c>
      <c r="P1074" s="24">
        <f t="shared" si="6"/>
        <v>142700000</v>
      </c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ht="10.5" customHeight="1">
      <c r="A1075" s="1"/>
      <c r="B1075" s="61"/>
      <c r="C1075" s="61"/>
      <c r="D1075" s="22"/>
      <c r="E1075" s="60" t="s">
        <v>23</v>
      </c>
      <c r="F1075" s="60"/>
      <c r="G1075" s="36"/>
      <c r="H1075" s="22"/>
      <c r="I1075" s="22"/>
      <c r="J1075" s="22"/>
      <c r="K1075" s="22"/>
      <c r="L1075" s="22"/>
      <c r="M1075" s="22"/>
      <c r="N1075" s="22"/>
      <c r="O1075" s="24">
        <f t="shared" si="5"/>
        <v>0</v>
      </c>
      <c r="P1075" s="24">
        <f t="shared" si="6"/>
        <v>0</v>
      </c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ht="14.25" customHeight="1">
      <c r="A1076" s="1"/>
      <c r="B1076" s="61"/>
      <c r="C1076" s="61"/>
      <c r="D1076" s="22"/>
      <c r="E1076" s="60" t="s">
        <v>76</v>
      </c>
      <c r="F1076" s="60"/>
      <c r="G1076" s="36">
        <v>20.0</v>
      </c>
      <c r="H1076" s="36" t="s">
        <v>26</v>
      </c>
      <c r="I1076" s="48">
        <v>5000000.0</v>
      </c>
      <c r="J1076" s="46">
        <f t="shared" ref="J1076:J1078" si="419">G1076*I1076</f>
        <v>100000000</v>
      </c>
      <c r="K1076" s="46">
        <v>4.663E7</v>
      </c>
      <c r="L1076" s="46"/>
      <c r="M1076" s="46"/>
      <c r="N1076" s="46"/>
      <c r="O1076" s="24">
        <f t="shared" si="5"/>
        <v>53370000</v>
      </c>
      <c r="P1076" s="24">
        <f t="shared" si="6"/>
        <v>100000000</v>
      </c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ht="14.25" customHeight="1">
      <c r="A1077" s="1"/>
      <c r="B1077" s="61"/>
      <c r="C1077" s="61"/>
      <c r="D1077" s="22"/>
      <c r="E1077" s="60" t="s">
        <v>77</v>
      </c>
      <c r="F1077" s="60"/>
      <c r="G1077" s="36">
        <v>30.0</v>
      </c>
      <c r="H1077" s="36" t="s">
        <v>26</v>
      </c>
      <c r="I1077" s="48">
        <v>850000.0</v>
      </c>
      <c r="J1077" s="46">
        <f t="shared" si="419"/>
        <v>25500000</v>
      </c>
      <c r="K1077" s="46">
        <v>1.46E7</v>
      </c>
      <c r="L1077" s="46"/>
      <c r="M1077" s="46"/>
      <c r="N1077" s="46"/>
      <c r="O1077" s="24">
        <f t="shared" si="5"/>
        <v>10900000</v>
      </c>
      <c r="P1077" s="24">
        <f t="shared" si="6"/>
        <v>25500000</v>
      </c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ht="14.25" customHeight="1">
      <c r="A1078" s="1"/>
      <c r="B1078" s="61"/>
      <c r="C1078" s="61"/>
      <c r="D1078" s="22"/>
      <c r="E1078" s="60" t="s">
        <v>78</v>
      </c>
      <c r="F1078" s="60"/>
      <c r="G1078" s="36">
        <v>40.0</v>
      </c>
      <c r="H1078" s="36" t="s">
        <v>26</v>
      </c>
      <c r="I1078" s="48">
        <v>430000.0</v>
      </c>
      <c r="J1078" s="46">
        <f t="shared" si="419"/>
        <v>17200000</v>
      </c>
      <c r="K1078" s="46">
        <v>1.1554E7</v>
      </c>
      <c r="L1078" s="46"/>
      <c r="M1078" s="46"/>
      <c r="N1078" s="46"/>
      <c r="O1078" s="24">
        <f t="shared" si="5"/>
        <v>5646000</v>
      </c>
      <c r="P1078" s="24">
        <f t="shared" si="6"/>
        <v>17200000</v>
      </c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ht="14.25" customHeight="1">
      <c r="A1079" s="1"/>
      <c r="B1079" s="61"/>
      <c r="C1079" s="61"/>
      <c r="D1079" s="47"/>
      <c r="E1079" s="62" t="s">
        <v>80</v>
      </c>
      <c r="F1079" s="62"/>
      <c r="G1079" s="45"/>
      <c r="H1079" s="22"/>
      <c r="I1079" s="22"/>
      <c r="J1079" s="46">
        <f t="shared" ref="J1079:K1079" si="420">J1081</f>
        <v>8500000</v>
      </c>
      <c r="K1079" s="46" t="str">
        <f t="shared" si="420"/>
        <v/>
      </c>
      <c r="L1079" s="46"/>
      <c r="M1079" s="46" t="str">
        <f>M1081</f>
        <v/>
      </c>
      <c r="N1079" s="46"/>
      <c r="O1079" s="24">
        <f t="shared" si="5"/>
        <v>8500000</v>
      </c>
      <c r="P1079" s="24">
        <f t="shared" si="6"/>
        <v>8500000</v>
      </c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ht="10.5" customHeight="1">
      <c r="A1080" s="1"/>
      <c r="B1080" s="61"/>
      <c r="C1080" s="61"/>
      <c r="D1080" s="22"/>
      <c r="E1080" s="60" t="s">
        <v>23</v>
      </c>
      <c r="F1080" s="60"/>
      <c r="G1080" s="36"/>
      <c r="H1080" s="22"/>
      <c r="I1080" s="22"/>
      <c r="J1080" s="22"/>
      <c r="K1080" s="22"/>
      <c r="L1080" s="22"/>
      <c r="M1080" s="22"/>
      <c r="N1080" s="22"/>
      <c r="O1080" s="24">
        <f t="shared" si="5"/>
        <v>0</v>
      </c>
      <c r="P1080" s="24">
        <f t="shared" si="6"/>
        <v>0</v>
      </c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ht="14.25" customHeight="1">
      <c r="A1081" s="1"/>
      <c r="B1081" s="61"/>
      <c r="C1081" s="61"/>
      <c r="D1081" s="22"/>
      <c r="E1081" s="60" t="s">
        <v>81</v>
      </c>
      <c r="F1081" s="60"/>
      <c r="G1081" s="36">
        <v>50.0</v>
      </c>
      <c r="H1081" s="36" t="s">
        <v>26</v>
      </c>
      <c r="I1081" s="48">
        <v>170000.0</v>
      </c>
      <c r="J1081" s="46">
        <f>G1081*I1081</f>
        <v>8500000</v>
      </c>
      <c r="K1081" s="46"/>
      <c r="L1081" s="46"/>
      <c r="M1081" s="46"/>
      <c r="N1081" s="46"/>
      <c r="O1081" s="24">
        <f t="shared" si="5"/>
        <v>8500000</v>
      </c>
      <c r="P1081" s="24">
        <f t="shared" si="6"/>
        <v>8500000</v>
      </c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ht="14.25" customHeight="1">
      <c r="A1082" s="1"/>
      <c r="B1082" s="61"/>
      <c r="C1082" s="61"/>
      <c r="D1082" s="56"/>
      <c r="E1082" s="63" t="s">
        <v>83</v>
      </c>
      <c r="F1082" s="63"/>
      <c r="G1082" s="42"/>
      <c r="H1082" s="22"/>
      <c r="I1082" s="22"/>
      <c r="J1082" s="43">
        <f t="shared" ref="J1082:K1082" si="421">J1083+J1088</f>
        <v>874500000</v>
      </c>
      <c r="K1082" s="43">
        <f t="shared" si="421"/>
        <v>47460000</v>
      </c>
      <c r="L1082" s="43"/>
      <c r="M1082" s="43">
        <f>M1083+M1088</f>
        <v>67277500</v>
      </c>
      <c r="N1082" s="43"/>
      <c r="O1082" s="24">
        <f t="shared" si="5"/>
        <v>827040000</v>
      </c>
      <c r="P1082" s="24">
        <f t="shared" si="6"/>
        <v>807222500</v>
      </c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ht="14.25" customHeight="1">
      <c r="A1083" s="1"/>
      <c r="B1083" s="61"/>
      <c r="C1083" s="61"/>
      <c r="D1083" s="47"/>
      <c r="E1083" s="62" t="s">
        <v>85</v>
      </c>
      <c r="F1083" s="62"/>
      <c r="G1083" s="45"/>
      <c r="H1083" s="22"/>
      <c r="I1083" s="22"/>
      <c r="J1083" s="46">
        <f t="shared" ref="J1083:K1083" si="422">SUM(J1085:J1087)</f>
        <v>772500000</v>
      </c>
      <c r="K1083" s="46">
        <f t="shared" si="422"/>
        <v>47460000</v>
      </c>
      <c r="L1083" s="46"/>
      <c r="M1083" s="46">
        <f>SUM(M1085:M1087)</f>
        <v>67177500</v>
      </c>
      <c r="N1083" s="46"/>
      <c r="O1083" s="24">
        <f t="shared" si="5"/>
        <v>725040000</v>
      </c>
      <c r="P1083" s="24">
        <f t="shared" si="6"/>
        <v>705322500</v>
      </c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ht="10.5" customHeight="1">
      <c r="A1084" s="1"/>
      <c r="B1084" s="61"/>
      <c r="C1084" s="61"/>
      <c r="D1084" s="22"/>
      <c r="E1084" s="60" t="s">
        <v>23</v>
      </c>
      <c r="F1084" s="60"/>
      <c r="G1084" s="36"/>
      <c r="H1084" s="22"/>
      <c r="I1084" s="22"/>
      <c r="J1084" s="22"/>
      <c r="K1084" s="22"/>
      <c r="L1084" s="22"/>
      <c r="M1084" s="22"/>
      <c r="N1084" s="22"/>
      <c r="O1084" s="24">
        <f t="shared" si="5"/>
        <v>0</v>
      </c>
      <c r="P1084" s="24">
        <f t="shared" si="6"/>
        <v>0</v>
      </c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ht="10.5" customHeight="1">
      <c r="A1085" s="1"/>
      <c r="B1085" s="61"/>
      <c r="C1085" s="61"/>
      <c r="D1085" s="22"/>
      <c r="E1085" s="60" t="s">
        <v>86</v>
      </c>
      <c r="F1085" s="60"/>
      <c r="G1085" s="36">
        <v>27375.0</v>
      </c>
      <c r="H1085" s="36" t="s">
        <v>87</v>
      </c>
      <c r="I1085" s="48">
        <v>15000.0</v>
      </c>
      <c r="J1085" s="46">
        <f t="shared" ref="J1085:J1087" si="423">G1085*I1085</f>
        <v>410625000</v>
      </c>
      <c r="K1085" s="46">
        <v>3.567E7</v>
      </c>
      <c r="L1085" s="46"/>
      <c r="M1085" s="46">
        <v>4.5165E7</v>
      </c>
      <c r="N1085" s="46"/>
      <c r="O1085" s="24">
        <f t="shared" si="5"/>
        <v>374955000</v>
      </c>
      <c r="P1085" s="24">
        <f t="shared" si="6"/>
        <v>365460000</v>
      </c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ht="14.25" customHeight="1">
      <c r="A1086" s="1"/>
      <c r="B1086" s="61"/>
      <c r="C1086" s="61"/>
      <c r="D1086" s="22"/>
      <c r="E1086" s="60" t="s">
        <v>88</v>
      </c>
      <c r="F1086" s="60"/>
      <c r="G1086" s="36">
        <v>9000.0</v>
      </c>
      <c r="H1086" s="36" t="s">
        <v>87</v>
      </c>
      <c r="I1086" s="48">
        <v>25000.0</v>
      </c>
      <c r="J1086" s="46">
        <f t="shared" si="423"/>
        <v>225000000</v>
      </c>
      <c r="K1086" s="46"/>
      <c r="L1086" s="46"/>
      <c r="M1086" s="53">
        <v>7200000.0</v>
      </c>
      <c r="N1086" s="46"/>
      <c r="O1086" s="24">
        <f t="shared" si="5"/>
        <v>225000000</v>
      </c>
      <c r="P1086" s="24">
        <f t="shared" si="6"/>
        <v>217800000</v>
      </c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ht="10.5" customHeight="1">
      <c r="A1087" s="1"/>
      <c r="B1087" s="61"/>
      <c r="C1087" s="61"/>
      <c r="D1087" s="22"/>
      <c r="E1087" s="60" t="s">
        <v>89</v>
      </c>
      <c r="F1087" s="60"/>
      <c r="G1087" s="36">
        <v>18250.0</v>
      </c>
      <c r="H1087" s="36" t="s">
        <v>87</v>
      </c>
      <c r="I1087" s="48">
        <v>7500.0</v>
      </c>
      <c r="J1087" s="46">
        <f t="shared" si="423"/>
        <v>136875000</v>
      </c>
      <c r="K1087" s="46">
        <v>1.179E7</v>
      </c>
      <c r="L1087" s="46"/>
      <c r="M1087" s="46">
        <v>1.48125E7</v>
      </c>
      <c r="N1087" s="46"/>
      <c r="O1087" s="24">
        <f t="shared" si="5"/>
        <v>125085000</v>
      </c>
      <c r="P1087" s="24">
        <f t="shared" si="6"/>
        <v>122062500</v>
      </c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ht="14.25" customHeight="1">
      <c r="A1088" s="1"/>
      <c r="B1088" s="61"/>
      <c r="C1088" s="61"/>
      <c r="D1088" s="47"/>
      <c r="E1088" s="62" t="s">
        <v>64</v>
      </c>
      <c r="F1088" s="62"/>
      <c r="G1088" s="45"/>
      <c r="H1088" s="22"/>
      <c r="I1088" s="22"/>
      <c r="J1088" s="46">
        <f t="shared" ref="J1088:K1088" si="424">SUM(J1090:J1091)</f>
        <v>102000000</v>
      </c>
      <c r="K1088" s="46">
        <f t="shared" si="424"/>
        <v>0</v>
      </c>
      <c r="L1088" s="46"/>
      <c r="M1088" s="46">
        <f>SUM(M1090:M1091)</f>
        <v>100000</v>
      </c>
      <c r="N1088" s="46"/>
      <c r="O1088" s="24">
        <f t="shared" si="5"/>
        <v>102000000</v>
      </c>
      <c r="P1088" s="24">
        <f t="shared" si="6"/>
        <v>101900000</v>
      </c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ht="10.5" customHeight="1">
      <c r="A1089" s="1"/>
      <c r="B1089" s="61"/>
      <c r="C1089" s="61"/>
      <c r="D1089" s="22"/>
      <c r="E1089" s="60" t="s">
        <v>23</v>
      </c>
      <c r="F1089" s="60"/>
      <c r="G1089" s="36"/>
      <c r="H1089" s="22"/>
      <c r="I1089" s="22"/>
      <c r="J1089" s="22"/>
      <c r="K1089" s="22"/>
      <c r="L1089" s="22"/>
      <c r="M1089" s="22"/>
      <c r="N1089" s="22"/>
      <c r="O1089" s="24">
        <f t="shared" si="5"/>
        <v>0</v>
      </c>
      <c r="P1089" s="24">
        <f t="shared" si="6"/>
        <v>0</v>
      </c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ht="14.25" customHeight="1">
      <c r="A1090" s="1"/>
      <c r="B1090" s="61"/>
      <c r="C1090" s="61"/>
      <c r="D1090" s="22"/>
      <c r="E1090" s="60" t="s">
        <v>90</v>
      </c>
      <c r="F1090" s="60"/>
      <c r="G1090" s="36">
        <v>180.0</v>
      </c>
      <c r="H1090" s="36" t="s">
        <v>87</v>
      </c>
      <c r="I1090" s="48">
        <v>500000.0</v>
      </c>
      <c r="J1090" s="46">
        <f t="shared" ref="J1090:J1091" si="425">G1090*I1090</f>
        <v>90000000</v>
      </c>
      <c r="K1090" s="46"/>
      <c r="L1090" s="46"/>
      <c r="M1090" s="53">
        <v>10000.0</v>
      </c>
      <c r="N1090" s="46"/>
      <c r="O1090" s="24">
        <f t="shared" si="5"/>
        <v>90000000</v>
      </c>
      <c r="P1090" s="24">
        <f t="shared" si="6"/>
        <v>89990000</v>
      </c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ht="14.25" customHeight="1">
      <c r="A1091" s="1"/>
      <c r="B1091" s="61"/>
      <c r="C1091" s="61"/>
      <c r="D1091" s="22"/>
      <c r="E1091" s="60" t="s">
        <v>91</v>
      </c>
      <c r="F1091" s="60"/>
      <c r="G1091" s="36">
        <v>300.0</v>
      </c>
      <c r="H1091" s="36" t="s">
        <v>87</v>
      </c>
      <c r="I1091" s="48">
        <v>40000.0</v>
      </c>
      <c r="J1091" s="46">
        <f t="shared" si="425"/>
        <v>12000000</v>
      </c>
      <c r="K1091" s="46"/>
      <c r="L1091" s="46"/>
      <c r="M1091" s="53">
        <v>90000.0</v>
      </c>
      <c r="N1091" s="46"/>
      <c r="O1091" s="24">
        <f t="shared" si="5"/>
        <v>12000000</v>
      </c>
      <c r="P1091" s="24">
        <f t="shared" si="6"/>
        <v>11910000</v>
      </c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ht="14.25" customHeight="1">
      <c r="A1092" s="1"/>
      <c r="B1092" s="61"/>
      <c r="C1092" s="61"/>
      <c r="D1092" s="56"/>
      <c r="E1092" s="63" t="s">
        <v>93</v>
      </c>
      <c r="F1092" s="63"/>
      <c r="G1092" s="42"/>
      <c r="H1092" s="22"/>
      <c r="I1092" s="22"/>
      <c r="J1092" s="43">
        <f t="shared" ref="J1092:K1092" si="426">J1093</f>
        <v>40936000</v>
      </c>
      <c r="K1092" s="43">
        <f t="shared" si="426"/>
        <v>0</v>
      </c>
      <c r="L1092" s="43"/>
      <c r="M1092" s="43">
        <f>M1093</f>
        <v>0</v>
      </c>
      <c r="N1092" s="43"/>
      <c r="O1092" s="24">
        <f t="shared" si="5"/>
        <v>40936000</v>
      </c>
      <c r="P1092" s="24">
        <f t="shared" si="6"/>
        <v>40936000</v>
      </c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ht="14.25" customHeight="1">
      <c r="A1093" s="1"/>
      <c r="B1093" s="61"/>
      <c r="C1093" s="61"/>
      <c r="D1093" s="47"/>
      <c r="E1093" s="62" t="s">
        <v>69</v>
      </c>
      <c r="F1093" s="62"/>
      <c r="G1093" s="45"/>
      <c r="H1093" s="22"/>
      <c r="I1093" s="22"/>
      <c r="J1093" s="46">
        <f t="shared" ref="J1093:K1093" si="427">SUM(J1095:J1096)</f>
        <v>40936000</v>
      </c>
      <c r="K1093" s="46">
        <f t="shared" si="427"/>
        <v>0</v>
      </c>
      <c r="L1093" s="46"/>
      <c r="M1093" s="46">
        <f>SUM(M1095:M1096)</f>
        <v>0</v>
      </c>
      <c r="N1093" s="46"/>
      <c r="O1093" s="24">
        <f t="shared" si="5"/>
        <v>40936000</v>
      </c>
      <c r="P1093" s="24">
        <f t="shared" si="6"/>
        <v>40936000</v>
      </c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ht="10.5" customHeight="1">
      <c r="A1094" s="1"/>
      <c r="B1094" s="61"/>
      <c r="C1094" s="61"/>
      <c r="D1094" s="22"/>
      <c r="E1094" s="60" t="s">
        <v>23</v>
      </c>
      <c r="F1094" s="60"/>
      <c r="G1094" s="36"/>
      <c r="H1094" s="22"/>
      <c r="I1094" s="22"/>
      <c r="J1094" s="22"/>
      <c r="K1094" s="22"/>
      <c r="L1094" s="22"/>
      <c r="M1094" s="22"/>
      <c r="N1094" s="22"/>
      <c r="O1094" s="24">
        <f t="shared" si="5"/>
        <v>0</v>
      </c>
      <c r="P1094" s="24">
        <f t="shared" si="6"/>
        <v>0</v>
      </c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ht="14.25" customHeight="1">
      <c r="A1095" s="1"/>
      <c r="B1095" s="61"/>
      <c r="C1095" s="61"/>
      <c r="D1095" s="22"/>
      <c r="E1095" s="60" t="s">
        <v>94</v>
      </c>
      <c r="F1095" s="60"/>
      <c r="G1095" s="36">
        <v>12.0</v>
      </c>
      <c r="H1095" s="36" t="s">
        <v>95</v>
      </c>
      <c r="I1095" s="48">
        <v>2500000.0</v>
      </c>
      <c r="J1095" s="46">
        <f t="shared" ref="J1095:J1096" si="428">G1095*I1095</f>
        <v>30000000</v>
      </c>
      <c r="K1095" s="46"/>
      <c r="L1095" s="46"/>
      <c r="M1095" s="46"/>
      <c r="N1095" s="46"/>
      <c r="O1095" s="24">
        <f t="shared" si="5"/>
        <v>30000000</v>
      </c>
      <c r="P1095" s="24">
        <f t="shared" si="6"/>
        <v>30000000</v>
      </c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ht="10.5" customHeight="1">
      <c r="A1096" s="1"/>
      <c r="B1096" s="61"/>
      <c r="C1096" s="61"/>
      <c r="D1096" s="22"/>
      <c r="E1096" s="60" t="s">
        <v>171</v>
      </c>
      <c r="F1096" s="60"/>
      <c r="G1096" s="36">
        <v>1.0</v>
      </c>
      <c r="H1096" s="36" t="s">
        <v>97</v>
      </c>
      <c r="I1096" s="48">
        <v>1.0936E7</v>
      </c>
      <c r="J1096" s="46">
        <f t="shared" si="428"/>
        <v>10936000</v>
      </c>
      <c r="K1096" s="46"/>
      <c r="L1096" s="46"/>
      <c r="M1096" s="46"/>
      <c r="N1096" s="46"/>
      <c r="O1096" s="24">
        <f t="shared" si="5"/>
        <v>10936000</v>
      </c>
      <c r="P1096" s="24">
        <f t="shared" si="6"/>
        <v>10936000</v>
      </c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ht="10.5" customHeight="1">
      <c r="A1097" s="1"/>
      <c r="B1097" s="61"/>
      <c r="C1097" s="61"/>
      <c r="D1097" s="56"/>
      <c r="E1097" s="63" t="s">
        <v>99</v>
      </c>
      <c r="F1097" s="63"/>
      <c r="G1097" s="42"/>
      <c r="H1097" s="22"/>
      <c r="I1097" s="22"/>
      <c r="J1097" s="43">
        <f t="shared" ref="J1097:K1097" si="429">J1098+J1107</f>
        <v>6760000</v>
      </c>
      <c r="K1097" s="43">
        <f t="shared" si="429"/>
        <v>0</v>
      </c>
      <c r="L1097" s="43"/>
      <c r="M1097" s="43">
        <f>M1098+M1107</f>
        <v>0</v>
      </c>
      <c r="N1097" s="43"/>
      <c r="O1097" s="24">
        <f t="shared" si="5"/>
        <v>6760000</v>
      </c>
      <c r="P1097" s="24">
        <f t="shared" si="6"/>
        <v>6760000</v>
      </c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ht="14.25" customHeight="1">
      <c r="A1098" s="1"/>
      <c r="B1098" s="61"/>
      <c r="C1098" s="61"/>
      <c r="D1098" s="47"/>
      <c r="E1098" s="62" t="s">
        <v>101</v>
      </c>
      <c r="F1098" s="62"/>
      <c r="G1098" s="45"/>
      <c r="H1098" s="22"/>
      <c r="I1098" s="22"/>
      <c r="J1098" s="46">
        <f t="shared" ref="J1098:K1098" si="430">SUM(J1100:J1106)</f>
        <v>5600000</v>
      </c>
      <c r="K1098" s="46">
        <f t="shared" si="430"/>
        <v>0</v>
      </c>
      <c r="L1098" s="46"/>
      <c r="M1098" s="46">
        <f>SUM(M1100:M1106)</f>
        <v>0</v>
      </c>
      <c r="N1098" s="46"/>
      <c r="O1098" s="24">
        <f t="shared" si="5"/>
        <v>5600000</v>
      </c>
      <c r="P1098" s="24">
        <f t="shared" si="6"/>
        <v>5600000</v>
      </c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ht="10.5" customHeight="1">
      <c r="A1099" s="1"/>
      <c r="B1099" s="61"/>
      <c r="C1099" s="61"/>
      <c r="D1099" s="22"/>
      <c r="E1099" s="60" t="s">
        <v>23</v>
      </c>
      <c r="F1099" s="60"/>
      <c r="G1099" s="36"/>
      <c r="H1099" s="22"/>
      <c r="I1099" s="22"/>
      <c r="J1099" s="22"/>
      <c r="K1099" s="22"/>
      <c r="L1099" s="22"/>
      <c r="M1099" s="22"/>
      <c r="N1099" s="22"/>
      <c r="O1099" s="24">
        <f t="shared" si="5"/>
        <v>0</v>
      </c>
      <c r="P1099" s="24">
        <f t="shared" si="6"/>
        <v>0</v>
      </c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ht="14.25" customHeight="1">
      <c r="A1100" s="1"/>
      <c r="B1100" s="61"/>
      <c r="C1100" s="61"/>
      <c r="D1100" s="22"/>
      <c r="E1100" s="60" t="s">
        <v>102</v>
      </c>
      <c r="F1100" s="60"/>
      <c r="G1100" s="36">
        <v>2.0</v>
      </c>
      <c r="H1100" s="36" t="s">
        <v>95</v>
      </c>
      <c r="I1100" s="48">
        <v>350000.0</v>
      </c>
      <c r="J1100" s="46">
        <f t="shared" ref="J1100:J1106" si="431">G1100*I1100</f>
        <v>700000</v>
      </c>
      <c r="K1100" s="46"/>
      <c r="L1100" s="46"/>
      <c r="M1100" s="46"/>
      <c r="N1100" s="46"/>
      <c r="O1100" s="24">
        <f t="shared" si="5"/>
        <v>700000</v>
      </c>
      <c r="P1100" s="24">
        <f t="shared" si="6"/>
        <v>700000</v>
      </c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ht="14.25" customHeight="1">
      <c r="A1101" s="1"/>
      <c r="B1101" s="61"/>
      <c r="C1101" s="61"/>
      <c r="D1101" s="22"/>
      <c r="E1101" s="60" t="s">
        <v>103</v>
      </c>
      <c r="F1101" s="60"/>
      <c r="G1101" s="36">
        <v>2.0</v>
      </c>
      <c r="H1101" s="36" t="s">
        <v>95</v>
      </c>
      <c r="I1101" s="48">
        <v>225000.0</v>
      </c>
      <c r="J1101" s="46">
        <f t="shared" si="431"/>
        <v>450000</v>
      </c>
      <c r="K1101" s="46"/>
      <c r="L1101" s="46"/>
      <c r="M1101" s="46"/>
      <c r="N1101" s="46"/>
      <c r="O1101" s="24">
        <f t="shared" si="5"/>
        <v>450000</v>
      </c>
      <c r="P1101" s="24">
        <f t="shared" si="6"/>
        <v>450000</v>
      </c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ht="14.25" customHeight="1">
      <c r="A1102" s="1"/>
      <c r="B1102" s="61"/>
      <c r="C1102" s="61"/>
      <c r="D1102" s="22"/>
      <c r="E1102" s="60" t="s">
        <v>104</v>
      </c>
      <c r="F1102" s="60"/>
      <c r="G1102" s="36">
        <v>2.0</v>
      </c>
      <c r="H1102" s="36" t="s">
        <v>95</v>
      </c>
      <c r="I1102" s="48">
        <v>450000.0</v>
      </c>
      <c r="J1102" s="46">
        <f t="shared" si="431"/>
        <v>900000</v>
      </c>
      <c r="K1102" s="46"/>
      <c r="L1102" s="46"/>
      <c r="M1102" s="46"/>
      <c r="N1102" s="46"/>
      <c r="O1102" s="24">
        <f t="shared" si="5"/>
        <v>900000</v>
      </c>
      <c r="P1102" s="24">
        <f t="shared" si="6"/>
        <v>900000</v>
      </c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ht="14.25" customHeight="1">
      <c r="A1103" s="1"/>
      <c r="B1103" s="61"/>
      <c r="C1103" s="61"/>
      <c r="D1103" s="22"/>
      <c r="E1103" s="60" t="s">
        <v>105</v>
      </c>
      <c r="F1103" s="60"/>
      <c r="G1103" s="36">
        <v>2.0</v>
      </c>
      <c r="H1103" s="36" t="s">
        <v>95</v>
      </c>
      <c r="I1103" s="48">
        <v>250000.0</v>
      </c>
      <c r="J1103" s="46">
        <f t="shared" si="431"/>
        <v>500000</v>
      </c>
      <c r="K1103" s="46"/>
      <c r="L1103" s="46"/>
      <c r="M1103" s="46"/>
      <c r="N1103" s="46"/>
      <c r="O1103" s="24">
        <f t="shared" si="5"/>
        <v>500000</v>
      </c>
      <c r="P1103" s="24">
        <f t="shared" si="6"/>
        <v>500000</v>
      </c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ht="14.25" customHeight="1">
      <c r="A1104" s="1"/>
      <c r="B1104" s="61"/>
      <c r="C1104" s="61"/>
      <c r="D1104" s="22"/>
      <c r="E1104" s="60" t="s">
        <v>106</v>
      </c>
      <c r="F1104" s="60"/>
      <c r="G1104" s="36">
        <v>2.0</v>
      </c>
      <c r="H1104" s="36" t="s">
        <v>95</v>
      </c>
      <c r="I1104" s="48">
        <v>100000.0</v>
      </c>
      <c r="J1104" s="46">
        <f t="shared" si="431"/>
        <v>200000</v>
      </c>
      <c r="K1104" s="46"/>
      <c r="L1104" s="46"/>
      <c r="M1104" s="46"/>
      <c r="N1104" s="46"/>
      <c r="O1104" s="24">
        <f t="shared" si="5"/>
        <v>200000</v>
      </c>
      <c r="P1104" s="24">
        <f t="shared" si="6"/>
        <v>200000</v>
      </c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ht="14.25" customHeight="1">
      <c r="A1105" s="1"/>
      <c r="B1105" s="61"/>
      <c r="C1105" s="61"/>
      <c r="D1105" s="22"/>
      <c r="E1105" s="60" t="s">
        <v>107</v>
      </c>
      <c r="F1105" s="60"/>
      <c r="G1105" s="36">
        <v>2.0</v>
      </c>
      <c r="H1105" s="36" t="s">
        <v>95</v>
      </c>
      <c r="I1105" s="48">
        <v>725000.0</v>
      </c>
      <c r="J1105" s="46">
        <f t="shared" si="431"/>
        <v>1450000</v>
      </c>
      <c r="K1105" s="46"/>
      <c r="L1105" s="46"/>
      <c r="M1105" s="46"/>
      <c r="N1105" s="46"/>
      <c r="O1105" s="24">
        <f t="shared" si="5"/>
        <v>1450000</v>
      </c>
      <c r="P1105" s="24">
        <f t="shared" si="6"/>
        <v>1450000</v>
      </c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ht="14.25" customHeight="1">
      <c r="A1106" s="1"/>
      <c r="B1106" s="61"/>
      <c r="C1106" s="61"/>
      <c r="D1106" s="22"/>
      <c r="E1106" s="60" t="s">
        <v>108</v>
      </c>
      <c r="F1106" s="60"/>
      <c r="G1106" s="36">
        <v>2.0</v>
      </c>
      <c r="H1106" s="36" t="s">
        <v>95</v>
      </c>
      <c r="I1106" s="48">
        <v>700000.0</v>
      </c>
      <c r="J1106" s="46">
        <f t="shared" si="431"/>
        <v>1400000</v>
      </c>
      <c r="K1106" s="46"/>
      <c r="L1106" s="46"/>
      <c r="M1106" s="46"/>
      <c r="N1106" s="46"/>
      <c r="O1106" s="24">
        <f t="shared" si="5"/>
        <v>1400000</v>
      </c>
      <c r="P1106" s="24">
        <f t="shared" si="6"/>
        <v>1400000</v>
      </c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ht="14.25" customHeight="1">
      <c r="A1107" s="1"/>
      <c r="B1107" s="61"/>
      <c r="C1107" s="61"/>
      <c r="D1107" s="47"/>
      <c r="E1107" s="62" t="s">
        <v>69</v>
      </c>
      <c r="F1107" s="62"/>
      <c r="G1107" s="45"/>
      <c r="H1107" s="22"/>
      <c r="I1107" s="22"/>
      <c r="J1107" s="46">
        <f t="shared" ref="J1107:K1107" si="432">SUM(J1109:J1112)</f>
        <v>1160000</v>
      </c>
      <c r="K1107" s="46">
        <f t="shared" si="432"/>
        <v>0</v>
      </c>
      <c r="L1107" s="46"/>
      <c r="M1107" s="46">
        <f>SUM(M1109:M1112)</f>
        <v>0</v>
      </c>
      <c r="N1107" s="46"/>
      <c r="O1107" s="24">
        <f t="shared" si="5"/>
        <v>1160000</v>
      </c>
      <c r="P1107" s="24">
        <f t="shared" si="6"/>
        <v>1160000</v>
      </c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ht="10.5" customHeight="1">
      <c r="A1108" s="1"/>
      <c r="B1108" s="61"/>
      <c r="C1108" s="61"/>
      <c r="D1108" s="22"/>
      <c r="E1108" s="60" t="s">
        <v>23</v>
      </c>
      <c r="F1108" s="60"/>
      <c r="G1108" s="36"/>
      <c r="H1108" s="22"/>
      <c r="I1108" s="22"/>
      <c r="J1108" s="22"/>
      <c r="K1108" s="22"/>
      <c r="L1108" s="22"/>
      <c r="M1108" s="22"/>
      <c r="N1108" s="22"/>
      <c r="O1108" s="24">
        <f t="shared" si="5"/>
        <v>0</v>
      </c>
      <c r="P1108" s="24">
        <f t="shared" si="6"/>
        <v>0</v>
      </c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ht="14.25" customHeight="1">
      <c r="A1109" s="1"/>
      <c r="B1109" s="61"/>
      <c r="C1109" s="61"/>
      <c r="D1109" s="22"/>
      <c r="E1109" s="60" t="s">
        <v>109</v>
      </c>
      <c r="F1109" s="60"/>
      <c r="G1109" s="36">
        <v>10.0</v>
      </c>
      <c r="H1109" s="36" t="s">
        <v>95</v>
      </c>
      <c r="I1109" s="48">
        <v>50000.0</v>
      </c>
      <c r="J1109" s="46">
        <f t="shared" ref="J1109:J1112" si="433">G1109*I1109</f>
        <v>500000</v>
      </c>
      <c r="K1109" s="46"/>
      <c r="L1109" s="46"/>
      <c r="M1109" s="46"/>
      <c r="N1109" s="46"/>
      <c r="O1109" s="24">
        <f t="shared" si="5"/>
        <v>500000</v>
      </c>
      <c r="P1109" s="24">
        <f t="shared" si="6"/>
        <v>500000</v>
      </c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ht="14.25" customHeight="1">
      <c r="A1110" s="1"/>
      <c r="B1110" s="61"/>
      <c r="C1110" s="61"/>
      <c r="D1110" s="22"/>
      <c r="E1110" s="60" t="s">
        <v>110</v>
      </c>
      <c r="F1110" s="60"/>
      <c r="G1110" s="36">
        <v>2.0</v>
      </c>
      <c r="H1110" s="36" t="s">
        <v>95</v>
      </c>
      <c r="I1110" s="48">
        <v>100000.0</v>
      </c>
      <c r="J1110" s="46">
        <f t="shared" si="433"/>
        <v>200000</v>
      </c>
      <c r="K1110" s="46"/>
      <c r="L1110" s="46"/>
      <c r="M1110" s="46"/>
      <c r="N1110" s="46"/>
      <c r="O1110" s="24">
        <f t="shared" si="5"/>
        <v>200000</v>
      </c>
      <c r="P1110" s="24">
        <f t="shared" si="6"/>
        <v>200000</v>
      </c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ht="14.25" customHeight="1">
      <c r="A1111" s="1"/>
      <c r="B1111" s="61"/>
      <c r="C1111" s="61"/>
      <c r="D1111" s="22"/>
      <c r="E1111" s="60" t="s">
        <v>111</v>
      </c>
      <c r="F1111" s="60"/>
      <c r="G1111" s="36">
        <v>2.0</v>
      </c>
      <c r="H1111" s="36" t="s">
        <v>95</v>
      </c>
      <c r="I1111" s="48">
        <v>200000.0</v>
      </c>
      <c r="J1111" s="46">
        <f t="shared" si="433"/>
        <v>400000</v>
      </c>
      <c r="K1111" s="46"/>
      <c r="L1111" s="46"/>
      <c r="M1111" s="46"/>
      <c r="N1111" s="46"/>
      <c r="O1111" s="24">
        <f t="shared" si="5"/>
        <v>400000</v>
      </c>
      <c r="P1111" s="24">
        <f t="shared" si="6"/>
        <v>400000</v>
      </c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ht="14.25" customHeight="1">
      <c r="A1112" s="1"/>
      <c r="B1112" s="61"/>
      <c r="C1112" s="61"/>
      <c r="D1112" s="22"/>
      <c r="E1112" s="60" t="s">
        <v>112</v>
      </c>
      <c r="F1112" s="60"/>
      <c r="G1112" s="36">
        <v>2.0</v>
      </c>
      <c r="H1112" s="36" t="s">
        <v>95</v>
      </c>
      <c r="I1112" s="48">
        <v>30000.0</v>
      </c>
      <c r="J1112" s="46">
        <f t="shared" si="433"/>
        <v>60000</v>
      </c>
      <c r="K1112" s="46"/>
      <c r="L1112" s="46"/>
      <c r="M1112" s="46"/>
      <c r="N1112" s="46"/>
      <c r="O1112" s="24">
        <f t="shared" si="5"/>
        <v>60000</v>
      </c>
      <c r="P1112" s="24">
        <f t="shared" si="6"/>
        <v>60000</v>
      </c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ht="10.5" customHeight="1">
      <c r="A1113" s="1"/>
      <c r="B1113" s="61"/>
      <c r="C1113" s="61"/>
      <c r="D1113" s="56"/>
      <c r="E1113" s="63" t="s">
        <v>114</v>
      </c>
      <c r="F1113" s="63"/>
      <c r="G1113" s="42"/>
      <c r="H1113" s="22"/>
      <c r="I1113" s="22"/>
      <c r="J1113" s="43">
        <f t="shared" ref="J1113:K1113" si="434">J1114</f>
        <v>205375000</v>
      </c>
      <c r="K1113" s="43">
        <f t="shared" si="434"/>
        <v>0</v>
      </c>
      <c r="L1113" s="43"/>
      <c r="M1113" s="43">
        <f>M1114</f>
        <v>3100646</v>
      </c>
      <c r="N1113" s="43"/>
      <c r="O1113" s="24">
        <f t="shared" si="5"/>
        <v>205375000</v>
      </c>
      <c r="P1113" s="24">
        <f t="shared" si="6"/>
        <v>202274354</v>
      </c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ht="14.25" customHeight="1">
      <c r="A1114" s="1"/>
      <c r="B1114" s="61"/>
      <c r="C1114" s="61"/>
      <c r="D1114" s="47"/>
      <c r="E1114" s="62" t="s">
        <v>69</v>
      </c>
      <c r="F1114" s="62"/>
      <c r="G1114" s="45"/>
      <c r="H1114" s="22"/>
      <c r="I1114" s="22"/>
      <c r="J1114" s="46">
        <f t="shared" ref="J1114:K1114" si="435">SUM(J1116:J1126)</f>
        <v>205375000</v>
      </c>
      <c r="K1114" s="46">
        <f t="shared" si="435"/>
        <v>0</v>
      </c>
      <c r="L1114" s="46"/>
      <c r="M1114" s="46">
        <f>SUM(M1116:M1126)</f>
        <v>3100646</v>
      </c>
      <c r="N1114" s="46"/>
      <c r="O1114" s="24">
        <f t="shared" si="5"/>
        <v>205375000</v>
      </c>
      <c r="P1114" s="24">
        <f t="shared" si="6"/>
        <v>202274354</v>
      </c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ht="10.5" customHeight="1">
      <c r="A1115" s="1"/>
      <c r="B1115" s="61"/>
      <c r="C1115" s="61"/>
      <c r="D1115" s="22"/>
      <c r="E1115" s="60" t="s">
        <v>23</v>
      </c>
      <c r="F1115" s="60"/>
      <c r="G1115" s="36"/>
      <c r="H1115" s="22"/>
      <c r="I1115" s="22"/>
      <c r="J1115" s="22"/>
      <c r="K1115" s="22"/>
      <c r="L1115" s="22"/>
      <c r="M1115" s="22"/>
      <c r="N1115" s="22"/>
      <c r="O1115" s="24">
        <f t="shared" si="5"/>
        <v>0</v>
      </c>
      <c r="P1115" s="24">
        <f t="shared" si="6"/>
        <v>0</v>
      </c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ht="14.25" customHeight="1">
      <c r="A1116" s="1"/>
      <c r="B1116" s="61"/>
      <c r="C1116" s="61"/>
      <c r="D1116" s="22"/>
      <c r="E1116" s="60" t="s">
        <v>115</v>
      </c>
      <c r="F1116" s="60"/>
      <c r="G1116" s="36">
        <v>50.0</v>
      </c>
      <c r="H1116" s="36" t="s">
        <v>95</v>
      </c>
      <c r="I1116" s="48">
        <v>110000.0</v>
      </c>
      <c r="J1116" s="46">
        <f t="shared" ref="J1116:J1126" si="436">G1116*I1116</f>
        <v>5500000</v>
      </c>
      <c r="K1116" s="46"/>
      <c r="L1116" s="46"/>
      <c r="M1116" s="46"/>
      <c r="N1116" s="46"/>
      <c r="O1116" s="24">
        <f t="shared" si="5"/>
        <v>5500000</v>
      </c>
      <c r="P1116" s="24">
        <f t="shared" si="6"/>
        <v>5500000</v>
      </c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ht="14.25" customHeight="1">
      <c r="A1117" s="1"/>
      <c r="B1117" s="61"/>
      <c r="C1117" s="61"/>
      <c r="D1117" s="22"/>
      <c r="E1117" s="60" t="s">
        <v>116</v>
      </c>
      <c r="F1117" s="60"/>
      <c r="G1117" s="36">
        <v>50.0</v>
      </c>
      <c r="H1117" s="36" t="s">
        <v>95</v>
      </c>
      <c r="I1117" s="48">
        <v>120000.0</v>
      </c>
      <c r="J1117" s="46">
        <f t="shared" si="436"/>
        <v>6000000</v>
      </c>
      <c r="K1117" s="46"/>
      <c r="L1117" s="46"/>
      <c r="M1117" s="46"/>
      <c r="N1117" s="46"/>
      <c r="O1117" s="24">
        <f t="shared" si="5"/>
        <v>6000000</v>
      </c>
      <c r="P1117" s="24">
        <f t="shared" si="6"/>
        <v>6000000</v>
      </c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ht="14.25" customHeight="1">
      <c r="A1118" s="1"/>
      <c r="B1118" s="61"/>
      <c r="C1118" s="61"/>
      <c r="D1118" s="22"/>
      <c r="E1118" s="60" t="s">
        <v>117</v>
      </c>
      <c r="F1118" s="60"/>
      <c r="G1118" s="36">
        <v>50.0</v>
      </c>
      <c r="H1118" s="36" t="s">
        <v>95</v>
      </c>
      <c r="I1118" s="48">
        <v>150000.0</v>
      </c>
      <c r="J1118" s="46">
        <f t="shared" si="436"/>
        <v>7500000</v>
      </c>
      <c r="K1118" s="46"/>
      <c r="L1118" s="46"/>
      <c r="M1118" s="46"/>
      <c r="N1118" s="46"/>
      <c r="O1118" s="24">
        <f t="shared" si="5"/>
        <v>7500000</v>
      </c>
      <c r="P1118" s="24">
        <f t="shared" si="6"/>
        <v>7500000</v>
      </c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ht="14.25" customHeight="1">
      <c r="A1119" s="1"/>
      <c r="B1119" s="61"/>
      <c r="C1119" s="61"/>
      <c r="D1119" s="22"/>
      <c r="E1119" s="60" t="s">
        <v>118</v>
      </c>
      <c r="F1119" s="60"/>
      <c r="G1119" s="36">
        <v>50.0</v>
      </c>
      <c r="H1119" s="36" t="s">
        <v>95</v>
      </c>
      <c r="I1119" s="48">
        <v>100000.0</v>
      </c>
      <c r="J1119" s="46">
        <f t="shared" si="436"/>
        <v>5000000</v>
      </c>
      <c r="K1119" s="46"/>
      <c r="L1119" s="46"/>
      <c r="M1119" s="46"/>
      <c r="N1119" s="46"/>
      <c r="O1119" s="24">
        <f t="shared" si="5"/>
        <v>5000000</v>
      </c>
      <c r="P1119" s="24">
        <f t="shared" si="6"/>
        <v>5000000</v>
      </c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ht="14.25" customHeight="1">
      <c r="A1120" s="1"/>
      <c r="B1120" s="61"/>
      <c r="C1120" s="61"/>
      <c r="D1120" s="22"/>
      <c r="E1120" s="60" t="s">
        <v>206</v>
      </c>
      <c r="F1120" s="60"/>
      <c r="G1120" s="36">
        <v>50.0</v>
      </c>
      <c r="H1120" s="36" t="s">
        <v>95</v>
      </c>
      <c r="I1120" s="48">
        <v>350000.0</v>
      </c>
      <c r="J1120" s="46">
        <f t="shared" si="436"/>
        <v>17500000</v>
      </c>
      <c r="K1120" s="46"/>
      <c r="L1120" s="46"/>
      <c r="M1120" s="46"/>
      <c r="N1120" s="46"/>
      <c r="O1120" s="24">
        <f t="shared" si="5"/>
        <v>17500000</v>
      </c>
      <c r="P1120" s="24">
        <f t="shared" si="6"/>
        <v>17500000</v>
      </c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ht="14.25" customHeight="1">
      <c r="A1121" s="1"/>
      <c r="B1121" s="61"/>
      <c r="C1121" s="61"/>
      <c r="D1121" s="22"/>
      <c r="E1121" s="60" t="s">
        <v>120</v>
      </c>
      <c r="F1121" s="60"/>
      <c r="G1121" s="36">
        <v>25.0</v>
      </c>
      <c r="H1121" s="36" t="s">
        <v>95</v>
      </c>
      <c r="I1121" s="48">
        <v>175000.0</v>
      </c>
      <c r="J1121" s="46">
        <f t="shared" si="436"/>
        <v>4375000</v>
      </c>
      <c r="K1121" s="46"/>
      <c r="L1121" s="46"/>
      <c r="M1121" s="46"/>
      <c r="N1121" s="46"/>
      <c r="O1121" s="24">
        <f t="shared" si="5"/>
        <v>4375000</v>
      </c>
      <c r="P1121" s="24">
        <f t="shared" si="6"/>
        <v>4375000</v>
      </c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ht="14.25" customHeight="1">
      <c r="A1122" s="1"/>
      <c r="B1122" s="61"/>
      <c r="C1122" s="61"/>
      <c r="D1122" s="22"/>
      <c r="E1122" s="60" t="s">
        <v>121</v>
      </c>
      <c r="F1122" s="60"/>
      <c r="G1122" s="36">
        <v>175.0</v>
      </c>
      <c r="H1122" s="36" t="s">
        <v>95</v>
      </c>
      <c r="I1122" s="48">
        <v>150000.0</v>
      </c>
      <c r="J1122" s="46">
        <f t="shared" si="436"/>
        <v>26250000</v>
      </c>
      <c r="K1122" s="46"/>
      <c r="L1122" s="46"/>
      <c r="M1122" s="46"/>
      <c r="N1122" s="46"/>
      <c r="O1122" s="24">
        <f t="shared" si="5"/>
        <v>26250000</v>
      </c>
      <c r="P1122" s="24">
        <f t="shared" si="6"/>
        <v>26250000</v>
      </c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ht="14.25" customHeight="1">
      <c r="A1123" s="1"/>
      <c r="B1123" s="61"/>
      <c r="C1123" s="61"/>
      <c r="D1123" s="22"/>
      <c r="E1123" s="60" t="s">
        <v>122</v>
      </c>
      <c r="F1123" s="60"/>
      <c r="G1123" s="36">
        <v>175.0</v>
      </c>
      <c r="H1123" s="36" t="s">
        <v>95</v>
      </c>
      <c r="I1123" s="48">
        <v>200000.0</v>
      </c>
      <c r="J1123" s="46">
        <f t="shared" si="436"/>
        <v>35000000</v>
      </c>
      <c r="K1123" s="46"/>
      <c r="L1123" s="46"/>
      <c r="M1123" s="46"/>
      <c r="N1123" s="46"/>
      <c r="O1123" s="24">
        <f t="shared" si="5"/>
        <v>35000000</v>
      </c>
      <c r="P1123" s="24">
        <f t="shared" si="6"/>
        <v>35000000</v>
      </c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ht="14.25" customHeight="1">
      <c r="A1124" s="1"/>
      <c r="B1124" s="61"/>
      <c r="C1124" s="61"/>
      <c r="D1124" s="22"/>
      <c r="E1124" s="60" t="s">
        <v>123</v>
      </c>
      <c r="F1124" s="60"/>
      <c r="G1124" s="36">
        <v>300.0</v>
      </c>
      <c r="H1124" s="36" t="s">
        <v>95</v>
      </c>
      <c r="I1124" s="48">
        <v>250000.0</v>
      </c>
      <c r="J1124" s="46">
        <f t="shared" si="436"/>
        <v>75000000</v>
      </c>
      <c r="K1124" s="46"/>
      <c r="L1124" s="46"/>
      <c r="M1124" s="53">
        <v>3100646.0</v>
      </c>
      <c r="N1124" s="46"/>
      <c r="O1124" s="24">
        <f t="shared" si="5"/>
        <v>75000000</v>
      </c>
      <c r="P1124" s="24">
        <f t="shared" si="6"/>
        <v>71899354</v>
      </c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ht="14.25" customHeight="1">
      <c r="A1125" s="1"/>
      <c r="B1125" s="61"/>
      <c r="C1125" s="61"/>
      <c r="D1125" s="22"/>
      <c r="E1125" s="60" t="s">
        <v>124</v>
      </c>
      <c r="F1125" s="60"/>
      <c r="G1125" s="36">
        <v>180.0</v>
      </c>
      <c r="H1125" s="36" t="s">
        <v>95</v>
      </c>
      <c r="I1125" s="48">
        <v>100000.0</v>
      </c>
      <c r="J1125" s="46">
        <f t="shared" si="436"/>
        <v>18000000</v>
      </c>
      <c r="K1125" s="46"/>
      <c r="L1125" s="46"/>
      <c r="M1125" s="46"/>
      <c r="N1125" s="46"/>
      <c r="O1125" s="24">
        <f t="shared" si="5"/>
        <v>18000000</v>
      </c>
      <c r="P1125" s="24">
        <f t="shared" si="6"/>
        <v>18000000</v>
      </c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ht="14.25" customHeight="1">
      <c r="A1126" s="1"/>
      <c r="B1126" s="61"/>
      <c r="C1126" s="61"/>
      <c r="D1126" s="22"/>
      <c r="E1126" s="60" t="s">
        <v>125</v>
      </c>
      <c r="F1126" s="60"/>
      <c r="G1126" s="36">
        <v>105.0</v>
      </c>
      <c r="H1126" s="36" t="s">
        <v>95</v>
      </c>
      <c r="I1126" s="48">
        <v>50000.0</v>
      </c>
      <c r="J1126" s="46">
        <f t="shared" si="436"/>
        <v>5250000</v>
      </c>
      <c r="K1126" s="46"/>
      <c r="L1126" s="46"/>
      <c r="M1126" s="46"/>
      <c r="N1126" s="46"/>
      <c r="O1126" s="24">
        <f t="shared" si="5"/>
        <v>5250000</v>
      </c>
      <c r="P1126" s="24">
        <f t="shared" si="6"/>
        <v>5250000</v>
      </c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ht="14.25" customHeight="1">
      <c r="A1127" s="1"/>
      <c r="B1127" s="61"/>
      <c r="C1127" s="61"/>
      <c r="D1127" s="56"/>
      <c r="E1127" s="63" t="s">
        <v>127</v>
      </c>
      <c r="F1127" s="63"/>
      <c r="G1127" s="42"/>
      <c r="H1127" s="22"/>
      <c r="I1127" s="22"/>
      <c r="J1127" s="43">
        <f t="shared" ref="J1127:K1127" si="437">J1128</f>
        <v>190740000</v>
      </c>
      <c r="K1127" s="43">
        <f t="shared" si="437"/>
        <v>0</v>
      </c>
      <c r="L1127" s="43"/>
      <c r="M1127" s="43">
        <f>M1128</f>
        <v>0</v>
      </c>
      <c r="N1127" s="43"/>
      <c r="O1127" s="24">
        <f t="shared" si="5"/>
        <v>190740000</v>
      </c>
      <c r="P1127" s="24">
        <f t="shared" si="6"/>
        <v>190740000</v>
      </c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ht="14.25" customHeight="1">
      <c r="A1128" s="1"/>
      <c r="B1128" s="61"/>
      <c r="C1128" s="61"/>
      <c r="D1128" s="47"/>
      <c r="E1128" s="62" t="s">
        <v>69</v>
      </c>
      <c r="F1128" s="62"/>
      <c r="G1128" s="45"/>
      <c r="H1128" s="22"/>
      <c r="I1128" s="22"/>
      <c r="J1128" s="46">
        <f t="shared" ref="J1128:K1128" si="438">SUM(J1130:J1134)</f>
        <v>190740000</v>
      </c>
      <c r="K1128" s="46">
        <f t="shared" si="438"/>
        <v>0</v>
      </c>
      <c r="L1128" s="46"/>
      <c r="M1128" s="46">
        <f>SUM(M1130:M1134)</f>
        <v>0</v>
      </c>
      <c r="N1128" s="46"/>
      <c r="O1128" s="24">
        <f t="shared" si="5"/>
        <v>190740000</v>
      </c>
      <c r="P1128" s="24">
        <f t="shared" si="6"/>
        <v>190740000</v>
      </c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ht="10.5" customHeight="1">
      <c r="A1129" s="1"/>
      <c r="B1129" s="61"/>
      <c r="C1129" s="61"/>
      <c r="D1129" s="22"/>
      <c r="E1129" s="60" t="s">
        <v>23</v>
      </c>
      <c r="F1129" s="60"/>
      <c r="G1129" s="36"/>
      <c r="H1129" s="22"/>
      <c r="I1129" s="22"/>
      <c r="J1129" s="22"/>
      <c r="K1129" s="22"/>
      <c r="L1129" s="22"/>
      <c r="M1129" s="22"/>
      <c r="N1129" s="22"/>
      <c r="O1129" s="24">
        <f t="shared" si="5"/>
        <v>0</v>
      </c>
      <c r="P1129" s="24">
        <f t="shared" si="6"/>
        <v>0</v>
      </c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ht="14.25" customHeight="1">
      <c r="A1130" s="1"/>
      <c r="B1130" s="61"/>
      <c r="C1130" s="61"/>
      <c r="D1130" s="22"/>
      <c r="E1130" s="60" t="s">
        <v>128</v>
      </c>
      <c r="F1130" s="60"/>
      <c r="G1130" s="36">
        <v>88.0</v>
      </c>
      <c r="H1130" s="36" t="s">
        <v>129</v>
      </c>
      <c r="I1130" s="48">
        <v>110000.0</v>
      </c>
      <c r="J1130" s="46">
        <f t="shared" ref="J1130:J1134" si="439">G1130*I1130</f>
        <v>9680000</v>
      </c>
      <c r="K1130" s="46"/>
      <c r="L1130" s="46"/>
      <c r="M1130" s="46"/>
      <c r="N1130" s="46"/>
      <c r="O1130" s="24">
        <f t="shared" si="5"/>
        <v>9680000</v>
      </c>
      <c r="P1130" s="24">
        <f t="shared" si="6"/>
        <v>9680000</v>
      </c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ht="14.25" customHeight="1">
      <c r="A1131" s="1"/>
      <c r="B1131" s="61"/>
      <c r="C1131" s="61"/>
      <c r="D1131" s="22"/>
      <c r="E1131" s="60" t="s">
        <v>130</v>
      </c>
      <c r="F1131" s="60"/>
      <c r="G1131" s="36">
        <v>88.0</v>
      </c>
      <c r="H1131" s="36" t="s">
        <v>129</v>
      </c>
      <c r="I1131" s="48">
        <v>120000.0</v>
      </c>
      <c r="J1131" s="46">
        <f t="shared" si="439"/>
        <v>10560000</v>
      </c>
      <c r="K1131" s="46"/>
      <c r="L1131" s="46"/>
      <c r="M1131" s="46"/>
      <c r="N1131" s="46"/>
      <c r="O1131" s="24">
        <f t="shared" si="5"/>
        <v>10560000</v>
      </c>
      <c r="P1131" s="24">
        <f t="shared" si="6"/>
        <v>10560000</v>
      </c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ht="14.25" customHeight="1">
      <c r="A1132" s="1"/>
      <c r="B1132" s="61"/>
      <c r="C1132" s="61"/>
      <c r="D1132" s="22"/>
      <c r="E1132" s="60" t="s">
        <v>131</v>
      </c>
      <c r="F1132" s="60"/>
      <c r="G1132" s="36">
        <v>88.0</v>
      </c>
      <c r="H1132" s="36" t="s">
        <v>129</v>
      </c>
      <c r="I1132" s="48">
        <v>350000.0</v>
      </c>
      <c r="J1132" s="46">
        <f t="shared" si="439"/>
        <v>30800000</v>
      </c>
      <c r="K1132" s="46"/>
      <c r="L1132" s="46"/>
      <c r="M1132" s="46"/>
      <c r="N1132" s="46"/>
      <c r="O1132" s="24">
        <f t="shared" si="5"/>
        <v>30800000</v>
      </c>
      <c r="P1132" s="24">
        <f t="shared" si="6"/>
        <v>30800000</v>
      </c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ht="14.25" customHeight="1">
      <c r="A1133" s="1"/>
      <c r="B1133" s="61"/>
      <c r="C1133" s="61"/>
      <c r="D1133" s="22"/>
      <c r="E1133" s="60" t="s">
        <v>132</v>
      </c>
      <c r="F1133" s="60"/>
      <c r="G1133" s="36">
        <v>44.0</v>
      </c>
      <c r="H1133" s="36" t="s">
        <v>129</v>
      </c>
      <c r="I1133" s="48">
        <v>175000.0</v>
      </c>
      <c r="J1133" s="46">
        <f t="shared" si="439"/>
        <v>7700000</v>
      </c>
      <c r="K1133" s="46"/>
      <c r="L1133" s="46"/>
      <c r="M1133" s="46"/>
      <c r="N1133" s="46"/>
      <c r="O1133" s="24">
        <f t="shared" si="5"/>
        <v>7700000</v>
      </c>
      <c r="P1133" s="24">
        <f t="shared" si="6"/>
        <v>7700000</v>
      </c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ht="14.25" customHeight="1">
      <c r="A1134" s="1"/>
      <c r="B1134" s="61"/>
      <c r="C1134" s="61"/>
      <c r="D1134" s="22"/>
      <c r="E1134" s="60" t="s">
        <v>133</v>
      </c>
      <c r="F1134" s="60"/>
      <c r="G1134" s="36">
        <v>528.0</v>
      </c>
      <c r="H1134" s="36" t="s">
        <v>129</v>
      </c>
      <c r="I1134" s="48">
        <v>250000.0</v>
      </c>
      <c r="J1134" s="46">
        <f t="shared" si="439"/>
        <v>132000000</v>
      </c>
      <c r="K1134" s="46"/>
      <c r="L1134" s="46"/>
      <c r="M1134" s="46"/>
      <c r="N1134" s="46"/>
      <c r="O1134" s="24">
        <f t="shared" si="5"/>
        <v>132000000</v>
      </c>
      <c r="P1134" s="24">
        <f t="shared" si="6"/>
        <v>132000000</v>
      </c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ht="10.5" customHeight="1">
      <c r="A1135" s="1"/>
      <c r="B1135" s="61"/>
      <c r="C1135" s="61"/>
      <c r="D1135" s="56"/>
      <c r="E1135" s="63" t="s">
        <v>135</v>
      </c>
      <c r="F1135" s="63"/>
      <c r="G1135" s="42"/>
      <c r="H1135" s="22"/>
      <c r="I1135" s="22"/>
      <c r="J1135" s="43">
        <f t="shared" ref="J1135:K1135" si="440">J1136</f>
        <v>10370000</v>
      </c>
      <c r="K1135" s="43">
        <f t="shared" si="440"/>
        <v>0</v>
      </c>
      <c r="L1135" s="43"/>
      <c r="M1135" s="43">
        <f>M1136</f>
        <v>0</v>
      </c>
      <c r="N1135" s="43"/>
      <c r="O1135" s="24">
        <f t="shared" si="5"/>
        <v>10370000</v>
      </c>
      <c r="P1135" s="24">
        <f t="shared" si="6"/>
        <v>10370000</v>
      </c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ht="14.25" customHeight="1">
      <c r="A1136" s="1"/>
      <c r="B1136" s="61"/>
      <c r="C1136" s="61"/>
      <c r="D1136" s="47"/>
      <c r="E1136" s="62" t="s">
        <v>69</v>
      </c>
      <c r="F1136" s="62"/>
      <c r="G1136" s="45"/>
      <c r="H1136" s="22"/>
      <c r="I1136" s="22"/>
      <c r="J1136" s="46">
        <f t="shared" ref="J1136:K1136" si="441">SUM(J1138:J1142)</f>
        <v>10370000</v>
      </c>
      <c r="K1136" s="46">
        <f t="shared" si="441"/>
        <v>0</v>
      </c>
      <c r="L1136" s="46"/>
      <c r="M1136" s="46">
        <f>SUM(M1138:M1142)</f>
        <v>0</v>
      </c>
      <c r="N1136" s="46"/>
      <c r="O1136" s="24">
        <f t="shared" si="5"/>
        <v>10370000</v>
      </c>
      <c r="P1136" s="24">
        <f t="shared" si="6"/>
        <v>10370000</v>
      </c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ht="10.5" customHeight="1">
      <c r="A1137" s="1"/>
      <c r="B1137" s="61"/>
      <c r="C1137" s="61"/>
      <c r="D1137" s="22"/>
      <c r="E1137" s="60" t="s">
        <v>23</v>
      </c>
      <c r="F1137" s="60"/>
      <c r="G1137" s="36"/>
      <c r="H1137" s="22"/>
      <c r="I1137" s="22"/>
      <c r="J1137" s="22"/>
      <c r="K1137" s="22"/>
      <c r="L1137" s="22"/>
      <c r="M1137" s="22"/>
      <c r="N1137" s="22"/>
      <c r="O1137" s="24">
        <f t="shared" si="5"/>
        <v>0</v>
      </c>
      <c r="P1137" s="24">
        <f t="shared" si="6"/>
        <v>0</v>
      </c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ht="14.25" customHeight="1">
      <c r="A1138" s="1"/>
      <c r="B1138" s="61"/>
      <c r="C1138" s="61"/>
      <c r="D1138" s="22"/>
      <c r="E1138" s="60" t="s">
        <v>136</v>
      </c>
      <c r="F1138" s="60"/>
      <c r="G1138" s="36">
        <v>75.0</v>
      </c>
      <c r="H1138" s="36" t="s">
        <v>95</v>
      </c>
      <c r="I1138" s="48">
        <v>75000.0</v>
      </c>
      <c r="J1138" s="46">
        <f t="shared" ref="J1138:J1142" si="442">G1138*I1138</f>
        <v>5625000</v>
      </c>
      <c r="K1138" s="46"/>
      <c r="L1138" s="46"/>
      <c r="M1138" s="46"/>
      <c r="N1138" s="46"/>
      <c r="O1138" s="24">
        <f t="shared" si="5"/>
        <v>5625000</v>
      </c>
      <c r="P1138" s="24">
        <f t="shared" si="6"/>
        <v>5625000</v>
      </c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ht="10.5" customHeight="1">
      <c r="A1139" s="1"/>
      <c r="B1139" s="61"/>
      <c r="C1139" s="61"/>
      <c r="D1139" s="22"/>
      <c r="E1139" s="60" t="s">
        <v>137</v>
      </c>
      <c r="F1139" s="60"/>
      <c r="G1139" s="36">
        <v>2.0</v>
      </c>
      <c r="H1139" s="36" t="s">
        <v>95</v>
      </c>
      <c r="I1139" s="48">
        <v>360000.0</v>
      </c>
      <c r="J1139" s="46">
        <f t="shared" si="442"/>
        <v>720000</v>
      </c>
      <c r="K1139" s="46"/>
      <c r="L1139" s="46"/>
      <c r="M1139" s="46"/>
      <c r="N1139" s="46"/>
      <c r="O1139" s="24">
        <f t="shared" si="5"/>
        <v>720000</v>
      </c>
      <c r="P1139" s="24">
        <f t="shared" si="6"/>
        <v>720000</v>
      </c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ht="14.25" customHeight="1">
      <c r="A1140" s="1"/>
      <c r="B1140" s="61"/>
      <c r="C1140" s="61"/>
      <c r="D1140" s="22"/>
      <c r="E1140" s="60" t="s">
        <v>138</v>
      </c>
      <c r="F1140" s="60"/>
      <c r="G1140" s="36">
        <v>25.0</v>
      </c>
      <c r="H1140" s="36" t="s">
        <v>95</v>
      </c>
      <c r="I1140" s="48">
        <v>93000.0</v>
      </c>
      <c r="J1140" s="46">
        <f t="shared" si="442"/>
        <v>2325000</v>
      </c>
      <c r="K1140" s="46"/>
      <c r="L1140" s="46"/>
      <c r="M1140" s="46"/>
      <c r="N1140" s="46"/>
      <c r="O1140" s="24">
        <f t="shared" si="5"/>
        <v>2325000</v>
      </c>
      <c r="P1140" s="24">
        <f t="shared" si="6"/>
        <v>2325000</v>
      </c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ht="14.25" customHeight="1">
      <c r="A1141" s="1"/>
      <c r="B1141" s="61"/>
      <c r="C1141" s="61"/>
      <c r="D1141" s="22"/>
      <c r="E1141" s="60" t="s">
        <v>139</v>
      </c>
      <c r="F1141" s="60"/>
      <c r="G1141" s="36">
        <v>25.0</v>
      </c>
      <c r="H1141" s="36" t="s">
        <v>95</v>
      </c>
      <c r="I1141" s="48">
        <v>53000.0</v>
      </c>
      <c r="J1141" s="46">
        <f t="shared" si="442"/>
        <v>1325000</v>
      </c>
      <c r="K1141" s="46"/>
      <c r="L1141" s="46"/>
      <c r="M1141" s="46"/>
      <c r="N1141" s="46"/>
      <c r="O1141" s="24">
        <f t="shared" si="5"/>
        <v>1325000</v>
      </c>
      <c r="P1141" s="24">
        <f t="shared" si="6"/>
        <v>1325000</v>
      </c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ht="14.25" customHeight="1">
      <c r="A1142" s="1"/>
      <c r="B1142" s="61"/>
      <c r="C1142" s="61"/>
      <c r="D1142" s="22"/>
      <c r="E1142" s="60" t="s">
        <v>140</v>
      </c>
      <c r="F1142" s="60"/>
      <c r="G1142" s="36">
        <v>25.0</v>
      </c>
      <c r="H1142" s="36" t="s">
        <v>95</v>
      </c>
      <c r="I1142" s="48">
        <v>15000.0</v>
      </c>
      <c r="J1142" s="46">
        <f t="shared" si="442"/>
        <v>375000</v>
      </c>
      <c r="K1142" s="46"/>
      <c r="L1142" s="46"/>
      <c r="M1142" s="46"/>
      <c r="N1142" s="46"/>
      <c r="O1142" s="24">
        <f t="shared" si="5"/>
        <v>375000</v>
      </c>
      <c r="P1142" s="24">
        <f t="shared" si="6"/>
        <v>375000</v>
      </c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ht="10.5" customHeight="1">
      <c r="A1143" s="1"/>
      <c r="B1143" s="61"/>
      <c r="C1143" s="61"/>
      <c r="D1143" s="56"/>
      <c r="E1143" s="63" t="s">
        <v>142</v>
      </c>
      <c r="F1143" s="63"/>
      <c r="G1143" s="42"/>
      <c r="H1143" s="22"/>
      <c r="I1143" s="22"/>
      <c r="J1143" s="43">
        <f t="shared" ref="J1143:K1143" si="443">J1144</f>
        <v>76750000</v>
      </c>
      <c r="K1143" s="43">
        <f t="shared" si="443"/>
        <v>0</v>
      </c>
      <c r="L1143" s="43"/>
      <c r="M1143" s="43">
        <f>M1144</f>
        <v>0</v>
      </c>
      <c r="N1143" s="43"/>
      <c r="O1143" s="24">
        <f t="shared" si="5"/>
        <v>76750000</v>
      </c>
      <c r="P1143" s="24">
        <f t="shared" si="6"/>
        <v>76750000</v>
      </c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ht="14.25" customHeight="1">
      <c r="A1144" s="1"/>
      <c r="B1144" s="61"/>
      <c r="C1144" s="61"/>
      <c r="D1144" s="47"/>
      <c r="E1144" s="62" t="s">
        <v>69</v>
      </c>
      <c r="F1144" s="62"/>
      <c r="G1144" s="45"/>
      <c r="H1144" s="22"/>
      <c r="I1144" s="22"/>
      <c r="J1144" s="46">
        <f t="shared" ref="J1144:K1144" si="444">SUM(J1146:J1148)</f>
        <v>76750000</v>
      </c>
      <c r="K1144" s="46">
        <f t="shared" si="444"/>
        <v>0</v>
      </c>
      <c r="L1144" s="46"/>
      <c r="M1144" s="46">
        <f>SUM(M1146:M1148)</f>
        <v>0</v>
      </c>
      <c r="N1144" s="46"/>
      <c r="O1144" s="24">
        <f t="shared" si="5"/>
        <v>76750000</v>
      </c>
      <c r="P1144" s="24">
        <f t="shared" si="6"/>
        <v>76750000</v>
      </c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ht="10.5" customHeight="1">
      <c r="A1145" s="1"/>
      <c r="B1145" s="61"/>
      <c r="C1145" s="61"/>
      <c r="D1145" s="22"/>
      <c r="E1145" s="60" t="s">
        <v>23</v>
      </c>
      <c r="F1145" s="60"/>
      <c r="G1145" s="36"/>
      <c r="H1145" s="22"/>
      <c r="I1145" s="22"/>
      <c r="J1145" s="22"/>
      <c r="K1145" s="22"/>
      <c r="L1145" s="22"/>
      <c r="M1145" s="22"/>
      <c r="N1145" s="22"/>
      <c r="O1145" s="24">
        <f t="shared" si="5"/>
        <v>0</v>
      </c>
      <c r="P1145" s="24">
        <f t="shared" si="6"/>
        <v>0</v>
      </c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ht="14.25" customHeight="1">
      <c r="A1146" s="1"/>
      <c r="B1146" s="61"/>
      <c r="C1146" s="61"/>
      <c r="D1146" s="22"/>
      <c r="E1146" s="60" t="s">
        <v>143</v>
      </c>
      <c r="F1146" s="60"/>
      <c r="G1146" s="36">
        <v>25.0</v>
      </c>
      <c r="H1146" s="36" t="s">
        <v>95</v>
      </c>
      <c r="I1146" s="48">
        <v>2000000.0</v>
      </c>
      <c r="J1146" s="46">
        <f t="shared" ref="J1146:J1148" si="445">G1146*I1146</f>
        <v>50000000</v>
      </c>
      <c r="K1146" s="46"/>
      <c r="L1146" s="46"/>
      <c r="M1146" s="46"/>
      <c r="N1146" s="46"/>
      <c r="O1146" s="24">
        <f t="shared" si="5"/>
        <v>50000000</v>
      </c>
      <c r="P1146" s="24">
        <f t="shared" si="6"/>
        <v>50000000</v>
      </c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ht="14.25" customHeight="1">
      <c r="A1147" s="1"/>
      <c r="B1147" s="61"/>
      <c r="C1147" s="61"/>
      <c r="D1147" s="22"/>
      <c r="E1147" s="60" t="s">
        <v>144</v>
      </c>
      <c r="F1147" s="60"/>
      <c r="G1147" s="36">
        <v>25.0</v>
      </c>
      <c r="H1147" s="36" t="s">
        <v>95</v>
      </c>
      <c r="I1147" s="48">
        <v>750000.0</v>
      </c>
      <c r="J1147" s="46">
        <f t="shared" si="445"/>
        <v>18750000</v>
      </c>
      <c r="K1147" s="46"/>
      <c r="L1147" s="46"/>
      <c r="M1147" s="46"/>
      <c r="N1147" s="46"/>
      <c r="O1147" s="24">
        <f t="shared" si="5"/>
        <v>18750000</v>
      </c>
      <c r="P1147" s="24">
        <f t="shared" si="6"/>
        <v>18750000</v>
      </c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ht="14.25" customHeight="1">
      <c r="A1148" s="1"/>
      <c r="B1148" s="61"/>
      <c r="C1148" s="61"/>
      <c r="D1148" s="22"/>
      <c r="E1148" s="60" t="s">
        <v>145</v>
      </c>
      <c r="F1148" s="60"/>
      <c r="G1148" s="36">
        <v>4.0</v>
      </c>
      <c r="H1148" s="36" t="s">
        <v>95</v>
      </c>
      <c r="I1148" s="48">
        <v>2000000.0</v>
      </c>
      <c r="J1148" s="46">
        <f t="shared" si="445"/>
        <v>8000000</v>
      </c>
      <c r="K1148" s="46"/>
      <c r="L1148" s="46"/>
      <c r="M1148" s="46"/>
      <c r="N1148" s="46"/>
      <c r="O1148" s="24">
        <f t="shared" si="5"/>
        <v>8000000</v>
      </c>
      <c r="P1148" s="24">
        <f t="shared" si="6"/>
        <v>8000000</v>
      </c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ht="14.25" customHeight="1">
      <c r="A1149" s="1"/>
      <c r="B1149" s="61"/>
      <c r="C1149" s="61"/>
      <c r="D1149" s="56"/>
      <c r="E1149" s="63" t="s">
        <v>147</v>
      </c>
      <c r="F1149" s="63"/>
      <c r="G1149" s="42"/>
      <c r="H1149" s="22"/>
      <c r="I1149" s="22"/>
      <c r="J1149" s="43">
        <f t="shared" ref="J1149:K1149" si="446">J1150+J1157</f>
        <v>182300000</v>
      </c>
      <c r="K1149" s="43">
        <f t="shared" si="446"/>
        <v>0</v>
      </c>
      <c r="L1149" s="43"/>
      <c r="M1149" s="43">
        <f>M1150+M1157</f>
        <v>30622000</v>
      </c>
      <c r="N1149" s="43"/>
      <c r="O1149" s="24">
        <f t="shared" si="5"/>
        <v>182300000</v>
      </c>
      <c r="P1149" s="24">
        <f t="shared" si="6"/>
        <v>151678000</v>
      </c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ht="14.25" customHeight="1">
      <c r="A1150" s="1"/>
      <c r="B1150" s="61"/>
      <c r="C1150" s="61"/>
      <c r="D1150" s="47"/>
      <c r="E1150" s="62" t="s">
        <v>75</v>
      </c>
      <c r="F1150" s="62"/>
      <c r="G1150" s="45"/>
      <c r="H1150" s="22"/>
      <c r="I1150" s="22"/>
      <c r="J1150" s="46">
        <f t="shared" ref="J1150:K1150" si="447">SUM(J1152:J1156)</f>
        <v>158300000</v>
      </c>
      <c r="K1150" s="46">
        <f t="shared" si="447"/>
        <v>0</v>
      </c>
      <c r="L1150" s="46"/>
      <c r="M1150" s="46">
        <f>SUM(M1152:M1156)</f>
        <v>27922000</v>
      </c>
      <c r="N1150" s="46"/>
      <c r="O1150" s="24">
        <f t="shared" si="5"/>
        <v>158300000</v>
      </c>
      <c r="P1150" s="24">
        <f t="shared" si="6"/>
        <v>130378000</v>
      </c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ht="10.5" customHeight="1">
      <c r="A1151" s="1"/>
      <c r="B1151" s="61"/>
      <c r="C1151" s="61"/>
      <c r="D1151" s="22"/>
      <c r="E1151" s="60" t="s">
        <v>23</v>
      </c>
      <c r="F1151" s="60"/>
      <c r="G1151" s="36"/>
      <c r="H1151" s="22"/>
      <c r="I1151" s="22"/>
      <c r="J1151" s="22"/>
      <c r="K1151" s="22"/>
      <c r="L1151" s="22"/>
      <c r="M1151" s="22"/>
      <c r="N1151" s="22"/>
      <c r="O1151" s="24">
        <f t="shared" si="5"/>
        <v>0</v>
      </c>
      <c r="P1151" s="24">
        <f t="shared" si="6"/>
        <v>0</v>
      </c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ht="14.25" customHeight="1">
      <c r="A1152" s="1"/>
      <c r="B1152" s="61"/>
      <c r="C1152" s="61"/>
      <c r="D1152" s="22"/>
      <c r="E1152" s="60" t="s">
        <v>148</v>
      </c>
      <c r="F1152" s="60"/>
      <c r="G1152" s="36">
        <v>75.0</v>
      </c>
      <c r="H1152" s="36" t="s">
        <v>26</v>
      </c>
      <c r="I1152" s="48">
        <v>430000.0</v>
      </c>
      <c r="J1152" s="46">
        <f t="shared" ref="J1152:J1156" si="448">G1152*I1152</f>
        <v>32250000</v>
      </c>
      <c r="K1152" s="46"/>
      <c r="L1152" s="46"/>
      <c r="M1152" s="53">
        <v>1.558E7</v>
      </c>
      <c r="N1152" s="46"/>
      <c r="O1152" s="24">
        <f t="shared" si="5"/>
        <v>32250000</v>
      </c>
      <c r="P1152" s="24">
        <f t="shared" si="6"/>
        <v>16670000</v>
      </c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ht="14.25" customHeight="1">
      <c r="A1153" s="1"/>
      <c r="B1153" s="61"/>
      <c r="C1153" s="61"/>
      <c r="D1153" s="22"/>
      <c r="E1153" s="60" t="s">
        <v>149</v>
      </c>
      <c r="F1153" s="60"/>
      <c r="G1153" s="36">
        <v>50.0</v>
      </c>
      <c r="H1153" s="36" t="s">
        <v>26</v>
      </c>
      <c r="I1153" s="48">
        <v>891000.0</v>
      </c>
      <c r="J1153" s="46">
        <f t="shared" si="448"/>
        <v>44550000</v>
      </c>
      <c r="K1153" s="46"/>
      <c r="L1153" s="46"/>
      <c r="M1153" s="46"/>
      <c r="N1153" s="46"/>
      <c r="O1153" s="24">
        <f t="shared" si="5"/>
        <v>44550000</v>
      </c>
      <c r="P1153" s="24">
        <f t="shared" si="6"/>
        <v>44550000</v>
      </c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ht="14.25" customHeight="1">
      <c r="A1154" s="1"/>
      <c r="B1154" s="61"/>
      <c r="C1154" s="61"/>
      <c r="D1154" s="22"/>
      <c r="E1154" s="60" t="s">
        <v>150</v>
      </c>
      <c r="F1154" s="60"/>
      <c r="G1154" s="36">
        <v>25.0</v>
      </c>
      <c r="H1154" s="36" t="s">
        <v>26</v>
      </c>
      <c r="I1154" s="48">
        <v>910000.0</v>
      </c>
      <c r="J1154" s="46">
        <f t="shared" si="448"/>
        <v>22750000</v>
      </c>
      <c r="K1154" s="46"/>
      <c r="L1154" s="46"/>
      <c r="M1154" s="46"/>
      <c r="N1154" s="46"/>
      <c r="O1154" s="24">
        <f t="shared" si="5"/>
        <v>22750000</v>
      </c>
      <c r="P1154" s="24">
        <f t="shared" si="6"/>
        <v>22750000</v>
      </c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ht="14.25" customHeight="1">
      <c r="A1155" s="1"/>
      <c r="B1155" s="61"/>
      <c r="C1155" s="61"/>
      <c r="D1155" s="22"/>
      <c r="E1155" s="60" t="s">
        <v>151</v>
      </c>
      <c r="F1155" s="60"/>
      <c r="G1155" s="36">
        <v>50.0</v>
      </c>
      <c r="H1155" s="36" t="s">
        <v>26</v>
      </c>
      <c r="I1155" s="48">
        <v>500000.0</v>
      </c>
      <c r="J1155" s="46">
        <f t="shared" si="448"/>
        <v>25000000</v>
      </c>
      <c r="K1155" s="46"/>
      <c r="L1155" s="46"/>
      <c r="M1155" s="53">
        <v>1.2342E7</v>
      </c>
      <c r="N1155" s="46"/>
      <c r="O1155" s="24">
        <f t="shared" si="5"/>
        <v>25000000</v>
      </c>
      <c r="P1155" s="24">
        <f t="shared" si="6"/>
        <v>12658000</v>
      </c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ht="14.25" customHeight="1">
      <c r="A1156" s="1"/>
      <c r="B1156" s="61"/>
      <c r="C1156" s="61"/>
      <c r="D1156" s="22"/>
      <c r="E1156" s="60" t="s">
        <v>152</v>
      </c>
      <c r="F1156" s="60"/>
      <c r="G1156" s="36">
        <v>75.0</v>
      </c>
      <c r="H1156" s="36" t="s">
        <v>26</v>
      </c>
      <c r="I1156" s="48">
        <v>450000.0</v>
      </c>
      <c r="J1156" s="46">
        <f t="shared" si="448"/>
        <v>33750000</v>
      </c>
      <c r="K1156" s="46"/>
      <c r="L1156" s="46"/>
      <c r="M1156" s="46"/>
      <c r="N1156" s="46"/>
      <c r="O1156" s="24">
        <f t="shared" si="5"/>
        <v>33750000</v>
      </c>
      <c r="P1156" s="24">
        <f t="shared" si="6"/>
        <v>33750000</v>
      </c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ht="14.25" customHeight="1">
      <c r="A1157" s="1"/>
      <c r="B1157" s="61"/>
      <c r="C1157" s="61"/>
      <c r="D1157" s="47"/>
      <c r="E1157" s="62" t="s">
        <v>80</v>
      </c>
      <c r="F1157" s="62"/>
      <c r="G1157" s="45"/>
      <c r="H1157" s="22"/>
      <c r="I1157" s="22"/>
      <c r="J1157" s="46">
        <f t="shared" ref="J1157:K1157" si="449">J1159</f>
        <v>24000000</v>
      </c>
      <c r="K1157" s="46" t="str">
        <f t="shared" si="449"/>
        <v/>
      </c>
      <c r="L1157" s="46"/>
      <c r="M1157" s="46">
        <f>M1159</f>
        <v>2700000</v>
      </c>
      <c r="N1157" s="46"/>
      <c r="O1157" s="24">
        <f t="shared" si="5"/>
        <v>24000000</v>
      </c>
      <c r="P1157" s="24">
        <f t="shared" si="6"/>
        <v>21300000</v>
      </c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ht="10.5" customHeight="1">
      <c r="A1158" s="1"/>
      <c r="B1158" s="61"/>
      <c r="C1158" s="61"/>
      <c r="D1158" s="22"/>
      <c r="E1158" s="60" t="s">
        <v>23</v>
      </c>
      <c r="F1158" s="60"/>
      <c r="G1158" s="36"/>
      <c r="H1158" s="22"/>
      <c r="I1158" s="22"/>
      <c r="J1158" s="22"/>
      <c r="K1158" s="22"/>
      <c r="L1158" s="22"/>
      <c r="M1158" s="22"/>
      <c r="N1158" s="22"/>
      <c r="O1158" s="24">
        <f t="shared" si="5"/>
        <v>0</v>
      </c>
      <c r="P1158" s="24">
        <f t="shared" si="6"/>
        <v>0</v>
      </c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ht="14.25" customHeight="1">
      <c r="A1159" s="1"/>
      <c r="B1159" s="61"/>
      <c r="C1159" s="61"/>
      <c r="D1159" s="22"/>
      <c r="E1159" s="60" t="s">
        <v>153</v>
      </c>
      <c r="F1159" s="60"/>
      <c r="G1159" s="36">
        <v>160.0</v>
      </c>
      <c r="H1159" s="36" t="s">
        <v>26</v>
      </c>
      <c r="I1159" s="48">
        <v>150000.0</v>
      </c>
      <c r="J1159" s="46">
        <f>G1159*I1159</f>
        <v>24000000</v>
      </c>
      <c r="K1159" s="46"/>
      <c r="L1159" s="46"/>
      <c r="M1159" s="46">
        <v>2700000.0</v>
      </c>
      <c r="N1159" s="46"/>
      <c r="O1159" s="24">
        <f t="shared" si="5"/>
        <v>24000000</v>
      </c>
      <c r="P1159" s="24">
        <f t="shared" si="6"/>
        <v>21300000</v>
      </c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</sheetData>
  <mergeCells count="1305">
    <mergeCell ref="D2:F3"/>
    <mergeCell ref="G2:G3"/>
    <mergeCell ref="H2:H3"/>
    <mergeCell ref="I2:I3"/>
    <mergeCell ref="J2:J3"/>
    <mergeCell ref="K2:M2"/>
    <mergeCell ref="O2:P2"/>
    <mergeCell ref="B6:C6"/>
    <mergeCell ref="B8:C8"/>
    <mergeCell ref="B9:C9"/>
    <mergeCell ref="B10:C10"/>
    <mergeCell ref="B2:C3"/>
    <mergeCell ref="B4:C4"/>
    <mergeCell ref="D4:F4"/>
    <mergeCell ref="B5:C5"/>
    <mergeCell ref="D5:F5"/>
    <mergeCell ref="D6:F6"/>
    <mergeCell ref="D7:F7"/>
    <mergeCell ref="D8:F8"/>
    <mergeCell ref="D9:F9"/>
    <mergeCell ref="D10:F10"/>
    <mergeCell ref="D11:F11"/>
    <mergeCell ref="E12:F12"/>
    <mergeCell ref="E13:F13"/>
    <mergeCell ref="E14:F14"/>
    <mergeCell ref="E15:F15"/>
    <mergeCell ref="E16:F16"/>
    <mergeCell ref="E17:F17"/>
    <mergeCell ref="E18:F18"/>
    <mergeCell ref="B19:C19"/>
    <mergeCell ref="D19:F19"/>
    <mergeCell ref="D20:F20"/>
    <mergeCell ref="E21:F21"/>
    <mergeCell ref="E22:F22"/>
    <mergeCell ref="B23:C23"/>
    <mergeCell ref="D23:F23"/>
    <mergeCell ref="B24:C24"/>
    <mergeCell ref="D24:F24"/>
    <mergeCell ref="D25:F25"/>
    <mergeCell ref="E26:F26"/>
    <mergeCell ref="E27:F27"/>
    <mergeCell ref="E28:F28"/>
    <mergeCell ref="B29:C29"/>
    <mergeCell ref="D29:F29"/>
    <mergeCell ref="D30:F30"/>
    <mergeCell ref="E31:F31"/>
    <mergeCell ref="E73:F73"/>
    <mergeCell ref="D74:F74"/>
    <mergeCell ref="D66:F66"/>
    <mergeCell ref="D67:F67"/>
    <mergeCell ref="E68:F68"/>
    <mergeCell ref="E69:F69"/>
    <mergeCell ref="E70:F70"/>
    <mergeCell ref="D71:F71"/>
    <mergeCell ref="D72:F72"/>
    <mergeCell ref="B75:C75"/>
    <mergeCell ref="B80:C80"/>
    <mergeCell ref="B56:C56"/>
    <mergeCell ref="B59:C59"/>
    <mergeCell ref="B62:C62"/>
    <mergeCell ref="B65:C65"/>
    <mergeCell ref="B66:C66"/>
    <mergeCell ref="B71:C71"/>
    <mergeCell ref="B74:C74"/>
    <mergeCell ref="B32:C32"/>
    <mergeCell ref="D32:F32"/>
    <mergeCell ref="D33:F33"/>
    <mergeCell ref="E34:F34"/>
    <mergeCell ref="B35:C35"/>
    <mergeCell ref="D35:F35"/>
    <mergeCell ref="B36:C36"/>
    <mergeCell ref="D36:F36"/>
    <mergeCell ref="D37:F37"/>
    <mergeCell ref="E38:F38"/>
    <mergeCell ref="E39:F39"/>
    <mergeCell ref="E40:F40"/>
    <mergeCell ref="E41:F41"/>
    <mergeCell ref="B42:C42"/>
    <mergeCell ref="D42:F42"/>
    <mergeCell ref="D43:F43"/>
    <mergeCell ref="E44:F44"/>
    <mergeCell ref="B45:C45"/>
    <mergeCell ref="D45:F45"/>
    <mergeCell ref="D46:F46"/>
    <mergeCell ref="E47:F47"/>
    <mergeCell ref="B48:C48"/>
    <mergeCell ref="D48:F48"/>
    <mergeCell ref="B49:C49"/>
    <mergeCell ref="D49:F49"/>
    <mergeCell ref="D50:F50"/>
    <mergeCell ref="E51:F51"/>
    <mergeCell ref="B52:C52"/>
    <mergeCell ref="D52:F52"/>
    <mergeCell ref="D53:F53"/>
    <mergeCell ref="E54:F54"/>
    <mergeCell ref="E55:F55"/>
    <mergeCell ref="D56:F56"/>
    <mergeCell ref="D57:F57"/>
    <mergeCell ref="E58:F58"/>
    <mergeCell ref="D59:F59"/>
    <mergeCell ref="D60:F60"/>
    <mergeCell ref="E61:F61"/>
    <mergeCell ref="D62:F62"/>
    <mergeCell ref="D63:F63"/>
    <mergeCell ref="E64:F64"/>
    <mergeCell ref="D65:F65"/>
    <mergeCell ref="D75:F75"/>
    <mergeCell ref="D76:F76"/>
    <mergeCell ref="E77:F77"/>
    <mergeCell ref="E78:F78"/>
    <mergeCell ref="E79:F79"/>
    <mergeCell ref="D80:F80"/>
    <mergeCell ref="D81:F81"/>
    <mergeCell ref="E82:F82"/>
    <mergeCell ref="E83:F83"/>
    <mergeCell ref="B84:C84"/>
    <mergeCell ref="D84:F84"/>
    <mergeCell ref="B85:C85"/>
    <mergeCell ref="D85:F85"/>
    <mergeCell ref="D86:F86"/>
    <mergeCell ref="E87:F87"/>
    <mergeCell ref="E88:F88"/>
    <mergeCell ref="B89:C89"/>
    <mergeCell ref="D89:F89"/>
    <mergeCell ref="B90:C90"/>
    <mergeCell ref="D90:F90"/>
    <mergeCell ref="D91:F91"/>
    <mergeCell ref="E92:F92"/>
    <mergeCell ref="E93:F93"/>
    <mergeCell ref="E94:F94"/>
    <mergeCell ref="E95:F95"/>
    <mergeCell ref="E96:F96"/>
    <mergeCell ref="E97:F97"/>
    <mergeCell ref="E98:F98"/>
    <mergeCell ref="B99:C99"/>
    <mergeCell ref="D99:F99"/>
    <mergeCell ref="D100:F100"/>
    <mergeCell ref="E101:F101"/>
    <mergeCell ref="E102:F102"/>
    <mergeCell ref="E103:F103"/>
    <mergeCell ref="E104:F104"/>
    <mergeCell ref="B105:C105"/>
    <mergeCell ref="D105:F105"/>
    <mergeCell ref="B106:C106"/>
    <mergeCell ref="D106:F106"/>
    <mergeCell ref="D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B119:C119"/>
    <mergeCell ref="D119:F119"/>
    <mergeCell ref="B120:C120"/>
    <mergeCell ref="D120:F120"/>
    <mergeCell ref="D121:F121"/>
    <mergeCell ref="E122:F122"/>
    <mergeCell ref="E123:F123"/>
    <mergeCell ref="E124:F124"/>
    <mergeCell ref="E125:F125"/>
    <mergeCell ref="E126:F126"/>
    <mergeCell ref="B127:C127"/>
    <mergeCell ref="D127:F127"/>
    <mergeCell ref="B128:C128"/>
    <mergeCell ref="D128:F128"/>
    <mergeCell ref="D129:F129"/>
    <mergeCell ref="E130:F130"/>
    <mergeCell ref="E131:F131"/>
    <mergeCell ref="E132:F132"/>
    <mergeCell ref="E133:F133"/>
    <mergeCell ref="E134:F134"/>
    <mergeCell ref="B135:C135"/>
    <mergeCell ref="D135:F135"/>
    <mergeCell ref="B136:C136"/>
    <mergeCell ref="D136:F136"/>
    <mergeCell ref="D137:F137"/>
    <mergeCell ref="E138:F138"/>
    <mergeCell ref="E139:F139"/>
    <mergeCell ref="E140:F140"/>
    <mergeCell ref="B141:C141"/>
    <mergeCell ref="D141:F141"/>
    <mergeCell ref="B142:C142"/>
    <mergeCell ref="D142:F142"/>
    <mergeCell ref="D143:F143"/>
    <mergeCell ref="E144:F144"/>
    <mergeCell ref="E145:F145"/>
    <mergeCell ref="E146:F146"/>
    <mergeCell ref="E147:F147"/>
    <mergeCell ref="E148:F148"/>
    <mergeCell ref="B149:C149"/>
    <mergeCell ref="D149:F149"/>
    <mergeCell ref="D150:F150"/>
    <mergeCell ref="E151:F151"/>
    <mergeCell ref="B152:C152"/>
    <mergeCell ref="D152:F152"/>
    <mergeCell ref="B153:C153"/>
    <mergeCell ref="D153:F153"/>
    <mergeCell ref="B154:C154"/>
    <mergeCell ref="D154:F154"/>
    <mergeCell ref="D155:F155"/>
    <mergeCell ref="E156:F156"/>
    <mergeCell ref="E157:F157"/>
    <mergeCell ref="E158:F158"/>
    <mergeCell ref="E159:F159"/>
    <mergeCell ref="E160:F160"/>
    <mergeCell ref="D203:F203"/>
    <mergeCell ref="D204:F204"/>
    <mergeCell ref="E205:F205"/>
    <mergeCell ref="D196:F196"/>
    <mergeCell ref="D197:F197"/>
    <mergeCell ref="E198:F198"/>
    <mergeCell ref="E199:F199"/>
    <mergeCell ref="D200:F200"/>
    <mergeCell ref="D201:F201"/>
    <mergeCell ref="E202:F202"/>
    <mergeCell ref="B206:C206"/>
    <mergeCell ref="B209:C209"/>
    <mergeCell ref="B210:C210"/>
    <mergeCell ref="B186:C186"/>
    <mergeCell ref="B189:C189"/>
    <mergeCell ref="B192:C192"/>
    <mergeCell ref="B193:C193"/>
    <mergeCell ref="B196:C196"/>
    <mergeCell ref="B200:C200"/>
    <mergeCell ref="B203:C203"/>
    <mergeCell ref="E161:F161"/>
    <mergeCell ref="E162:F162"/>
    <mergeCell ref="B163:C163"/>
    <mergeCell ref="D163:F163"/>
    <mergeCell ref="D164:F164"/>
    <mergeCell ref="E165:F165"/>
    <mergeCell ref="E166:F166"/>
    <mergeCell ref="B167:C167"/>
    <mergeCell ref="D167:F167"/>
    <mergeCell ref="B168:C168"/>
    <mergeCell ref="D168:F168"/>
    <mergeCell ref="D169:F169"/>
    <mergeCell ref="E170:F170"/>
    <mergeCell ref="E171:F171"/>
    <mergeCell ref="E172:F172"/>
    <mergeCell ref="B173:C173"/>
    <mergeCell ref="D173:F173"/>
    <mergeCell ref="D174:F174"/>
    <mergeCell ref="E175:F175"/>
    <mergeCell ref="B176:C176"/>
    <mergeCell ref="D176:F176"/>
    <mergeCell ref="D177:F177"/>
    <mergeCell ref="E178:F178"/>
    <mergeCell ref="B179:C179"/>
    <mergeCell ref="D179:F179"/>
    <mergeCell ref="B180:C180"/>
    <mergeCell ref="D180:F180"/>
    <mergeCell ref="D181:F181"/>
    <mergeCell ref="E182:F182"/>
    <mergeCell ref="E183:F183"/>
    <mergeCell ref="E184:F184"/>
    <mergeCell ref="E185:F185"/>
    <mergeCell ref="D186:F186"/>
    <mergeCell ref="D187:F187"/>
    <mergeCell ref="E188:F188"/>
    <mergeCell ref="D189:F189"/>
    <mergeCell ref="D190:F190"/>
    <mergeCell ref="E191:F191"/>
    <mergeCell ref="D192:F192"/>
    <mergeCell ref="D193:F193"/>
    <mergeCell ref="D194:F194"/>
    <mergeCell ref="E195:F195"/>
    <mergeCell ref="D206:F206"/>
    <mergeCell ref="D207:F207"/>
    <mergeCell ref="E208:F208"/>
    <mergeCell ref="D209:F209"/>
    <mergeCell ref="D210:F210"/>
    <mergeCell ref="D211:F211"/>
    <mergeCell ref="E212:F212"/>
    <mergeCell ref="B218:C218"/>
    <mergeCell ref="B219:C219"/>
    <mergeCell ref="B224:C224"/>
    <mergeCell ref="B228:C228"/>
    <mergeCell ref="B229:C229"/>
    <mergeCell ref="B233:C233"/>
    <mergeCell ref="B234:C234"/>
    <mergeCell ref="E213:F213"/>
    <mergeCell ref="E214:F214"/>
    <mergeCell ref="B215:C215"/>
    <mergeCell ref="D215:F215"/>
    <mergeCell ref="D216:F216"/>
    <mergeCell ref="E217:F217"/>
    <mergeCell ref="D218:F218"/>
    <mergeCell ref="D219:F219"/>
    <mergeCell ref="D220:F220"/>
    <mergeCell ref="E221:F221"/>
    <mergeCell ref="E222:F222"/>
    <mergeCell ref="E223:F223"/>
    <mergeCell ref="D224:F224"/>
    <mergeCell ref="D225:F225"/>
    <mergeCell ref="E226:F226"/>
    <mergeCell ref="E227:F227"/>
    <mergeCell ref="D228:F228"/>
    <mergeCell ref="D229:F229"/>
    <mergeCell ref="D230:F230"/>
    <mergeCell ref="E231:F231"/>
    <mergeCell ref="E232:F232"/>
    <mergeCell ref="D233:F233"/>
    <mergeCell ref="D234:F234"/>
    <mergeCell ref="D235:F235"/>
    <mergeCell ref="E236:F236"/>
    <mergeCell ref="E237:F237"/>
    <mergeCell ref="E238:F238"/>
    <mergeCell ref="E239:F239"/>
    <mergeCell ref="E240:F240"/>
    <mergeCell ref="E241:F241"/>
    <mergeCell ref="E242:F242"/>
    <mergeCell ref="B243:C243"/>
    <mergeCell ref="D243:F243"/>
    <mergeCell ref="D244:F244"/>
    <mergeCell ref="E245:F245"/>
    <mergeCell ref="E246:F246"/>
    <mergeCell ref="E247:F247"/>
    <mergeCell ref="E248:F248"/>
    <mergeCell ref="B249:C249"/>
    <mergeCell ref="D249:F249"/>
    <mergeCell ref="B250:C250"/>
    <mergeCell ref="D250:F250"/>
    <mergeCell ref="D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B263:C263"/>
    <mergeCell ref="D263:F263"/>
    <mergeCell ref="B264:C264"/>
    <mergeCell ref="D264:F264"/>
    <mergeCell ref="D265:F265"/>
    <mergeCell ref="E266:F266"/>
    <mergeCell ref="E267:F267"/>
    <mergeCell ref="E268:F268"/>
    <mergeCell ref="E269:F269"/>
    <mergeCell ref="E270:F270"/>
    <mergeCell ref="B271:C271"/>
    <mergeCell ref="D271:F271"/>
    <mergeCell ref="B272:C272"/>
    <mergeCell ref="D272:F272"/>
    <mergeCell ref="D273:F273"/>
    <mergeCell ref="E274:F274"/>
    <mergeCell ref="E275:F275"/>
    <mergeCell ref="E276:F276"/>
    <mergeCell ref="E277:F277"/>
    <mergeCell ref="E278:F278"/>
    <mergeCell ref="B279:C279"/>
    <mergeCell ref="D279:F279"/>
    <mergeCell ref="B280:C280"/>
    <mergeCell ref="D280:F280"/>
    <mergeCell ref="D281:F281"/>
    <mergeCell ref="E282:F282"/>
    <mergeCell ref="E283:F283"/>
    <mergeCell ref="E284:F284"/>
    <mergeCell ref="B285:C285"/>
    <mergeCell ref="D285:F285"/>
    <mergeCell ref="B286:C286"/>
    <mergeCell ref="D286:F286"/>
    <mergeCell ref="D287:F287"/>
    <mergeCell ref="E288:F288"/>
    <mergeCell ref="E289:F289"/>
    <mergeCell ref="E290:F290"/>
    <mergeCell ref="E291:F291"/>
    <mergeCell ref="D334:F334"/>
    <mergeCell ref="E335:F335"/>
    <mergeCell ref="E327:F327"/>
    <mergeCell ref="E328:F328"/>
    <mergeCell ref="E329:F329"/>
    <mergeCell ref="D330:F330"/>
    <mergeCell ref="D331:F331"/>
    <mergeCell ref="E332:F332"/>
    <mergeCell ref="D333:F333"/>
    <mergeCell ref="B337:C337"/>
    <mergeCell ref="B340:C340"/>
    <mergeCell ref="B317:C317"/>
    <mergeCell ref="B320:C320"/>
    <mergeCell ref="B323:C323"/>
    <mergeCell ref="B324:C324"/>
    <mergeCell ref="B330:C330"/>
    <mergeCell ref="B333:C333"/>
    <mergeCell ref="B336:C336"/>
    <mergeCell ref="E292:F292"/>
    <mergeCell ref="B293:C293"/>
    <mergeCell ref="D293:F293"/>
    <mergeCell ref="D294:F294"/>
    <mergeCell ref="E295:F295"/>
    <mergeCell ref="B296:C296"/>
    <mergeCell ref="D296:F296"/>
    <mergeCell ref="B297:C297"/>
    <mergeCell ref="D297:F297"/>
    <mergeCell ref="B298:C298"/>
    <mergeCell ref="D298:F298"/>
    <mergeCell ref="D299:F299"/>
    <mergeCell ref="E300:F300"/>
    <mergeCell ref="E301:F301"/>
    <mergeCell ref="E302:F302"/>
    <mergeCell ref="E303:F303"/>
    <mergeCell ref="E304:F304"/>
    <mergeCell ref="E305:F305"/>
    <mergeCell ref="E306:F306"/>
    <mergeCell ref="B307:C307"/>
    <mergeCell ref="D307:F307"/>
    <mergeCell ref="D308:F308"/>
    <mergeCell ref="E309:F309"/>
    <mergeCell ref="E310:F310"/>
    <mergeCell ref="B311:C311"/>
    <mergeCell ref="D311:F311"/>
    <mergeCell ref="B312:C312"/>
    <mergeCell ref="D312:F312"/>
    <mergeCell ref="D313:F313"/>
    <mergeCell ref="E314:F314"/>
    <mergeCell ref="E315:F315"/>
    <mergeCell ref="E316:F316"/>
    <mergeCell ref="D317:F317"/>
    <mergeCell ref="D318:F318"/>
    <mergeCell ref="E319:F319"/>
    <mergeCell ref="D320:F320"/>
    <mergeCell ref="D321:F321"/>
    <mergeCell ref="E322:F322"/>
    <mergeCell ref="D323:F323"/>
    <mergeCell ref="D324:F324"/>
    <mergeCell ref="D325:F325"/>
    <mergeCell ref="E326:F326"/>
    <mergeCell ref="D336:F336"/>
    <mergeCell ref="D337:F337"/>
    <mergeCell ref="D338:F338"/>
    <mergeCell ref="E339:F339"/>
    <mergeCell ref="D340:F340"/>
    <mergeCell ref="D341:F341"/>
    <mergeCell ref="E342:F342"/>
    <mergeCell ref="B494:C494"/>
    <mergeCell ref="B497:C497"/>
    <mergeCell ref="B498:C498"/>
    <mergeCell ref="B474:C474"/>
    <mergeCell ref="B477:C477"/>
    <mergeCell ref="B480:C480"/>
    <mergeCell ref="B481:C481"/>
    <mergeCell ref="B484:C484"/>
    <mergeCell ref="B488:C488"/>
    <mergeCell ref="B491:C491"/>
    <mergeCell ref="E449:F449"/>
    <mergeCell ref="E450:F450"/>
    <mergeCell ref="B451:C451"/>
    <mergeCell ref="D451:F451"/>
    <mergeCell ref="D452:F452"/>
    <mergeCell ref="E453:F453"/>
    <mergeCell ref="E454:F454"/>
    <mergeCell ref="B455:C455"/>
    <mergeCell ref="D455:F455"/>
    <mergeCell ref="B456:C456"/>
    <mergeCell ref="D456:F456"/>
    <mergeCell ref="D457:F457"/>
    <mergeCell ref="E458:F458"/>
    <mergeCell ref="E459:F459"/>
    <mergeCell ref="E460:F460"/>
    <mergeCell ref="B461:C461"/>
    <mergeCell ref="D461:F461"/>
    <mergeCell ref="D462:F462"/>
    <mergeCell ref="E463:F463"/>
    <mergeCell ref="B464:C464"/>
    <mergeCell ref="D464:F464"/>
    <mergeCell ref="D465:F465"/>
    <mergeCell ref="E466:F466"/>
    <mergeCell ref="B467:C467"/>
    <mergeCell ref="D467:F467"/>
    <mergeCell ref="B468:C468"/>
    <mergeCell ref="D468:F468"/>
    <mergeCell ref="D469:F469"/>
    <mergeCell ref="E470:F470"/>
    <mergeCell ref="E471:F471"/>
    <mergeCell ref="E472:F472"/>
    <mergeCell ref="E473:F473"/>
    <mergeCell ref="D474:F474"/>
    <mergeCell ref="D475:F475"/>
    <mergeCell ref="E476:F476"/>
    <mergeCell ref="D477:F477"/>
    <mergeCell ref="D478:F478"/>
    <mergeCell ref="E479:F479"/>
    <mergeCell ref="D480:F480"/>
    <mergeCell ref="D481:F481"/>
    <mergeCell ref="D482:F482"/>
    <mergeCell ref="E483:F483"/>
    <mergeCell ref="D494:F494"/>
    <mergeCell ref="D495:F495"/>
    <mergeCell ref="E496:F496"/>
    <mergeCell ref="D497:F497"/>
    <mergeCell ref="D498:F498"/>
    <mergeCell ref="D499:F499"/>
    <mergeCell ref="E500:F500"/>
    <mergeCell ref="D368:F368"/>
    <mergeCell ref="D369:F369"/>
    <mergeCell ref="E370:F370"/>
    <mergeCell ref="E371:F371"/>
    <mergeCell ref="D372:F372"/>
    <mergeCell ref="D373:F373"/>
    <mergeCell ref="D374:F374"/>
    <mergeCell ref="E375:F375"/>
    <mergeCell ref="E376:F376"/>
    <mergeCell ref="D377:F377"/>
    <mergeCell ref="D378:F378"/>
    <mergeCell ref="D379:F379"/>
    <mergeCell ref="E380:F380"/>
    <mergeCell ref="E381:F381"/>
    <mergeCell ref="E382:F382"/>
    <mergeCell ref="E383:F383"/>
    <mergeCell ref="E384:F384"/>
    <mergeCell ref="E385:F385"/>
    <mergeCell ref="E386:F386"/>
    <mergeCell ref="D387:F387"/>
    <mergeCell ref="D388:F388"/>
    <mergeCell ref="E389:F389"/>
    <mergeCell ref="E390:F390"/>
    <mergeCell ref="E391:F391"/>
    <mergeCell ref="E392:F392"/>
    <mergeCell ref="D393:F393"/>
    <mergeCell ref="D394:F394"/>
    <mergeCell ref="D395:F395"/>
    <mergeCell ref="E343:F343"/>
    <mergeCell ref="B344:C344"/>
    <mergeCell ref="D344:F344"/>
    <mergeCell ref="D345:F345"/>
    <mergeCell ref="E346:F346"/>
    <mergeCell ref="B347:C347"/>
    <mergeCell ref="D347:F347"/>
    <mergeCell ref="D348:F348"/>
    <mergeCell ref="E349:F349"/>
    <mergeCell ref="B350:C350"/>
    <mergeCell ref="D350:F350"/>
    <mergeCell ref="D351:F351"/>
    <mergeCell ref="E352:F352"/>
    <mergeCell ref="D353:F353"/>
    <mergeCell ref="D354:F354"/>
    <mergeCell ref="D355:F355"/>
    <mergeCell ref="E356:F356"/>
    <mergeCell ref="E357:F357"/>
    <mergeCell ref="E358:F358"/>
    <mergeCell ref="D359:F359"/>
    <mergeCell ref="D360:F360"/>
    <mergeCell ref="E361:F361"/>
    <mergeCell ref="D362:F362"/>
    <mergeCell ref="D363:F363"/>
    <mergeCell ref="D364:F364"/>
    <mergeCell ref="E365:F365"/>
    <mergeCell ref="E366:F366"/>
    <mergeCell ref="E367:F367"/>
    <mergeCell ref="B373:C373"/>
    <mergeCell ref="B377:C377"/>
    <mergeCell ref="B378:C378"/>
    <mergeCell ref="B387:C387"/>
    <mergeCell ref="B393:C393"/>
    <mergeCell ref="B394:C394"/>
    <mergeCell ref="B353:C353"/>
    <mergeCell ref="B354:C354"/>
    <mergeCell ref="B359:C359"/>
    <mergeCell ref="B362:C362"/>
    <mergeCell ref="B363:C363"/>
    <mergeCell ref="B368:C368"/>
    <mergeCell ref="B372:C372"/>
    <mergeCell ref="E396:F396"/>
    <mergeCell ref="E397:F397"/>
    <mergeCell ref="E398:F398"/>
    <mergeCell ref="E399:F399"/>
    <mergeCell ref="E400:F400"/>
    <mergeCell ref="E401:F401"/>
    <mergeCell ref="E402:F402"/>
    <mergeCell ref="B441:C441"/>
    <mergeCell ref="B442:C442"/>
    <mergeCell ref="B437:C437"/>
    <mergeCell ref="D437:F437"/>
    <mergeCell ref="D438:F438"/>
    <mergeCell ref="E439:F439"/>
    <mergeCell ref="B440:C440"/>
    <mergeCell ref="D440:F440"/>
    <mergeCell ref="D441:F441"/>
    <mergeCell ref="E403:F403"/>
    <mergeCell ref="E404:F404"/>
    <mergeCell ref="E405:F405"/>
    <mergeCell ref="E406:F406"/>
    <mergeCell ref="B407:C407"/>
    <mergeCell ref="D407:F407"/>
    <mergeCell ref="B408:C408"/>
    <mergeCell ref="D408:F408"/>
    <mergeCell ref="D409:F409"/>
    <mergeCell ref="E410:F410"/>
    <mergeCell ref="E411:F411"/>
    <mergeCell ref="E412:F412"/>
    <mergeCell ref="E413:F413"/>
    <mergeCell ref="E414:F414"/>
    <mergeCell ref="B415:C415"/>
    <mergeCell ref="D415:F415"/>
    <mergeCell ref="B416:C416"/>
    <mergeCell ref="D416:F416"/>
    <mergeCell ref="D417:F417"/>
    <mergeCell ref="E418:F418"/>
    <mergeCell ref="E419:F419"/>
    <mergeCell ref="E420:F420"/>
    <mergeCell ref="E421:F421"/>
    <mergeCell ref="E422:F422"/>
    <mergeCell ref="B423:C423"/>
    <mergeCell ref="D423:F423"/>
    <mergeCell ref="B424:C424"/>
    <mergeCell ref="D424:F424"/>
    <mergeCell ref="D425:F425"/>
    <mergeCell ref="E426:F426"/>
    <mergeCell ref="E427:F427"/>
    <mergeCell ref="E428:F428"/>
    <mergeCell ref="B429:C429"/>
    <mergeCell ref="D429:F429"/>
    <mergeCell ref="B430:C430"/>
    <mergeCell ref="D430:F430"/>
    <mergeCell ref="D431:F431"/>
    <mergeCell ref="E432:F432"/>
    <mergeCell ref="E433:F433"/>
    <mergeCell ref="E434:F434"/>
    <mergeCell ref="E435:F435"/>
    <mergeCell ref="E436:F436"/>
    <mergeCell ref="D442:F442"/>
    <mergeCell ref="D443:F443"/>
    <mergeCell ref="E444:F444"/>
    <mergeCell ref="E445:F445"/>
    <mergeCell ref="E446:F446"/>
    <mergeCell ref="E447:F447"/>
    <mergeCell ref="E448:F448"/>
    <mergeCell ref="D491:F491"/>
    <mergeCell ref="D492:F492"/>
    <mergeCell ref="E493:F493"/>
    <mergeCell ref="D484:F484"/>
    <mergeCell ref="D485:F485"/>
    <mergeCell ref="E486:F486"/>
    <mergeCell ref="E487:F487"/>
    <mergeCell ref="D488:F488"/>
    <mergeCell ref="D489:F489"/>
    <mergeCell ref="E490:F490"/>
    <mergeCell ref="B506:C506"/>
    <mergeCell ref="B507:C507"/>
    <mergeCell ref="B512:C512"/>
    <mergeCell ref="B516:C516"/>
    <mergeCell ref="B517:C517"/>
    <mergeCell ref="B521:C521"/>
    <mergeCell ref="B522:C522"/>
    <mergeCell ref="E501:F501"/>
    <mergeCell ref="E502:F502"/>
    <mergeCell ref="B503:C503"/>
    <mergeCell ref="D503:F503"/>
    <mergeCell ref="D504:F504"/>
    <mergeCell ref="E505:F505"/>
    <mergeCell ref="D506:F506"/>
    <mergeCell ref="D507:F507"/>
    <mergeCell ref="D508:F508"/>
    <mergeCell ref="E509:F509"/>
    <mergeCell ref="E510:F510"/>
    <mergeCell ref="E511:F511"/>
    <mergeCell ref="D512:F512"/>
    <mergeCell ref="D513:F513"/>
    <mergeCell ref="E514:F514"/>
    <mergeCell ref="E515:F515"/>
    <mergeCell ref="D516:F516"/>
    <mergeCell ref="D517:F517"/>
    <mergeCell ref="D518:F518"/>
    <mergeCell ref="E519:F519"/>
    <mergeCell ref="E520:F520"/>
    <mergeCell ref="D521:F521"/>
    <mergeCell ref="D522:F522"/>
    <mergeCell ref="D523:F523"/>
    <mergeCell ref="E524:F524"/>
    <mergeCell ref="E525:F525"/>
    <mergeCell ref="E526:F526"/>
    <mergeCell ref="E527:F527"/>
    <mergeCell ref="E528:F528"/>
    <mergeCell ref="E529:F529"/>
    <mergeCell ref="E530:F530"/>
    <mergeCell ref="B531:C531"/>
    <mergeCell ref="D531:F531"/>
    <mergeCell ref="D532:F532"/>
    <mergeCell ref="E533:F533"/>
    <mergeCell ref="E534:F534"/>
    <mergeCell ref="E535:F535"/>
    <mergeCell ref="E536:F536"/>
    <mergeCell ref="B537:C537"/>
    <mergeCell ref="D537:F537"/>
    <mergeCell ref="B538:C538"/>
    <mergeCell ref="D538:F538"/>
    <mergeCell ref="D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B551:C551"/>
    <mergeCell ref="D551:F551"/>
    <mergeCell ref="B552:C552"/>
    <mergeCell ref="D552:F552"/>
    <mergeCell ref="D553:F553"/>
    <mergeCell ref="E554:F554"/>
    <mergeCell ref="E555:F555"/>
    <mergeCell ref="E556:F556"/>
    <mergeCell ref="E557:F557"/>
    <mergeCell ref="E558:F558"/>
    <mergeCell ref="B559:C559"/>
    <mergeCell ref="D559:F559"/>
    <mergeCell ref="B560:C560"/>
    <mergeCell ref="D560:F560"/>
    <mergeCell ref="D561:F561"/>
    <mergeCell ref="E562:F562"/>
    <mergeCell ref="E563:F563"/>
    <mergeCell ref="E564:F564"/>
    <mergeCell ref="E565:F565"/>
    <mergeCell ref="E566:F566"/>
    <mergeCell ref="B567:C567"/>
    <mergeCell ref="D567:F567"/>
    <mergeCell ref="B568:C568"/>
    <mergeCell ref="D568:F568"/>
    <mergeCell ref="D569:F569"/>
    <mergeCell ref="E570:F570"/>
    <mergeCell ref="E571:F571"/>
    <mergeCell ref="E572:F572"/>
    <mergeCell ref="B573:C573"/>
    <mergeCell ref="D573:F573"/>
    <mergeCell ref="B574:C574"/>
    <mergeCell ref="D574:F574"/>
    <mergeCell ref="D575:F575"/>
    <mergeCell ref="E576:F576"/>
    <mergeCell ref="E577:F577"/>
    <mergeCell ref="E578:F578"/>
    <mergeCell ref="E579:F579"/>
    <mergeCell ref="D622:F622"/>
    <mergeCell ref="E623:F623"/>
    <mergeCell ref="E615:F615"/>
    <mergeCell ref="E616:F616"/>
    <mergeCell ref="E617:F617"/>
    <mergeCell ref="D618:F618"/>
    <mergeCell ref="D619:F619"/>
    <mergeCell ref="E620:F620"/>
    <mergeCell ref="D621:F621"/>
    <mergeCell ref="B625:C625"/>
    <mergeCell ref="B628:C628"/>
    <mergeCell ref="B605:C605"/>
    <mergeCell ref="B608:C608"/>
    <mergeCell ref="B611:C611"/>
    <mergeCell ref="B612:C612"/>
    <mergeCell ref="B618:C618"/>
    <mergeCell ref="B621:C621"/>
    <mergeCell ref="B624:C624"/>
    <mergeCell ref="E580:F580"/>
    <mergeCell ref="B581:C581"/>
    <mergeCell ref="D581:F581"/>
    <mergeCell ref="D582:F582"/>
    <mergeCell ref="E583:F583"/>
    <mergeCell ref="B584:C584"/>
    <mergeCell ref="D584:F584"/>
    <mergeCell ref="B585:C585"/>
    <mergeCell ref="D585:F585"/>
    <mergeCell ref="B586:C586"/>
    <mergeCell ref="D586:F586"/>
    <mergeCell ref="D587:F587"/>
    <mergeCell ref="E588:F588"/>
    <mergeCell ref="E589:F589"/>
    <mergeCell ref="E590:F590"/>
    <mergeCell ref="E591:F591"/>
    <mergeCell ref="E592:F592"/>
    <mergeCell ref="E593:F593"/>
    <mergeCell ref="E594:F594"/>
    <mergeCell ref="B595:C595"/>
    <mergeCell ref="D595:F595"/>
    <mergeCell ref="D596:F596"/>
    <mergeCell ref="E597:F597"/>
    <mergeCell ref="E598:F598"/>
    <mergeCell ref="B599:C599"/>
    <mergeCell ref="D599:F599"/>
    <mergeCell ref="B600:C600"/>
    <mergeCell ref="D600:F600"/>
    <mergeCell ref="D601:F601"/>
    <mergeCell ref="E602:F602"/>
    <mergeCell ref="E603:F603"/>
    <mergeCell ref="E604:F604"/>
    <mergeCell ref="D605:F605"/>
    <mergeCell ref="D606:F606"/>
    <mergeCell ref="E607:F607"/>
    <mergeCell ref="D608:F608"/>
    <mergeCell ref="D609:F609"/>
    <mergeCell ref="E610:F610"/>
    <mergeCell ref="D611:F611"/>
    <mergeCell ref="D612:F612"/>
    <mergeCell ref="D613:F613"/>
    <mergeCell ref="E614:F614"/>
    <mergeCell ref="D624:F624"/>
    <mergeCell ref="D625:F625"/>
    <mergeCell ref="D626:F626"/>
    <mergeCell ref="E627:F627"/>
    <mergeCell ref="D628:F628"/>
    <mergeCell ref="D629:F629"/>
    <mergeCell ref="E630:F630"/>
    <mergeCell ref="D656:F656"/>
    <mergeCell ref="D657:F657"/>
    <mergeCell ref="E658:F658"/>
    <mergeCell ref="E659:F659"/>
    <mergeCell ref="D660:F660"/>
    <mergeCell ref="D661:F661"/>
    <mergeCell ref="D662:F662"/>
    <mergeCell ref="E663:F663"/>
    <mergeCell ref="E664:F664"/>
    <mergeCell ref="D665:F665"/>
    <mergeCell ref="D666:F666"/>
    <mergeCell ref="D667:F667"/>
    <mergeCell ref="E668:F668"/>
    <mergeCell ref="E669:F669"/>
    <mergeCell ref="E670:F670"/>
    <mergeCell ref="E671:F671"/>
    <mergeCell ref="E672:F672"/>
    <mergeCell ref="E673:F673"/>
    <mergeCell ref="E674:F674"/>
    <mergeCell ref="D675:F675"/>
    <mergeCell ref="D676:F676"/>
    <mergeCell ref="E677:F677"/>
    <mergeCell ref="E678:F678"/>
    <mergeCell ref="E679:F679"/>
    <mergeCell ref="E680:F680"/>
    <mergeCell ref="D681:F681"/>
    <mergeCell ref="D682:F682"/>
    <mergeCell ref="D683:F683"/>
    <mergeCell ref="E631:F631"/>
    <mergeCell ref="B632:C632"/>
    <mergeCell ref="D632:F632"/>
    <mergeCell ref="D633:F633"/>
    <mergeCell ref="E634:F634"/>
    <mergeCell ref="B635:C635"/>
    <mergeCell ref="D635:F635"/>
    <mergeCell ref="D636:F636"/>
    <mergeCell ref="E637:F637"/>
    <mergeCell ref="B638:C638"/>
    <mergeCell ref="D638:F638"/>
    <mergeCell ref="D639:F639"/>
    <mergeCell ref="E640:F640"/>
    <mergeCell ref="D641:F641"/>
    <mergeCell ref="D642:F642"/>
    <mergeCell ref="D643:F643"/>
    <mergeCell ref="E644:F644"/>
    <mergeCell ref="E645:F645"/>
    <mergeCell ref="E646:F646"/>
    <mergeCell ref="D647:F647"/>
    <mergeCell ref="D648:F648"/>
    <mergeCell ref="E649:F649"/>
    <mergeCell ref="D650:F650"/>
    <mergeCell ref="D651:F651"/>
    <mergeCell ref="D652:F652"/>
    <mergeCell ref="E653:F653"/>
    <mergeCell ref="E654:F654"/>
    <mergeCell ref="E655:F655"/>
    <mergeCell ref="B661:C661"/>
    <mergeCell ref="B665:C665"/>
    <mergeCell ref="B666:C666"/>
    <mergeCell ref="B675:C675"/>
    <mergeCell ref="B681:C681"/>
    <mergeCell ref="B682:C682"/>
    <mergeCell ref="B641:C641"/>
    <mergeCell ref="B642:C642"/>
    <mergeCell ref="B647:C647"/>
    <mergeCell ref="B650:C650"/>
    <mergeCell ref="B651:C651"/>
    <mergeCell ref="B656:C656"/>
    <mergeCell ref="B660:C660"/>
    <mergeCell ref="E684:F684"/>
    <mergeCell ref="E685:F685"/>
    <mergeCell ref="E686:F686"/>
    <mergeCell ref="E687:F687"/>
    <mergeCell ref="E688:F688"/>
    <mergeCell ref="E689:F689"/>
    <mergeCell ref="E690:F690"/>
    <mergeCell ref="D910:F910"/>
    <mergeCell ref="E911:F911"/>
    <mergeCell ref="E903:F903"/>
    <mergeCell ref="E904:F904"/>
    <mergeCell ref="E905:F905"/>
    <mergeCell ref="D906:F906"/>
    <mergeCell ref="D907:F907"/>
    <mergeCell ref="E908:F908"/>
    <mergeCell ref="D909:F909"/>
    <mergeCell ref="B913:C913"/>
    <mergeCell ref="B916:C916"/>
    <mergeCell ref="B893:C893"/>
    <mergeCell ref="B896:C896"/>
    <mergeCell ref="B899:C899"/>
    <mergeCell ref="B900:C900"/>
    <mergeCell ref="B906:C906"/>
    <mergeCell ref="B909:C909"/>
    <mergeCell ref="B912:C912"/>
    <mergeCell ref="E868:F868"/>
    <mergeCell ref="B869:C869"/>
    <mergeCell ref="D869:F869"/>
    <mergeCell ref="D870:F870"/>
    <mergeCell ref="E871:F871"/>
    <mergeCell ref="B872:C872"/>
    <mergeCell ref="D872:F872"/>
    <mergeCell ref="B873:C873"/>
    <mergeCell ref="D873:F873"/>
    <mergeCell ref="B874:C874"/>
    <mergeCell ref="D874:F874"/>
    <mergeCell ref="D875:F875"/>
    <mergeCell ref="E876:F876"/>
    <mergeCell ref="E877:F877"/>
    <mergeCell ref="E878:F878"/>
    <mergeCell ref="E879:F879"/>
    <mergeCell ref="E880:F880"/>
    <mergeCell ref="E881:F881"/>
    <mergeCell ref="E882:F882"/>
    <mergeCell ref="B883:C883"/>
    <mergeCell ref="D883:F883"/>
    <mergeCell ref="D884:F884"/>
    <mergeCell ref="E885:F885"/>
    <mergeCell ref="E886:F886"/>
    <mergeCell ref="B887:C887"/>
    <mergeCell ref="D887:F887"/>
    <mergeCell ref="B888:C888"/>
    <mergeCell ref="D888:F888"/>
    <mergeCell ref="D889:F889"/>
    <mergeCell ref="E890:F890"/>
    <mergeCell ref="E891:F891"/>
    <mergeCell ref="E892:F892"/>
    <mergeCell ref="D893:F893"/>
    <mergeCell ref="D894:F894"/>
    <mergeCell ref="E895:F895"/>
    <mergeCell ref="D896:F896"/>
    <mergeCell ref="D897:F897"/>
    <mergeCell ref="E898:F898"/>
    <mergeCell ref="D899:F899"/>
    <mergeCell ref="D900:F900"/>
    <mergeCell ref="D901:F901"/>
    <mergeCell ref="E902:F902"/>
    <mergeCell ref="D912:F912"/>
    <mergeCell ref="D913:F913"/>
    <mergeCell ref="D914:F914"/>
    <mergeCell ref="E915:F915"/>
    <mergeCell ref="D916:F916"/>
    <mergeCell ref="D917:F917"/>
    <mergeCell ref="E918:F918"/>
    <mergeCell ref="D944:F944"/>
    <mergeCell ref="D945:F945"/>
    <mergeCell ref="E946:F946"/>
    <mergeCell ref="E947:F947"/>
    <mergeCell ref="D948:F948"/>
    <mergeCell ref="D949:F949"/>
    <mergeCell ref="D950:F950"/>
    <mergeCell ref="E951:F951"/>
    <mergeCell ref="E952:F952"/>
    <mergeCell ref="D953:F953"/>
    <mergeCell ref="D954:F954"/>
    <mergeCell ref="D955:F955"/>
    <mergeCell ref="E956:F956"/>
    <mergeCell ref="E957:F957"/>
    <mergeCell ref="E958:F958"/>
    <mergeCell ref="E959:F959"/>
    <mergeCell ref="E960:F960"/>
    <mergeCell ref="E961:F961"/>
    <mergeCell ref="E962:F962"/>
    <mergeCell ref="D963:F963"/>
    <mergeCell ref="D964:F964"/>
    <mergeCell ref="E965:F965"/>
    <mergeCell ref="E966:F966"/>
    <mergeCell ref="E967:F967"/>
    <mergeCell ref="E968:F968"/>
    <mergeCell ref="D969:F969"/>
    <mergeCell ref="D970:F970"/>
    <mergeCell ref="D971:F971"/>
    <mergeCell ref="E979:F979"/>
    <mergeCell ref="E980:F980"/>
    <mergeCell ref="E981:F981"/>
    <mergeCell ref="E982:F982"/>
    <mergeCell ref="B983:C983"/>
    <mergeCell ref="D983:F983"/>
    <mergeCell ref="B984:C984"/>
    <mergeCell ref="D984:F984"/>
    <mergeCell ref="D985:F985"/>
    <mergeCell ref="E986:F986"/>
    <mergeCell ref="E987:F987"/>
    <mergeCell ref="E988:F988"/>
    <mergeCell ref="E989:F989"/>
    <mergeCell ref="E990:F990"/>
    <mergeCell ref="B991:C991"/>
    <mergeCell ref="D991:F991"/>
    <mergeCell ref="B992:C992"/>
    <mergeCell ref="D992:F992"/>
    <mergeCell ref="D993:F993"/>
    <mergeCell ref="E994:F994"/>
    <mergeCell ref="E995:F995"/>
    <mergeCell ref="E996:F996"/>
    <mergeCell ref="E997:F997"/>
    <mergeCell ref="E998:F998"/>
    <mergeCell ref="B999:C999"/>
    <mergeCell ref="D999:F999"/>
    <mergeCell ref="B1000:C1000"/>
    <mergeCell ref="D1000:F1000"/>
    <mergeCell ref="D1001:F1001"/>
    <mergeCell ref="E1002:F1002"/>
    <mergeCell ref="E1003:F1003"/>
    <mergeCell ref="E1004:F1004"/>
    <mergeCell ref="B1005:C1005"/>
    <mergeCell ref="D1005:F1005"/>
    <mergeCell ref="B1006:C1006"/>
    <mergeCell ref="B1013:C1013"/>
    <mergeCell ref="D1013:F1013"/>
    <mergeCell ref="D1014:F1014"/>
    <mergeCell ref="E1015:F1015"/>
    <mergeCell ref="B1016:C1016"/>
    <mergeCell ref="E1016:F1016"/>
    <mergeCell ref="D1006:F1006"/>
    <mergeCell ref="D1007:F1007"/>
    <mergeCell ref="E1008:F1008"/>
    <mergeCell ref="E1009:F1009"/>
    <mergeCell ref="E1010:F1010"/>
    <mergeCell ref="E1011:F1011"/>
    <mergeCell ref="E1012:F1012"/>
    <mergeCell ref="E919:F919"/>
    <mergeCell ref="B920:C920"/>
    <mergeCell ref="D920:F920"/>
    <mergeCell ref="D921:F921"/>
    <mergeCell ref="E922:F922"/>
    <mergeCell ref="B923:C923"/>
    <mergeCell ref="D923:F923"/>
    <mergeCell ref="D924:F924"/>
    <mergeCell ref="E925:F925"/>
    <mergeCell ref="B926:C926"/>
    <mergeCell ref="D926:F926"/>
    <mergeCell ref="D927:F927"/>
    <mergeCell ref="E928:F928"/>
    <mergeCell ref="D929:F929"/>
    <mergeCell ref="D930:F930"/>
    <mergeCell ref="D931:F931"/>
    <mergeCell ref="E932:F932"/>
    <mergeCell ref="E933:F933"/>
    <mergeCell ref="E934:F934"/>
    <mergeCell ref="D935:F935"/>
    <mergeCell ref="D936:F936"/>
    <mergeCell ref="E937:F937"/>
    <mergeCell ref="D938:F938"/>
    <mergeCell ref="D939:F939"/>
    <mergeCell ref="D940:F940"/>
    <mergeCell ref="E941:F941"/>
    <mergeCell ref="E942:F942"/>
    <mergeCell ref="E943:F943"/>
    <mergeCell ref="B949:C949"/>
    <mergeCell ref="B953:C953"/>
    <mergeCell ref="B954:C954"/>
    <mergeCell ref="B963:C963"/>
    <mergeCell ref="B969:C969"/>
    <mergeCell ref="B970:C970"/>
    <mergeCell ref="B929:C929"/>
    <mergeCell ref="B930:C930"/>
    <mergeCell ref="B935:C935"/>
    <mergeCell ref="B938:C938"/>
    <mergeCell ref="B939:C939"/>
    <mergeCell ref="B944:C944"/>
    <mergeCell ref="B948:C948"/>
    <mergeCell ref="E972:F972"/>
    <mergeCell ref="E973:F973"/>
    <mergeCell ref="E974:F974"/>
    <mergeCell ref="E975:F975"/>
    <mergeCell ref="E976:F976"/>
    <mergeCell ref="E977:F977"/>
    <mergeCell ref="E978:F978"/>
    <mergeCell ref="B729:C729"/>
    <mergeCell ref="B730:C730"/>
    <mergeCell ref="B725:C725"/>
    <mergeCell ref="D725:F725"/>
    <mergeCell ref="D726:F726"/>
    <mergeCell ref="E727:F727"/>
    <mergeCell ref="B728:C728"/>
    <mergeCell ref="D728:F728"/>
    <mergeCell ref="D729:F729"/>
    <mergeCell ref="E691:F691"/>
    <mergeCell ref="E692:F692"/>
    <mergeCell ref="E693:F693"/>
    <mergeCell ref="E694:F694"/>
    <mergeCell ref="B695:C695"/>
    <mergeCell ref="D695:F695"/>
    <mergeCell ref="B696:C696"/>
    <mergeCell ref="D696:F696"/>
    <mergeCell ref="D697:F697"/>
    <mergeCell ref="E698:F698"/>
    <mergeCell ref="E699:F699"/>
    <mergeCell ref="E700:F700"/>
    <mergeCell ref="E701:F701"/>
    <mergeCell ref="E702:F702"/>
    <mergeCell ref="B703:C703"/>
    <mergeCell ref="D703:F703"/>
    <mergeCell ref="B704:C704"/>
    <mergeCell ref="D704:F704"/>
    <mergeCell ref="D705:F705"/>
    <mergeCell ref="E706:F706"/>
    <mergeCell ref="E707:F707"/>
    <mergeCell ref="E708:F708"/>
    <mergeCell ref="E709:F709"/>
    <mergeCell ref="E710:F710"/>
    <mergeCell ref="B711:C711"/>
    <mergeCell ref="D711:F711"/>
    <mergeCell ref="B712:C712"/>
    <mergeCell ref="D712:F712"/>
    <mergeCell ref="D713:F713"/>
    <mergeCell ref="E714:F714"/>
    <mergeCell ref="E715:F715"/>
    <mergeCell ref="E716:F716"/>
    <mergeCell ref="B717:C717"/>
    <mergeCell ref="D717:F717"/>
    <mergeCell ref="B718:C718"/>
    <mergeCell ref="D718:F718"/>
    <mergeCell ref="D719:F719"/>
    <mergeCell ref="E720:F720"/>
    <mergeCell ref="E721:F721"/>
    <mergeCell ref="E722:F722"/>
    <mergeCell ref="E723:F723"/>
    <mergeCell ref="E724:F724"/>
    <mergeCell ref="D730:F730"/>
    <mergeCell ref="D731:F731"/>
    <mergeCell ref="E732:F732"/>
    <mergeCell ref="E733:F733"/>
    <mergeCell ref="E734:F734"/>
    <mergeCell ref="E735:F735"/>
    <mergeCell ref="E736:F736"/>
    <mergeCell ref="D779:F779"/>
    <mergeCell ref="D780:F780"/>
    <mergeCell ref="E781:F781"/>
    <mergeCell ref="D772:F772"/>
    <mergeCell ref="D773:F773"/>
    <mergeCell ref="E774:F774"/>
    <mergeCell ref="E775:F775"/>
    <mergeCell ref="D776:F776"/>
    <mergeCell ref="D777:F777"/>
    <mergeCell ref="E778:F778"/>
    <mergeCell ref="B782:C782"/>
    <mergeCell ref="B785:C785"/>
    <mergeCell ref="B786:C786"/>
    <mergeCell ref="B762:C762"/>
    <mergeCell ref="B765:C765"/>
    <mergeCell ref="B768:C768"/>
    <mergeCell ref="B769:C769"/>
    <mergeCell ref="B772:C772"/>
    <mergeCell ref="B776:C776"/>
    <mergeCell ref="B779:C779"/>
    <mergeCell ref="E737:F737"/>
    <mergeCell ref="E738:F738"/>
    <mergeCell ref="B739:C739"/>
    <mergeCell ref="D739:F739"/>
    <mergeCell ref="D740:F740"/>
    <mergeCell ref="E741:F741"/>
    <mergeCell ref="E742:F742"/>
    <mergeCell ref="B743:C743"/>
    <mergeCell ref="D743:F743"/>
    <mergeCell ref="B744:C744"/>
    <mergeCell ref="D744:F744"/>
    <mergeCell ref="D745:F745"/>
    <mergeCell ref="E746:F746"/>
    <mergeCell ref="E747:F747"/>
    <mergeCell ref="E748:F748"/>
    <mergeCell ref="B749:C749"/>
    <mergeCell ref="D749:F749"/>
    <mergeCell ref="D750:F750"/>
    <mergeCell ref="E751:F751"/>
    <mergeCell ref="B752:C752"/>
    <mergeCell ref="D752:F752"/>
    <mergeCell ref="D753:F753"/>
    <mergeCell ref="E754:F754"/>
    <mergeCell ref="B755:C755"/>
    <mergeCell ref="D755:F755"/>
    <mergeCell ref="B756:C756"/>
    <mergeCell ref="D756:F756"/>
    <mergeCell ref="D757:F757"/>
    <mergeCell ref="E758:F758"/>
    <mergeCell ref="E759:F759"/>
    <mergeCell ref="E760:F760"/>
    <mergeCell ref="E761:F761"/>
    <mergeCell ref="D762:F762"/>
    <mergeCell ref="D763:F763"/>
    <mergeCell ref="E764:F764"/>
    <mergeCell ref="D765:F765"/>
    <mergeCell ref="D766:F766"/>
    <mergeCell ref="E767:F767"/>
    <mergeCell ref="D768:F768"/>
    <mergeCell ref="D769:F769"/>
    <mergeCell ref="D770:F770"/>
    <mergeCell ref="E771:F771"/>
    <mergeCell ref="D782:F782"/>
    <mergeCell ref="D783:F783"/>
    <mergeCell ref="E784:F784"/>
    <mergeCell ref="D785:F785"/>
    <mergeCell ref="D786:F786"/>
    <mergeCell ref="D787:F787"/>
    <mergeCell ref="E788:F788"/>
    <mergeCell ref="B794:C794"/>
    <mergeCell ref="B795:C795"/>
    <mergeCell ref="B800:C800"/>
    <mergeCell ref="B804:C804"/>
    <mergeCell ref="B805:C805"/>
    <mergeCell ref="B809:C809"/>
    <mergeCell ref="B810:C810"/>
    <mergeCell ref="E789:F789"/>
    <mergeCell ref="E790:F790"/>
    <mergeCell ref="B791:C791"/>
    <mergeCell ref="D791:F791"/>
    <mergeCell ref="D792:F792"/>
    <mergeCell ref="E793:F793"/>
    <mergeCell ref="D794:F794"/>
    <mergeCell ref="D795:F795"/>
    <mergeCell ref="D796:F796"/>
    <mergeCell ref="E797:F797"/>
    <mergeCell ref="E798:F798"/>
    <mergeCell ref="E799:F799"/>
    <mergeCell ref="D800:F800"/>
    <mergeCell ref="D801:F801"/>
    <mergeCell ref="E802:F802"/>
    <mergeCell ref="E803:F803"/>
    <mergeCell ref="D804:F804"/>
    <mergeCell ref="D805:F805"/>
    <mergeCell ref="D806:F806"/>
    <mergeCell ref="E807:F807"/>
    <mergeCell ref="E808:F808"/>
    <mergeCell ref="D809:F809"/>
    <mergeCell ref="D810:F810"/>
    <mergeCell ref="D811:F811"/>
    <mergeCell ref="E812:F812"/>
    <mergeCell ref="E813:F813"/>
    <mergeCell ref="E814:F814"/>
    <mergeCell ref="E815:F815"/>
    <mergeCell ref="E816:F816"/>
    <mergeCell ref="E817:F817"/>
    <mergeCell ref="E818:F818"/>
    <mergeCell ref="B819:C819"/>
    <mergeCell ref="D819:F819"/>
    <mergeCell ref="D820:F820"/>
    <mergeCell ref="E821:F821"/>
    <mergeCell ref="E822:F822"/>
    <mergeCell ref="E823:F823"/>
    <mergeCell ref="E824:F824"/>
    <mergeCell ref="B825:C825"/>
    <mergeCell ref="D825:F825"/>
    <mergeCell ref="B826:C826"/>
    <mergeCell ref="D826:F826"/>
    <mergeCell ref="D827:F827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B839:C839"/>
    <mergeCell ref="D839:F839"/>
    <mergeCell ref="B840:C840"/>
    <mergeCell ref="D840:F840"/>
    <mergeCell ref="D841:F841"/>
    <mergeCell ref="E842:F842"/>
    <mergeCell ref="E843:F843"/>
    <mergeCell ref="E844:F844"/>
    <mergeCell ref="E845:F845"/>
    <mergeCell ref="E846:F846"/>
    <mergeCell ref="B847:C847"/>
    <mergeCell ref="D847:F847"/>
    <mergeCell ref="B848:C848"/>
    <mergeCell ref="D848:F848"/>
    <mergeCell ref="D849:F849"/>
    <mergeCell ref="E850:F850"/>
    <mergeCell ref="E851:F851"/>
    <mergeCell ref="E852:F852"/>
    <mergeCell ref="E853:F853"/>
    <mergeCell ref="E854:F854"/>
    <mergeCell ref="B855:C855"/>
    <mergeCell ref="D855:F855"/>
    <mergeCell ref="B856:C856"/>
    <mergeCell ref="D856:F856"/>
    <mergeCell ref="D857:F857"/>
    <mergeCell ref="E858:F858"/>
    <mergeCell ref="E859:F859"/>
    <mergeCell ref="E860:F860"/>
    <mergeCell ref="B861:C861"/>
    <mergeCell ref="D861:F861"/>
    <mergeCell ref="B862:C862"/>
    <mergeCell ref="D862:F862"/>
    <mergeCell ref="D863:F863"/>
    <mergeCell ref="E864:F864"/>
    <mergeCell ref="E865:F865"/>
    <mergeCell ref="E866:F866"/>
    <mergeCell ref="E867:F867"/>
  </mergeCells>
  <printOptions/>
  <pageMargins bottom="0.0" footer="0.0" header="0.0" left="0.0" right="0.0" top="0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xSplit="10.0" ySplit="7.0" topLeftCell="K8" activePane="bottomRight" state="frozen"/>
      <selection activeCell="K1" sqref="K1" pane="topRight"/>
      <selection activeCell="A8" sqref="A8" pane="bottomLeft"/>
      <selection activeCell="K8" sqref="K8" pane="bottomRight"/>
    </sheetView>
  </sheetViews>
  <sheetFormatPr customHeight="1" defaultColWidth="14.43" defaultRowHeight="15.0"/>
  <cols>
    <col customWidth="1" min="1" max="1" width="0.14"/>
    <col customWidth="1" min="2" max="2" width="7.86"/>
    <col customWidth="1" min="3" max="3" width="7.29"/>
    <col customWidth="1" min="4" max="4" width="3.43"/>
    <col customWidth="1" min="5" max="5" width="16.43"/>
    <col customWidth="1" min="6" max="6" width="22.29"/>
    <col customWidth="1" min="7" max="7" width="4.86"/>
    <col customWidth="1" min="8" max="8" width="3.86"/>
    <col customWidth="1" min="9" max="9" width="8.14"/>
    <col customWidth="1" min="10" max="10" width="13.0"/>
    <col customWidth="1" min="11" max="11" width="12.71"/>
    <col customWidth="1" min="12" max="12" width="5.29"/>
    <col customWidth="1" min="13" max="13" width="11.43"/>
    <col customWidth="1" min="14" max="14" width="5.86"/>
    <col customWidth="1" min="15" max="15" width="12.43"/>
    <col customWidth="1" min="16" max="16" width="15.29"/>
    <col customWidth="1" min="17" max="26" width="8.71"/>
  </cols>
  <sheetData>
    <row r="1" ht="9.75" customHeight="1">
      <c r="A1" s="1"/>
      <c r="B1" s="1"/>
      <c r="C1" s="1"/>
      <c r="D1" s="1"/>
      <c r="E1" s="1"/>
      <c r="F1" s="1"/>
      <c r="G1" s="10" t="s">
        <v>2</v>
      </c>
      <c r="H1" s="10" t="s">
        <v>3</v>
      </c>
      <c r="I1" s="10" t="s">
        <v>4</v>
      </c>
      <c r="J1" s="10" t="s">
        <v>5</v>
      </c>
      <c r="K1" s="11" t="s">
        <v>6</v>
      </c>
      <c r="L1" s="12"/>
      <c r="M1" s="13"/>
      <c r="N1" s="14"/>
      <c r="O1" s="11" t="s">
        <v>7</v>
      </c>
      <c r="P1" s="13"/>
      <c r="Q1" s="64"/>
      <c r="R1" s="1"/>
      <c r="S1" s="1"/>
      <c r="T1" s="1"/>
      <c r="U1" s="1"/>
      <c r="V1" s="1"/>
      <c r="W1" s="1"/>
      <c r="X1" s="1"/>
      <c r="Y1" s="1"/>
      <c r="Z1" s="1"/>
    </row>
    <row r="2" ht="9.75" customHeight="1">
      <c r="A2" s="1"/>
      <c r="B2" s="1"/>
      <c r="C2" s="1"/>
      <c r="D2" s="1"/>
      <c r="E2" s="1"/>
      <c r="F2" s="1"/>
      <c r="G2" s="18"/>
      <c r="H2" s="18"/>
      <c r="I2" s="18"/>
      <c r="J2" s="18"/>
      <c r="K2" s="14" t="s">
        <v>8</v>
      </c>
      <c r="L2" s="65" t="s">
        <v>9</v>
      </c>
      <c r="M2" s="14" t="s">
        <v>10</v>
      </c>
      <c r="N2" s="19" t="s">
        <v>9</v>
      </c>
      <c r="O2" s="14" t="s">
        <v>8</v>
      </c>
      <c r="P2" s="14" t="s">
        <v>10</v>
      </c>
      <c r="Q2" s="64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20" t="s">
        <v>11</v>
      </c>
      <c r="B3" s="12"/>
      <c r="C3" s="13"/>
      <c r="D3" s="20" t="s">
        <v>12</v>
      </c>
      <c r="E3" s="12"/>
      <c r="F3" s="13"/>
      <c r="G3" s="22"/>
      <c r="H3" s="22"/>
      <c r="I3" s="22"/>
      <c r="J3" s="23">
        <v>2.097544232E12</v>
      </c>
      <c r="K3" s="14"/>
      <c r="L3" s="26"/>
      <c r="M3" s="61"/>
      <c r="N3" s="61"/>
      <c r="O3" s="14" t="s">
        <v>223</v>
      </c>
      <c r="P3" s="61"/>
      <c r="Q3" s="64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27" t="s">
        <v>13</v>
      </c>
      <c r="B4" s="12"/>
      <c r="C4" s="13"/>
      <c r="D4" s="27" t="s">
        <v>14</v>
      </c>
      <c r="E4" s="12"/>
      <c r="F4" s="13"/>
      <c r="G4" s="22"/>
      <c r="H4" s="22"/>
      <c r="I4" s="22"/>
      <c r="J4" s="29">
        <v>2.088632535E12</v>
      </c>
      <c r="K4" s="66"/>
      <c r="L4" s="26"/>
      <c r="M4" s="61"/>
      <c r="N4" s="61"/>
      <c r="O4" s="66"/>
      <c r="P4" s="61"/>
      <c r="Q4" s="64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30" t="s">
        <v>224</v>
      </c>
      <c r="B5" s="12"/>
      <c r="C5" s="13"/>
      <c r="D5" s="30" t="s">
        <v>225</v>
      </c>
      <c r="E5" s="12"/>
      <c r="F5" s="13"/>
      <c r="G5" s="31"/>
      <c r="H5" s="31"/>
      <c r="I5" s="22"/>
      <c r="J5" s="32">
        <v>5.85449649E11</v>
      </c>
      <c r="K5" s="66"/>
      <c r="L5" s="26"/>
      <c r="M5" s="61"/>
      <c r="N5" s="61"/>
      <c r="O5" s="66"/>
      <c r="P5" s="61"/>
      <c r="Q5" s="64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22"/>
      <c r="B6" s="67"/>
      <c r="C6" s="67"/>
      <c r="D6" s="35" t="s">
        <v>17</v>
      </c>
      <c r="E6" s="12"/>
      <c r="F6" s="13"/>
      <c r="G6" s="31"/>
      <c r="H6" s="31"/>
      <c r="I6" s="22"/>
      <c r="J6" s="68"/>
      <c r="K6" s="66"/>
      <c r="L6" s="26"/>
      <c r="M6" s="61"/>
      <c r="N6" s="61"/>
      <c r="O6" s="66"/>
      <c r="P6" s="61"/>
      <c r="Q6" s="64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69" t="s">
        <v>226</v>
      </c>
      <c r="B7" s="12"/>
      <c r="C7" s="13"/>
      <c r="D7" s="70" t="s">
        <v>227</v>
      </c>
      <c r="E7" s="70"/>
      <c r="F7" s="70"/>
      <c r="G7" s="71"/>
      <c r="H7" s="71"/>
      <c r="I7" s="72"/>
      <c r="J7" s="73">
        <f t="shared" ref="J7:K7" si="1">J8+J152+J296+J440+J584+J728+J872+J1016+J1160</f>
        <v>27555464000</v>
      </c>
      <c r="K7" s="73">
        <f t="shared" si="1"/>
        <v>1112850000</v>
      </c>
      <c r="L7" s="74">
        <f>(K7/J7)*100</f>
        <v>4.038581967</v>
      </c>
      <c r="M7" s="73">
        <f>M8+M152+M296+M440+M584+M728+M872+M1016+M1160</f>
        <v>3110242234</v>
      </c>
      <c r="N7" s="74">
        <f>(M7/J7)*100</f>
        <v>11.2872069</v>
      </c>
      <c r="O7" s="75">
        <f t="shared" ref="O7:O1303" si="3">J7-K7</f>
        <v>26442614000</v>
      </c>
      <c r="P7" s="75">
        <f t="shared" ref="P7:P1303" si="4">J7-M7</f>
        <v>24445221766</v>
      </c>
      <c r="Q7" s="76"/>
      <c r="R7" s="77"/>
      <c r="S7" s="77"/>
      <c r="T7" s="77"/>
      <c r="U7" s="77"/>
      <c r="V7" s="77"/>
      <c r="W7" s="77"/>
      <c r="X7" s="77"/>
      <c r="Y7" s="77"/>
      <c r="Z7" s="77"/>
    </row>
    <row r="8" ht="12.75" customHeight="1">
      <c r="A8" s="78" t="s">
        <v>228</v>
      </c>
      <c r="B8" s="12"/>
      <c r="C8" s="13"/>
      <c r="D8" s="79" t="s">
        <v>229</v>
      </c>
      <c r="E8" s="80"/>
      <c r="F8" s="81"/>
      <c r="G8" s="82"/>
      <c r="H8" s="82"/>
      <c r="I8" s="83"/>
      <c r="J8" s="84">
        <f t="shared" ref="J8:K8" si="2">J9+J23+J35+J48+J65+J74+J84+J89+J105+J119+J127+J135+J141</f>
        <v>3064496000</v>
      </c>
      <c r="K8" s="84">
        <f t="shared" si="2"/>
        <v>193110000</v>
      </c>
      <c r="L8" s="26"/>
      <c r="M8" s="84">
        <f>M9+M23+M35+M48+M65+M74+M84+M89+M105+M119+M127+M135+M141</f>
        <v>319604995</v>
      </c>
      <c r="N8" s="61"/>
      <c r="O8" s="75">
        <f t="shared" si="3"/>
        <v>2871386000</v>
      </c>
      <c r="P8" s="75">
        <f t="shared" si="4"/>
        <v>2744891005</v>
      </c>
      <c r="Q8" s="64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41" t="s">
        <v>20</v>
      </c>
      <c r="B9" s="12"/>
      <c r="C9" s="13"/>
      <c r="D9" s="41" t="s">
        <v>21</v>
      </c>
      <c r="E9" s="12"/>
      <c r="F9" s="13"/>
      <c r="G9" s="22"/>
      <c r="H9" s="22"/>
      <c r="I9" s="22"/>
      <c r="J9" s="43">
        <f t="shared" ref="J9:K9" si="5">J10+J19</f>
        <v>142640000</v>
      </c>
      <c r="K9" s="43">
        <f t="shared" si="5"/>
        <v>0</v>
      </c>
      <c r="L9" s="26"/>
      <c r="M9" s="43">
        <f>M10+M19</f>
        <v>14680146</v>
      </c>
      <c r="N9" s="61"/>
      <c r="O9" s="75">
        <f t="shared" si="3"/>
        <v>142640000</v>
      </c>
      <c r="P9" s="75">
        <f t="shared" si="4"/>
        <v>127959854</v>
      </c>
      <c r="Q9" s="64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35" t="s">
        <v>40</v>
      </c>
      <c r="B10" s="12"/>
      <c r="C10" s="13"/>
      <c r="D10" s="44" t="s">
        <v>22</v>
      </c>
      <c r="E10" s="12"/>
      <c r="F10" s="13"/>
      <c r="G10" s="22"/>
      <c r="H10" s="22"/>
      <c r="I10" s="22"/>
      <c r="J10" s="46">
        <f t="shared" ref="J10:K10" si="6">SUM(J12:J18)</f>
        <v>130640000</v>
      </c>
      <c r="K10" s="46">
        <f t="shared" si="6"/>
        <v>0</v>
      </c>
      <c r="L10" s="26"/>
      <c r="M10" s="46">
        <f>SUM(M12:M18)</f>
        <v>14380146</v>
      </c>
      <c r="N10" s="61"/>
      <c r="O10" s="75">
        <f t="shared" si="3"/>
        <v>130640000</v>
      </c>
      <c r="P10" s="75">
        <f t="shared" si="4"/>
        <v>116259854</v>
      </c>
      <c r="Q10" s="64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22"/>
      <c r="B11" s="67"/>
      <c r="C11" s="67"/>
      <c r="D11" s="35" t="s">
        <v>23</v>
      </c>
      <c r="E11" s="12"/>
      <c r="F11" s="13"/>
      <c r="G11" s="22"/>
      <c r="H11" s="22"/>
      <c r="I11" s="22"/>
      <c r="J11" s="22"/>
      <c r="K11" s="22"/>
      <c r="L11" s="26"/>
      <c r="M11" s="22"/>
      <c r="N11" s="61"/>
      <c r="O11" s="75">
        <f t="shared" si="3"/>
        <v>0</v>
      </c>
      <c r="P11" s="75">
        <f t="shared" si="4"/>
        <v>0</v>
      </c>
      <c r="Q11" s="64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22"/>
      <c r="B12" s="67"/>
      <c r="C12" s="67"/>
      <c r="D12" s="47" t="s">
        <v>24</v>
      </c>
      <c r="E12" s="35" t="s">
        <v>156</v>
      </c>
      <c r="F12" s="13"/>
      <c r="G12" s="36">
        <v>24.0</v>
      </c>
      <c r="H12" s="36" t="s">
        <v>26</v>
      </c>
      <c r="I12" s="48">
        <v>500000.0</v>
      </c>
      <c r="J12" s="46">
        <f t="shared" ref="J12:J18" si="7">G12*I12</f>
        <v>12000000</v>
      </c>
      <c r="K12" s="46"/>
      <c r="L12" s="26"/>
      <c r="M12" s="46"/>
      <c r="N12" s="61"/>
      <c r="O12" s="75">
        <f t="shared" si="3"/>
        <v>12000000</v>
      </c>
      <c r="P12" s="75">
        <f t="shared" si="4"/>
        <v>12000000</v>
      </c>
      <c r="Q12" s="85">
        <v>1.47883E7</v>
      </c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22"/>
      <c r="B13" s="67"/>
      <c r="C13" s="67"/>
      <c r="D13" s="47" t="s">
        <v>24</v>
      </c>
      <c r="E13" s="35" t="s">
        <v>27</v>
      </c>
      <c r="F13" s="13"/>
      <c r="G13" s="36">
        <v>2.0</v>
      </c>
      <c r="H13" s="36" t="s">
        <v>26</v>
      </c>
      <c r="I13" s="48">
        <v>2000000.0</v>
      </c>
      <c r="J13" s="46">
        <f t="shared" si="7"/>
        <v>4000000</v>
      </c>
      <c r="K13" s="46"/>
      <c r="L13" s="26"/>
      <c r="M13" s="46"/>
      <c r="N13" s="61"/>
      <c r="O13" s="75">
        <f t="shared" si="3"/>
        <v>4000000</v>
      </c>
      <c r="P13" s="75">
        <f t="shared" si="4"/>
        <v>4000000</v>
      </c>
      <c r="Q13" s="64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22"/>
      <c r="B14" s="67"/>
      <c r="C14" s="67"/>
      <c r="D14" s="47" t="s">
        <v>24</v>
      </c>
      <c r="E14" s="35" t="s">
        <v>28</v>
      </c>
      <c r="F14" s="13"/>
      <c r="G14" s="36">
        <v>10.0</v>
      </c>
      <c r="H14" s="36" t="s">
        <v>26</v>
      </c>
      <c r="I14" s="48">
        <v>500000.0</v>
      </c>
      <c r="J14" s="46">
        <f t="shared" si="7"/>
        <v>5000000</v>
      </c>
      <c r="K14" s="46"/>
      <c r="L14" s="26"/>
      <c r="M14" s="46"/>
      <c r="N14" s="61"/>
      <c r="O14" s="75">
        <f t="shared" si="3"/>
        <v>5000000</v>
      </c>
      <c r="P14" s="75">
        <f t="shared" si="4"/>
        <v>5000000</v>
      </c>
      <c r="Q14" s="64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22"/>
      <c r="B15" s="67"/>
      <c r="C15" s="67"/>
      <c r="D15" s="47" t="s">
        <v>24</v>
      </c>
      <c r="E15" s="35" t="s">
        <v>157</v>
      </c>
      <c r="F15" s="13"/>
      <c r="G15" s="36">
        <v>200.0</v>
      </c>
      <c r="H15" s="36" t="s">
        <v>26</v>
      </c>
      <c r="I15" s="48">
        <v>25000.0</v>
      </c>
      <c r="J15" s="46">
        <f t="shared" si="7"/>
        <v>5000000</v>
      </c>
      <c r="K15" s="46"/>
      <c r="L15" s="26"/>
      <c r="M15" s="46"/>
      <c r="N15" s="61"/>
      <c r="O15" s="75">
        <f t="shared" si="3"/>
        <v>5000000</v>
      </c>
      <c r="P15" s="75">
        <f t="shared" si="4"/>
        <v>5000000</v>
      </c>
      <c r="Q15" s="64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2"/>
      <c r="B16" s="67"/>
      <c r="C16" s="67"/>
      <c r="D16" s="47" t="s">
        <v>24</v>
      </c>
      <c r="E16" s="35" t="s">
        <v>31</v>
      </c>
      <c r="F16" s="13"/>
      <c r="G16" s="36">
        <v>320.0</v>
      </c>
      <c r="H16" s="36" t="s">
        <v>26</v>
      </c>
      <c r="I16" s="48">
        <v>53000.0</v>
      </c>
      <c r="J16" s="46">
        <f t="shared" si="7"/>
        <v>16960000</v>
      </c>
      <c r="K16" s="46"/>
      <c r="L16" s="26"/>
      <c r="M16" s="46">
        <v>8733000.0</v>
      </c>
      <c r="N16" s="61"/>
      <c r="O16" s="75">
        <f t="shared" si="3"/>
        <v>16960000</v>
      </c>
      <c r="P16" s="75">
        <f t="shared" si="4"/>
        <v>8227000</v>
      </c>
      <c r="Q16" s="85">
        <v>8490000.0</v>
      </c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2"/>
      <c r="B17" s="67"/>
      <c r="C17" s="67"/>
      <c r="D17" s="47" t="s">
        <v>24</v>
      </c>
      <c r="E17" s="35" t="s">
        <v>32</v>
      </c>
      <c r="F17" s="13"/>
      <c r="G17" s="36">
        <v>320.0</v>
      </c>
      <c r="H17" s="36" t="s">
        <v>26</v>
      </c>
      <c r="I17" s="48">
        <v>24000.0</v>
      </c>
      <c r="J17" s="46">
        <f t="shared" si="7"/>
        <v>7680000</v>
      </c>
      <c r="K17" s="46"/>
      <c r="L17" s="26"/>
      <c r="M17" s="46"/>
      <c r="N17" s="61"/>
      <c r="O17" s="75">
        <f t="shared" si="3"/>
        <v>7680000</v>
      </c>
      <c r="P17" s="75">
        <f t="shared" si="4"/>
        <v>7680000</v>
      </c>
      <c r="Q17" s="85">
        <v>3180000.0</v>
      </c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2"/>
      <c r="B18" s="67"/>
      <c r="C18" s="67"/>
      <c r="D18" s="47" t="s">
        <v>24</v>
      </c>
      <c r="E18" s="35" t="s">
        <v>158</v>
      </c>
      <c r="F18" s="13"/>
      <c r="G18" s="36">
        <v>100.0</v>
      </c>
      <c r="H18" s="36" t="s">
        <v>26</v>
      </c>
      <c r="I18" s="48">
        <v>800000.0</v>
      </c>
      <c r="J18" s="46">
        <f t="shared" si="7"/>
        <v>80000000</v>
      </c>
      <c r="K18" s="46"/>
      <c r="L18" s="26"/>
      <c r="M18" s="46">
        <v>5647146.0</v>
      </c>
      <c r="N18" s="61"/>
      <c r="O18" s="75">
        <f t="shared" si="3"/>
        <v>80000000</v>
      </c>
      <c r="P18" s="75">
        <f t="shared" si="4"/>
        <v>74352854</v>
      </c>
      <c r="Q18" s="85">
        <v>1.266255E8</v>
      </c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35" t="s">
        <v>58</v>
      </c>
      <c r="B19" s="12"/>
      <c r="C19" s="13"/>
      <c r="D19" s="44" t="s">
        <v>34</v>
      </c>
      <c r="E19" s="12"/>
      <c r="F19" s="13"/>
      <c r="G19" s="22"/>
      <c r="H19" s="22"/>
      <c r="I19" s="22"/>
      <c r="J19" s="46">
        <f t="shared" ref="J19:K19" si="8">SUM(J21:J22)</f>
        <v>12000000</v>
      </c>
      <c r="K19" s="46">
        <f t="shared" si="8"/>
        <v>0</v>
      </c>
      <c r="L19" s="26"/>
      <c r="M19" s="46">
        <f>SUM(M21:M22)</f>
        <v>300000</v>
      </c>
      <c r="N19" s="61"/>
      <c r="O19" s="75">
        <f t="shared" si="3"/>
        <v>12000000</v>
      </c>
      <c r="P19" s="75">
        <f t="shared" si="4"/>
        <v>11700000</v>
      </c>
      <c r="Q19" s="64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22"/>
      <c r="B20" s="67"/>
      <c r="C20" s="67"/>
      <c r="D20" s="35" t="s">
        <v>23</v>
      </c>
      <c r="E20" s="12"/>
      <c r="F20" s="13"/>
      <c r="G20" s="22"/>
      <c r="H20" s="22"/>
      <c r="I20" s="22"/>
      <c r="J20" s="22"/>
      <c r="K20" s="22"/>
      <c r="L20" s="26"/>
      <c r="M20" s="22"/>
      <c r="N20" s="61"/>
      <c r="O20" s="75">
        <f t="shared" si="3"/>
        <v>0</v>
      </c>
      <c r="P20" s="75">
        <f t="shared" si="4"/>
        <v>0</v>
      </c>
      <c r="Q20" s="64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22"/>
      <c r="B21" s="67"/>
      <c r="C21" s="67"/>
      <c r="D21" s="47" t="s">
        <v>24</v>
      </c>
      <c r="E21" s="35" t="s">
        <v>159</v>
      </c>
      <c r="F21" s="13"/>
      <c r="G21" s="36">
        <v>16.0</v>
      </c>
      <c r="H21" s="36" t="s">
        <v>26</v>
      </c>
      <c r="I21" s="48">
        <v>500000.0</v>
      </c>
      <c r="J21" s="46">
        <f t="shared" ref="J21:J22" si="9">G21*I21</f>
        <v>8000000</v>
      </c>
      <c r="K21" s="46"/>
      <c r="L21" s="26"/>
      <c r="M21" s="46"/>
      <c r="N21" s="61"/>
      <c r="O21" s="75">
        <f t="shared" si="3"/>
        <v>8000000</v>
      </c>
      <c r="P21" s="75">
        <f t="shared" si="4"/>
        <v>8000000</v>
      </c>
      <c r="Q21" s="85">
        <v>4000000.0</v>
      </c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22"/>
      <c r="B22" s="67"/>
      <c r="C22" s="67"/>
      <c r="D22" s="47" t="s">
        <v>24</v>
      </c>
      <c r="E22" s="35" t="s">
        <v>230</v>
      </c>
      <c r="F22" s="13"/>
      <c r="G22" s="36">
        <v>8.0</v>
      </c>
      <c r="H22" s="36" t="s">
        <v>26</v>
      </c>
      <c r="I22" s="48">
        <v>500000.0</v>
      </c>
      <c r="J22" s="46">
        <f t="shared" si="9"/>
        <v>4000000</v>
      </c>
      <c r="K22" s="46"/>
      <c r="L22" s="26"/>
      <c r="M22" s="46">
        <v>300000.0</v>
      </c>
      <c r="N22" s="61"/>
      <c r="O22" s="75">
        <f t="shared" si="3"/>
        <v>4000000</v>
      </c>
      <c r="P22" s="75">
        <f t="shared" si="4"/>
        <v>3700000</v>
      </c>
      <c r="Q22" s="85">
        <v>3000000.0</v>
      </c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41" t="s">
        <v>37</v>
      </c>
      <c r="B23" s="12"/>
      <c r="C23" s="13"/>
      <c r="D23" s="41" t="s">
        <v>38</v>
      </c>
      <c r="E23" s="12"/>
      <c r="F23" s="13"/>
      <c r="G23" s="22"/>
      <c r="H23" s="22"/>
      <c r="I23" s="22"/>
      <c r="J23" s="43">
        <f t="shared" ref="J23:K23" si="10">J24+J29+J32</f>
        <v>24400000</v>
      </c>
      <c r="K23" s="43">
        <f t="shared" si="10"/>
        <v>0</v>
      </c>
      <c r="L23" s="26"/>
      <c r="M23" s="43">
        <f>M24+M29+M32</f>
        <v>40000</v>
      </c>
      <c r="N23" s="61"/>
      <c r="O23" s="75">
        <f t="shared" si="3"/>
        <v>24400000</v>
      </c>
      <c r="P23" s="75">
        <f t="shared" si="4"/>
        <v>24360000</v>
      </c>
      <c r="Q23" s="64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35" t="s">
        <v>40</v>
      </c>
      <c r="B24" s="12"/>
      <c r="C24" s="47"/>
      <c r="D24" s="44" t="s">
        <v>22</v>
      </c>
      <c r="E24" s="12"/>
      <c r="F24" s="13"/>
      <c r="G24" s="22"/>
      <c r="H24" s="22"/>
      <c r="I24" s="22"/>
      <c r="J24" s="46">
        <f t="shared" ref="J24:K24" si="11">SUM(J26:J28)</f>
        <v>6400000</v>
      </c>
      <c r="K24" s="46">
        <f t="shared" si="11"/>
        <v>0</v>
      </c>
      <c r="L24" s="26"/>
      <c r="M24" s="46">
        <f>SUM(M26:M28)</f>
        <v>40000</v>
      </c>
      <c r="N24" s="61"/>
      <c r="O24" s="75">
        <f t="shared" si="3"/>
        <v>6400000</v>
      </c>
      <c r="P24" s="75">
        <f t="shared" si="4"/>
        <v>6360000</v>
      </c>
      <c r="Q24" s="64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22"/>
      <c r="B25" s="67"/>
      <c r="C25" s="67"/>
      <c r="D25" s="35" t="s">
        <v>23</v>
      </c>
      <c r="E25" s="12"/>
      <c r="F25" s="13"/>
      <c r="G25" s="22"/>
      <c r="H25" s="22"/>
      <c r="I25" s="22"/>
      <c r="J25" s="22"/>
      <c r="K25" s="22"/>
      <c r="L25" s="26"/>
      <c r="M25" s="22"/>
      <c r="N25" s="61"/>
      <c r="O25" s="75">
        <f t="shared" si="3"/>
        <v>0</v>
      </c>
      <c r="P25" s="75">
        <f t="shared" si="4"/>
        <v>0</v>
      </c>
      <c r="Q25" s="64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22"/>
      <c r="B26" s="67"/>
      <c r="C26" s="67"/>
      <c r="D26" s="47" t="s">
        <v>24</v>
      </c>
      <c r="E26" s="35" t="s">
        <v>160</v>
      </c>
      <c r="F26" s="13"/>
      <c r="G26" s="36">
        <v>100.0</v>
      </c>
      <c r="H26" s="36" t="s">
        <v>26</v>
      </c>
      <c r="I26" s="48">
        <v>53000.0</v>
      </c>
      <c r="J26" s="46">
        <f t="shared" ref="J26:J28" si="12">G26*I26</f>
        <v>5300000</v>
      </c>
      <c r="K26" s="46"/>
      <c r="L26" s="26"/>
      <c r="M26" s="46"/>
      <c r="N26" s="61"/>
      <c r="O26" s="75">
        <f t="shared" si="3"/>
        <v>5300000</v>
      </c>
      <c r="P26" s="75">
        <f t="shared" si="4"/>
        <v>5300000</v>
      </c>
      <c r="Q26" s="64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22"/>
      <c r="B27" s="67"/>
      <c r="C27" s="67"/>
      <c r="D27" s="47" t="s">
        <v>24</v>
      </c>
      <c r="E27" s="35" t="s">
        <v>42</v>
      </c>
      <c r="F27" s="13"/>
      <c r="G27" s="36">
        <v>2.0</v>
      </c>
      <c r="H27" s="36" t="s">
        <v>26</v>
      </c>
      <c r="I27" s="48">
        <v>250000.0</v>
      </c>
      <c r="J27" s="46">
        <f t="shared" si="12"/>
        <v>500000</v>
      </c>
      <c r="K27" s="46"/>
      <c r="L27" s="26"/>
      <c r="M27" s="46"/>
      <c r="N27" s="61"/>
      <c r="O27" s="75">
        <f t="shared" si="3"/>
        <v>500000</v>
      </c>
      <c r="P27" s="75">
        <f t="shared" si="4"/>
        <v>500000</v>
      </c>
      <c r="Q27" s="64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22"/>
      <c r="B28" s="67"/>
      <c r="C28" s="67"/>
      <c r="D28" s="47" t="s">
        <v>24</v>
      </c>
      <c r="E28" s="35" t="s">
        <v>43</v>
      </c>
      <c r="F28" s="13"/>
      <c r="G28" s="36">
        <v>2.0</v>
      </c>
      <c r="H28" s="36" t="s">
        <v>26</v>
      </c>
      <c r="I28" s="48">
        <v>300000.0</v>
      </c>
      <c r="J28" s="46">
        <f t="shared" si="12"/>
        <v>600000</v>
      </c>
      <c r="K28" s="46"/>
      <c r="L28" s="26"/>
      <c r="M28" s="46">
        <v>40000.0</v>
      </c>
      <c r="N28" s="61"/>
      <c r="O28" s="75">
        <f t="shared" si="3"/>
        <v>600000</v>
      </c>
      <c r="P28" s="75">
        <f t="shared" si="4"/>
        <v>560000</v>
      </c>
      <c r="Q28" s="64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35" t="s">
        <v>44</v>
      </c>
      <c r="B29" s="12"/>
      <c r="C29" s="13"/>
      <c r="D29" s="44" t="s">
        <v>45</v>
      </c>
      <c r="E29" s="12"/>
      <c r="F29" s="13"/>
      <c r="G29" s="22"/>
      <c r="H29" s="22"/>
      <c r="I29" s="22"/>
      <c r="J29" s="46">
        <f t="shared" ref="J29:K29" si="13">J31</f>
        <v>2000000</v>
      </c>
      <c r="K29" s="46" t="str">
        <f t="shared" si="13"/>
        <v/>
      </c>
      <c r="L29" s="26"/>
      <c r="M29" s="46" t="str">
        <f>M31</f>
        <v/>
      </c>
      <c r="N29" s="61"/>
      <c r="O29" s="75">
        <f t="shared" si="3"/>
        <v>2000000</v>
      </c>
      <c r="P29" s="75">
        <f t="shared" si="4"/>
        <v>2000000</v>
      </c>
      <c r="Q29" s="64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22"/>
      <c r="B30" s="67"/>
      <c r="C30" s="67"/>
      <c r="D30" s="35" t="s">
        <v>23</v>
      </c>
      <c r="E30" s="12"/>
      <c r="F30" s="13"/>
      <c r="G30" s="22"/>
      <c r="H30" s="22"/>
      <c r="I30" s="22"/>
      <c r="J30" s="22"/>
      <c r="K30" s="22"/>
      <c r="L30" s="26"/>
      <c r="M30" s="22"/>
      <c r="N30" s="61"/>
      <c r="O30" s="75">
        <f t="shared" si="3"/>
        <v>0</v>
      </c>
      <c r="P30" s="75">
        <f t="shared" si="4"/>
        <v>0</v>
      </c>
      <c r="Q30" s="64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22"/>
      <c r="B31" s="67"/>
      <c r="C31" s="67"/>
      <c r="D31" s="47" t="s">
        <v>24</v>
      </c>
      <c r="E31" s="35" t="s">
        <v>161</v>
      </c>
      <c r="F31" s="13"/>
      <c r="G31" s="36">
        <v>4.0</v>
      </c>
      <c r="H31" s="36" t="s">
        <v>26</v>
      </c>
      <c r="I31" s="48">
        <v>500000.0</v>
      </c>
      <c r="J31" s="46">
        <f>G31*I31</f>
        <v>2000000</v>
      </c>
      <c r="K31" s="46"/>
      <c r="L31" s="26"/>
      <c r="M31" s="46"/>
      <c r="N31" s="61"/>
      <c r="O31" s="75">
        <f t="shared" si="3"/>
        <v>2000000</v>
      </c>
      <c r="P31" s="75">
        <f t="shared" si="4"/>
        <v>2000000</v>
      </c>
      <c r="Q31" s="64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35" t="s">
        <v>47</v>
      </c>
      <c r="B32" s="12"/>
      <c r="C32" s="47"/>
      <c r="D32" s="44" t="s">
        <v>48</v>
      </c>
      <c r="E32" s="12"/>
      <c r="F32" s="13"/>
      <c r="G32" s="22"/>
      <c r="H32" s="22"/>
      <c r="I32" s="22"/>
      <c r="J32" s="46">
        <f t="shared" ref="J32:K32" si="14">J34</f>
        <v>16000000</v>
      </c>
      <c r="K32" s="46" t="str">
        <f t="shared" si="14"/>
        <v/>
      </c>
      <c r="L32" s="26"/>
      <c r="M32" s="46" t="str">
        <f>M34</f>
        <v/>
      </c>
      <c r="N32" s="61"/>
      <c r="O32" s="75">
        <f t="shared" si="3"/>
        <v>16000000</v>
      </c>
      <c r="P32" s="75">
        <f t="shared" si="4"/>
        <v>16000000</v>
      </c>
      <c r="Q32" s="64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22"/>
      <c r="B33" s="67"/>
      <c r="C33" s="67"/>
      <c r="D33" s="35" t="s">
        <v>23</v>
      </c>
      <c r="E33" s="12"/>
      <c r="F33" s="13"/>
      <c r="G33" s="22"/>
      <c r="H33" s="22"/>
      <c r="I33" s="22"/>
      <c r="J33" s="22"/>
      <c r="K33" s="22"/>
      <c r="L33" s="26"/>
      <c r="M33" s="22"/>
      <c r="N33" s="61"/>
      <c r="O33" s="75">
        <f t="shared" si="3"/>
        <v>0</v>
      </c>
      <c r="P33" s="75">
        <f t="shared" si="4"/>
        <v>0</v>
      </c>
      <c r="Q33" s="64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22"/>
      <c r="B34" s="67"/>
      <c r="C34" s="67"/>
      <c r="D34" s="47" t="s">
        <v>24</v>
      </c>
      <c r="E34" s="35" t="s">
        <v>162</v>
      </c>
      <c r="F34" s="13"/>
      <c r="G34" s="36">
        <v>4.0</v>
      </c>
      <c r="H34" s="36" t="s">
        <v>26</v>
      </c>
      <c r="I34" s="48">
        <v>4000000.0</v>
      </c>
      <c r="J34" s="46">
        <f>G34*I34</f>
        <v>16000000</v>
      </c>
      <c r="K34" s="46"/>
      <c r="L34" s="26"/>
      <c r="M34" s="46"/>
      <c r="N34" s="61"/>
      <c r="O34" s="75">
        <f t="shared" si="3"/>
        <v>16000000</v>
      </c>
      <c r="P34" s="75">
        <f t="shared" si="4"/>
        <v>16000000</v>
      </c>
      <c r="Q34" s="64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41" t="s">
        <v>50</v>
      </c>
      <c r="B35" s="12"/>
      <c r="C35" s="56"/>
      <c r="D35" s="41" t="s">
        <v>51</v>
      </c>
      <c r="E35" s="12"/>
      <c r="F35" s="13"/>
      <c r="G35" s="22"/>
      <c r="H35" s="22"/>
      <c r="I35" s="22"/>
      <c r="J35" s="43">
        <f t="shared" ref="J35:K35" si="15">J36+J42+J45</f>
        <v>56050000</v>
      </c>
      <c r="K35" s="43">
        <f t="shared" si="15"/>
        <v>0</v>
      </c>
      <c r="L35" s="26"/>
      <c r="M35" s="43">
        <f>M36+M42+M45</f>
        <v>0</v>
      </c>
      <c r="N35" s="61"/>
      <c r="O35" s="75">
        <f t="shared" si="3"/>
        <v>56050000</v>
      </c>
      <c r="P35" s="75">
        <f t="shared" si="4"/>
        <v>56050000</v>
      </c>
      <c r="Q35" s="64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35" t="s">
        <v>40</v>
      </c>
      <c r="B36" s="12"/>
      <c r="C36" s="47"/>
      <c r="D36" s="44" t="s">
        <v>22</v>
      </c>
      <c r="E36" s="12"/>
      <c r="F36" s="13"/>
      <c r="G36" s="22"/>
      <c r="H36" s="22"/>
      <c r="I36" s="22"/>
      <c r="J36" s="46">
        <f t="shared" ref="J36:K36" si="16">SUM(J38:J41)</f>
        <v>38050000</v>
      </c>
      <c r="K36" s="46">
        <f t="shared" si="16"/>
        <v>0</v>
      </c>
      <c r="L36" s="26"/>
      <c r="M36" s="46">
        <f>SUM(M38:M41)</f>
        <v>0</v>
      </c>
      <c r="N36" s="61"/>
      <c r="O36" s="75">
        <f t="shared" si="3"/>
        <v>38050000</v>
      </c>
      <c r="P36" s="75">
        <f t="shared" si="4"/>
        <v>38050000</v>
      </c>
      <c r="Q36" s="64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22"/>
      <c r="B37" s="67"/>
      <c r="C37" s="67"/>
      <c r="D37" s="35" t="s">
        <v>23</v>
      </c>
      <c r="E37" s="12"/>
      <c r="F37" s="13"/>
      <c r="G37" s="22"/>
      <c r="H37" s="22"/>
      <c r="I37" s="22"/>
      <c r="J37" s="22"/>
      <c r="K37" s="22"/>
      <c r="L37" s="26"/>
      <c r="M37" s="22"/>
      <c r="N37" s="61"/>
      <c r="O37" s="75">
        <f t="shared" si="3"/>
        <v>0</v>
      </c>
      <c r="P37" s="75">
        <f t="shared" si="4"/>
        <v>0</v>
      </c>
      <c r="Q37" s="64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22"/>
      <c r="B38" s="67"/>
      <c r="C38" s="67"/>
      <c r="D38" s="47" t="s">
        <v>24</v>
      </c>
      <c r="E38" s="35" t="s">
        <v>163</v>
      </c>
      <c r="F38" s="13"/>
      <c r="G38" s="36">
        <v>100.0</v>
      </c>
      <c r="H38" s="36" t="s">
        <v>26</v>
      </c>
      <c r="I38" s="48">
        <v>53000.0</v>
      </c>
      <c r="J38" s="46">
        <f t="shared" ref="J38:J41" si="17">G38*I38</f>
        <v>5300000</v>
      </c>
      <c r="K38" s="46"/>
      <c r="L38" s="26"/>
      <c r="M38" s="46"/>
      <c r="N38" s="61"/>
      <c r="O38" s="75">
        <f t="shared" si="3"/>
        <v>5300000</v>
      </c>
      <c r="P38" s="75">
        <f t="shared" si="4"/>
        <v>5300000</v>
      </c>
      <c r="Q38" s="64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22"/>
      <c r="B39" s="67"/>
      <c r="C39" s="67"/>
      <c r="D39" s="47" t="s">
        <v>24</v>
      </c>
      <c r="E39" s="35" t="s">
        <v>53</v>
      </c>
      <c r="F39" s="13"/>
      <c r="G39" s="36">
        <v>5.0</v>
      </c>
      <c r="H39" s="36" t="s">
        <v>26</v>
      </c>
      <c r="I39" s="48">
        <v>500000.0</v>
      </c>
      <c r="J39" s="46">
        <f t="shared" si="17"/>
        <v>2500000</v>
      </c>
      <c r="K39" s="46"/>
      <c r="L39" s="26"/>
      <c r="M39" s="46"/>
      <c r="N39" s="61"/>
      <c r="O39" s="75">
        <f t="shared" si="3"/>
        <v>2500000</v>
      </c>
      <c r="P39" s="75">
        <f t="shared" si="4"/>
        <v>2500000</v>
      </c>
      <c r="Q39" s="64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22"/>
      <c r="B40" s="67"/>
      <c r="C40" s="67"/>
      <c r="D40" s="47" t="s">
        <v>24</v>
      </c>
      <c r="E40" s="35" t="s">
        <v>54</v>
      </c>
      <c r="F40" s="13"/>
      <c r="G40" s="36">
        <v>1.0</v>
      </c>
      <c r="H40" s="36" t="s">
        <v>55</v>
      </c>
      <c r="I40" s="48">
        <v>250000.0</v>
      </c>
      <c r="J40" s="46">
        <f t="shared" si="17"/>
        <v>250000</v>
      </c>
      <c r="K40" s="46"/>
      <c r="L40" s="26"/>
      <c r="M40" s="46"/>
      <c r="N40" s="61"/>
      <c r="O40" s="75">
        <f t="shared" si="3"/>
        <v>250000</v>
      </c>
      <c r="P40" s="75">
        <f t="shared" si="4"/>
        <v>250000</v>
      </c>
      <c r="Q40" s="64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22"/>
      <c r="B41" s="67"/>
      <c r="C41" s="67"/>
      <c r="D41" s="47" t="s">
        <v>24</v>
      </c>
      <c r="E41" s="35" t="s">
        <v>164</v>
      </c>
      <c r="F41" s="13"/>
      <c r="G41" s="36">
        <v>100.0</v>
      </c>
      <c r="H41" s="36" t="s">
        <v>26</v>
      </c>
      <c r="I41" s="48">
        <v>300000.0</v>
      </c>
      <c r="J41" s="46">
        <f t="shared" si="17"/>
        <v>30000000</v>
      </c>
      <c r="K41" s="46"/>
      <c r="L41" s="26"/>
      <c r="M41" s="46"/>
      <c r="N41" s="61"/>
      <c r="O41" s="75">
        <f t="shared" si="3"/>
        <v>30000000</v>
      </c>
      <c r="P41" s="75">
        <f t="shared" si="4"/>
        <v>30000000</v>
      </c>
      <c r="Q41" s="64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35" t="s">
        <v>47</v>
      </c>
      <c r="B42" s="12"/>
      <c r="C42" s="13"/>
      <c r="D42" s="44" t="s">
        <v>48</v>
      </c>
      <c r="E42" s="12"/>
      <c r="F42" s="13"/>
      <c r="G42" s="22"/>
      <c r="H42" s="22"/>
      <c r="I42" s="22"/>
      <c r="J42" s="46">
        <f t="shared" ref="J42:K42" si="18">J44</f>
        <v>16000000</v>
      </c>
      <c r="K42" s="46" t="str">
        <f t="shared" si="18"/>
        <v/>
      </c>
      <c r="L42" s="26"/>
      <c r="M42" s="46" t="str">
        <f>M44</f>
        <v/>
      </c>
      <c r="N42" s="61"/>
      <c r="O42" s="75">
        <f t="shared" si="3"/>
        <v>16000000</v>
      </c>
      <c r="P42" s="75">
        <f t="shared" si="4"/>
        <v>16000000</v>
      </c>
      <c r="Q42" s="64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22"/>
      <c r="B43" s="67"/>
      <c r="C43" s="67"/>
      <c r="D43" s="35" t="s">
        <v>23</v>
      </c>
      <c r="E43" s="12"/>
      <c r="F43" s="13"/>
      <c r="G43" s="22"/>
      <c r="H43" s="22"/>
      <c r="I43" s="22"/>
      <c r="J43" s="22"/>
      <c r="K43" s="22"/>
      <c r="L43" s="26"/>
      <c r="M43" s="22"/>
      <c r="N43" s="61"/>
      <c r="O43" s="75">
        <f t="shared" si="3"/>
        <v>0</v>
      </c>
      <c r="P43" s="75">
        <f t="shared" si="4"/>
        <v>0</v>
      </c>
      <c r="Q43" s="64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22"/>
      <c r="B44" s="67"/>
      <c r="C44" s="67"/>
      <c r="D44" s="47" t="s">
        <v>24</v>
      </c>
      <c r="E44" s="35" t="s">
        <v>165</v>
      </c>
      <c r="F44" s="13"/>
      <c r="G44" s="36">
        <v>4.0</v>
      </c>
      <c r="H44" s="36" t="s">
        <v>26</v>
      </c>
      <c r="I44" s="48">
        <v>4000000.0</v>
      </c>
      <c r="J44" s="46">
        <f>G44*I44</f>
        <v>16000000</v>
      </c>
      <c r="K44" s="46"/>
      <c r="L44" s="26"/>
      <c r="M44" s="46"/>
      <c r="N44" s="61"/>
      <c r="O44" s="75">
        <f t="shared" si="3"/>
        <v>16000000</v>
      </c>
      <c r="P44" s="75">
        <f t="shared" si="4"/>
        <v>16000000</v>
      </c>
      <c r="Q44" s="64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35" t="s">
        <v>58</v>
      </c>
      <c r="B45" s="12"/>
      <c r="C45" s="13"/>
      <c r="D45" s="44" t="s">
        <v>34</v>
      </c>
      <c r="E45" s="12"/>
      <c r="F45" s="13"/>
      <c r="G45" s="22"/>
      <c r="H45" s="22"/>
      <c r="I45" s="22"/>
      <c r="J45" s="46">
        <f t="shared" ref="J45:K45" si="19">J47</f>
        <v>2000000</v>
      </c>
      <c r="K45" s="46" t="str">
        <f t="shared" si="19"/>
        <v/>
      </c>
      <c r="L45" s="26"/>
      <c r="M45" s="46" t="str">
        <f>M47</f>
        <v/>
      </c>
      <c r="N45" s="61"/>
      <c r="O45" s="75">
        <f t="shared" si="3"/>
        <v>2000000</v>
      </c>
      <c r="P45" s="75">
        <f t="shared" si="4"/>
        <v>2000000</v>
      </c>
      <c r="Q45" s="64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22"/>
      <c r="B46" s="67"/>
      <c r="C46" s="67"/>
      <c r="D46" s="35" t="s">
        <v>23</v>
      </c>
      <c r="E46" s="12"/>
      <c r="F46" s="13"/>
      <c r="G46" s="22"/>
      <c r="H46" s="22"/>
      <c r="I46" s="22"/>
      <c r="J46" s="22"/>
      <c r="K46" s="22"/>
      <c r="L46" s="26"/>
      <c r="M46" s="22"/>
      <c r="N46" s="61"/>
      <c r="O46" s="75">
        <f t="shared" si="3"/>
        <v>0</v>
      </c>
      <c r="P46" s="75">
        <f t="shared" si="4"/>
        <v>0</v>
      </c>
      <c r="Q46" s="64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22"/>
      <c r="B47" s="67"/>
      <c r="C47" s="67"/>
      <c r="D47" s="47" t="s">
        <v>24</v>
      </c>
      <c r="E47" s="35" t="s">
        <v>59</v>
      </c>
      <c r="F47" s="13"/>
      <c r="G47" s="36">
        <v>4.0</v>
      </c>
      <c r="H47" s="36" t="s">
        <v>26</v>
      </c>
      <c r="I47" s="48">
        <v>500000.0</v>
      </c>
      <c r="J47" s="46">
        <f>G47*I47</f>
        <v>2000000</v>
      </c>
      <c r="K47" s="46"/>
      <c r="L47" s="26"/>
      <c r="M47" s="46"/>
      <c r="N47" s="61"/>
      <c r="O47" s="75">
        <f t="shared" si="3"/>
        <v>2000000</v>
      </c>
      <c r="P47" s="75">
        <f t="shared" si="4"/>
        <v>2000000</v>
      </c>
      <c r="Q47" s="64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41" t="s">
        <v>60</v>
      </c>
      <c r="B48" s="12"/>
      <c r="C48" s="13"/>
      <c r="D48" s="41" t="s">
        <v>61</v>
      </c>
      <c r="E48" s="12"/>
      <c r="F48" s="13"/>
      <c r="G48" s="22"/>
      <c r="H48" s="22"/>
      <c r="I48" s="22"/>
      <c r="J48" s="43">
        <f t="shared" ref="J48:K48" si="20">J49+J52+J56+J59+J62</f>
        <v>220800000</v>
      </c>
      <c r="K48" s="43">
        <f t="shared" si="20"/>
        <v>0</v>
      </c>
      <c r="L48" s="26"/>
      <c r="M48" s="43">
        <f>M49+M52+M56+M59+M62</f>
        <v>3157500</v>
      </c>
      <c r="N48" s="61"/>
      <c r="O48" s="75">
        <f t="shared" si="3"/>
        <v>220800000</v>
      </c>
      <c r="P48" s="75">
        <f t="shared" si="4"/>
        <v>217642500</v>
      </c>
      <c r="Q48" s="64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35" t="s">
        <v>40</v>
      </c>
      <c r="B49" s="12"/>
      <c r="C49" s="13"/>
      <c r="D49" s="44" t="s">
        <v>22</v>
      </c>
      <c r="E49" s="12"/>
      <c r="F49" s="13"/>
      <c r="G49" s="22"/>
      <c r="H49" s="22"/>
      <c r="I49" s="22"/>
      <c r="J49" s="46">
        <f t="shared" ref="J49:K49" si="21">J51</f>
        <v>31800000</v>
      </c>
      <c r="K49" s="46" t="str">
        <f t="shared" si="21"/>
        <v/>
      </c>
      <c r="L49" s="26"/>
      <c r="M49" s="46" t="str">
        <f>M51</f>
        <v/>
      </c>
      <c r="N49" s="61"/>
      <c r="O49" s="75">
        <f t="shared" si="3"/>
        <v>31800000</v>
      </c>
      <c r="P49" s="75">
        <f t="shared" si="4"/>
        <v>31800000</v>
      </c>
      <c r="Q49" s="64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22"/>
      <c r="B50" s="67"/>
      <c r="C50" s="67"/>
      <c r="D50" s="35" t="s">
        <v>23</v>
      </c>
      <c r="E50" s="12"/>
      <c r="F50" s="13"/>
      <c r="G50" s="22"/>
      <c r="H50" s="22"/>
      <c r="I50" s="22"/>
      <c r="J50" s="22"/>
      <c r="K50" s="22"/>
      <c r="L50" s="26"/>
      <c r="M50" s="22"/>
      <c r="N50" s="61"/>
      <c r="O50" s="75">
        <f t="shared" si="3"/>
        <v>0</v>
      </c>
      <c r="P50" s="75">
        <f t="shared" si="4"/>
        <v>0</v>
      </c>
      <c r="Q50" s="64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22"/>
      <c r="B51" s="67"/>
      <c r="C51" s="67"/>
      <c r="D51" s="47" t="s">
        <v>24</v>
      </c>
      <c r="E51" s="35" t="s">
        <v>166</v>
      </c>
      <c r="F51" s="13"/>
      <c r="G51" s="36">
        <v>600.0</v>
      </c>
      <c r="H51" s="36" t="s">
        <v>26</v>
      </c>
      <c r="I51" s="48">
        <v>53000.0</v>
      </c>
      <c r="J51" s="46">
        <f>G51*I51</f>
        <v>31800000</v>
      </c>
      <c r="K51" s="46"/>
      <c r="L51" s="26"/>
      <c r="M51" s="46"/>
      <c r="N51" s="61"/>
      <c r="O51" s="75">
        <f t="shared" si="3"/>
        <v>31800000</v>
      </c>
      <c r="P51" s="75">
        <f t="shared" si="4"/>
        <v>31800000</v>
      </c>
      <c r="Q51" s="64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35" t="s">
        <v>63</v>
      </c>
      <c r="B52" s="12"/>
      <c r="C52" s="13"/>
      <c r="D52" s="44" t="s">
        <v>64</v>
      </c>
      <c r="E52" s="12"/>
      <c r="F52" s="13"/>
      <c r="G52" s="22"/>
      <c r="H52" s="22"/>
      <c r="I52" s="22"/>
      <c r="J52" s="46">
        <f t="shared" ref="J52:K52" si="22">SUM(J54:J55)</f>
        <v>115000000</v>
      </c>
      <c r="K52" s="46">
        <f t="shared" si="22"/>
        <v>0</v>
      </c>
      <c r="L52" s="26"/>
      <c r="M52" s="46">
        <f>SUM(M54:M55)</f>
        <v>1357500</v>
      </c>
      <c r="N52" s="61"/>
      <c r="O52" s="75">
        <f t="shared" si="3"/>
        <v>115000000</v>
      </c>
      <c r="P52" s="75">
        <f t="shared" si="4"/>
        <v>113642500</v>
      </c>
      <c r="Q52" s="64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22"/>
      <c r="B53" s="67"/>
      <c r="C53" s="67"/>
      <c r="D53" s="35" t="s">
        <v>23</v>
      </c>
      <c r="E53" s="12"/>
      <c r="F53" s="13"/>
      <c r="G53" s="22"/>
      <c r="H53" s="22"/>
      <c r="I53" s="22"/>
      <c r="J53" s="22"/>
      <c r="K53" s="22"/>
      <c r="L53" s="26"/>
      <c r="M53" s="22"/>
      <c r="N53" s="61"/>
      <c r="O53" s="75">
        <f t="shared" si="3"/>
        <v>0</v>
      </c>
      <c r="P53" s="75">
        <f t="shared" si="4"/>
        <v>0</v>
      </c>
      <c r="Q53" s="64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22"/>
      <c r="B54" s="67"/>
      <c r="C54" s="67"/>
      <c r="D54" s="47" t="s">
        <v>24</v>
      </c>
      <c r="E54" s="35" t="s">
        <v>231</v>
      </c>
      <c r="F54" s="13"/>
      <c r="G54" s="36">
        <v>1.0</v>
      </c>
      <c r="H54" s="36" t="s">
        <v>97</v>
      </c>
      <c r="I54" s="48">
        <v>9.5E7</v>
      </c>
      <c r="J54" s="46">
        <f t="shared" ref="J54:J55" si="23">G54*I54</f>
        <v>95000000</v>
      </c>
      <c r="K54" s="46"/>
      <c r="L54" s="26"/>
      <c r="M54" s="46">
        <v>1357500.0</v>
      </c>
      <c r="N54" s="61"/>
      <c r="O54" s="75">
        <f t="shared" si="3"/>
        <v>95000000</v>
      </c>
      <c r="P54" s="75">
        <f t="shared" si="4"/>
        <v>93642500</v>
      </c>
      <c r="Q54" s="85">
        <v>2.512E7</v>
      </c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2"/>
      <c r="B55" s="67"/>
      <c r="C55" s="67"/>
      <c r="D55" s="47" t="s">
        <v>24</v>
      </c>
      <c r="E55" s="35" t="s">
        <v>167</v>
      </c>
      <c r="F55" s="13"/>
      <c r="G55" s="36">
        <v>100.0</v>
      </c>
      <c r="H55" s="36" t="s">
        <v>26</v>
      </c>
      <c r="I55" s="48">
        <v>200000.0</v>
      </c>
      <c r="J55" s="46">
        <f t="shared" si="23"/>
        <v>20000000</v>
      </c>
      <c r="K55" s="46"/>
      <c r="L55" s="26"/>
      <c r="M55" s="46"/>
      <c r="N55" s="61"/>
      <c r="O55" s="75">
        <f t="shared" si="3"/>
        <v>20000000</v>
      </c>
      <c r="P55" s="75">
        <f t="shared" si="4"/>
        <v>20000000</v>
      </c>
      <c r="Q55" s="85">
        <v>1.89E7</v>
      </c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35" t="s">
        <v>68</v>
      </c>
      <c r="B56" s="12"/>
      <c r="C56" s="13"/>
      <c r="D56" s="44" t="s">
        <v>69</v>
      </c>
      <c r="E56" s="12"/>
      <c r="F56" s="13"/>
      <c r="G56" s="22"/>
      <c r="H56" s="22"/>
      <c r="I56" s="22"/>
      <c r="J56" s="46">
        <f t="shared" ref="J56:K56" si="24">J58</f>
        <v>10000000</v>
      </c>
      <c r="K56" s="46" t="str">
        <f t="shared" si="24"/>
        <v/>
      </c>
      <c r="L56" s="26"/>
      <c r="M56" s="46" t="str">
        <f>M58</f>
        <v/>
      </c>
      <c r="N56" s="61"/>
      <c r="O56" s="75">
        <f t="shared" si="3"/>
        <v>10000000</v>
      </c>
      <c r="P56" s="75">
        <f t="shared" si="4"/>
        <v>10000000</v>
      </c>
      <c r="Q56" s="64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22"/>
      <c r="B57" s="67"/>
      <c r="C57" s="67"/>
      <c r="D57" s="35" t="s">
        <v>23</v>
      </c>
      <c r="E57" s="12"/>
      <c r="F57" s="13"/>
      <c r="G57" s="22"/>
      <c r="H57" s="22"/>
      <c r="I57" s="22"/>
      <c r="J57" s="22"/>
      <c r="K57" s="22"/>
      <c r="L57" s="26"/>
      <c r="M57" s="22"/>
      <c r="N57" s="61"/>
      <c r="O57" s="75">
        <f t="shared" si="3"/>
        <v>0</v>
      </c>
      <c r="P57" s="75">
        <f t="shared" si="4"/>
        <v>0</v>
      </c>
      <c r="Q57" s="64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22"/>
      <c r="B58" s="67"/>
      <c r="C58" s="67"/>
      <c r="D58" s="47" t="s">
        <v>24</v>
      </c>
      <c r="E58" s="35" t="s">
        <v>70</v>
      </c>
      <c r="F58" s="13"/>
      <c r="G58" s="36">
        <v>20.0</v>
      </c>
      <c r="H58" s="36" t="s">
        <v>26</v>
      </c>
      <c r="I58" s="48">
        <v>500000.0</v>
      </c>
      <c r="J58" s="46">
        <f>G58*I58</f>
        <v>10000000</v>
      </c>
      <c r="K58" s="46"/>
      <c r="L58" s="26"/>
      <c r="M58" s="46"/>
      <c r="N58" s="61"/>
      <c r="O58" s="75">
        <f t="shared" si="3"/>
        <v>10000000</v>
      </c>
      <c r="P58" s="75">
        <f t="shared" si="4"/>
        <v>10000000</v>
      </c>
      <c r="Q58" s="64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35" t="s">
        <v>47</v>
      </c>
      <c r="B59" s="12"/>
      <c r="C59" s="13"/>
      <c r="D59" s="44" t="s">
        <v>48</v>
      </c>
      <c r="E59" s="12"/>
      <c r="F59" s="13"/>
      <c r="G59" s="22"/>
      <c r="H59" s="22"/>
      <c r="I59" s="22"/>
      <c r="J59" s="46">
        <f t="shared" ref="J59:K59" si="25">J61</f>
        <v>16000000</v>
      </c>
      <c r="K59" s="46" t="str">
        <f t="shared" si="25"/>
        <v/>
      </c>
      <c r="L59" s="26"/>
      <c r="M59" s="46" t="str">
        <f>M61</f>
        <v/>
      </c>
      <c r="N59" s="61"/>
      <c r="O59" s="75">
        <f t="shared" si="3"/>
        <v>16000000</v>
      </c>
      <c r="P59" s="75">
        <f t="shared" si="4"/>
        <v>16000000</v>
      </c>
      <c r="Q59" s="64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22"/>
      <c r="B60" s="67"/>
      <c r="C60" s="67"/>
      <c r="D60" s="35" t="s">
        <v>23</v>
      </c>
      <c r="E60" s="12"/>
      <c r="F60" s="13"/>
      <c r="G60" s="22"/>
      <c r="H60" s="22"/>
      <c r="I60" s="22"/>
      <c r="J60" s="22"/>
      <c r="K60" s="22"/>
      <c r="L60" s="26"/>
      <c r="M60" s="22"/>
      <c r="N60" s="61"/>
      <c r="O60" s="75">
        <f t="shared" si="3"/>
        <v>0</v>
      </c>
      <c r="P60" s="75">
        <f t="shared" si="4"/>
        <v>0</v>
      </c>
      <c r="Q60" s="64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22"/>
      <c r="B61" s="67"/>
      <c r="C61" s="67"/>
      <c r="D61" s="47" t="s">
        <v>24</v>
      </c>
      <c r="E61" s="35" t="s">
        <v>165</v>
      </c>
      <c r="F61" s="13"/>
      <c r="G61" s="36">
        <v>4.0</v>
      </c>
      <c r="H61" s="36" t="s">
        <v>26</v>
      </c>
      <c r="I61" s="48">
        <v>4000000.0</v>
      </c>
      <c r="J61" s="46">
        <f>G61*I61</f>
        <v>16000000</v>
      </c>
      <c r="K61" s="46"/>
      <c r="L61" s="26"/>
      <c r="M61" s="46"/>
      <c r="N61" s="61"/>
      <c r="O61" s="75">
        <f t="shared" si="3"/>
        <v>16000000</v>
      </c>
      <c r="P61" s="75">
        <f t="shared" si="4"/>
        <v>16000000</v>
      </c>
      <c r="Q61" s="85">
        <v>2.32E7</v>
      </c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35" t="s">
        <v>58</v>
      </c>
      <c r="B62" s="12"/>
      <c r="C62" s="13"/>
      <c r="D62" s="44" t="s">
        <v>34</v>
      </c>
      <c r="E62" s="12"/>
      <c r="F62" s="13"/>
      <c r="G62" s="22"/>
      <c r="H62" s="22"/>
      <c r="I62" s="22"/>
      <c r="J62" s="46">
        <f t="shared" ref="J62:K62" si="26">J64</f>
        <v>48000000</v>
      </c>
      <c r="K62" s="46" t="str">
        <f t="shared" si="26"/>
        <v/>
      </c>
      <c r="L62" s="26"/>
      <c r="M62" s="46">
        <f>M64</f>
        <v>1800000</v>
      </c>
      <c r="N62" s="61"/>
      <c r="O62" s="75">
        <f t="shared" si="3"/>
        <v>48000000</v>
      </c>
      <c r="P62" s="75">
        <f t="shared" si="4"/>
        <v>46200000</v>
      </c>
      <c r="Q62" s="64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22"/>
      <c r="B63" s="67"/>
      <c r="C63" s="67"/>
      <c r="D63" s="35" t="s">
        <v>23</v>
      </c>
      <c r="E63" s="12"/>
      <c r="F63" s="13"/>
      <c r="G63" s="22"/>
      <c r="H63" s="22"/>
      <c r="I63" s="22"/>
      <c r="J63" s="22"/>
      <c r="K63" s="22"/>
      <c r="L63" s="26"/>
      <c r="M63" s="22"/>
      <c r="N63" s="61"/>
      <c r="O63" s="75">
        <f t="shared" si="3"/>
        <v>0</v>
      </c>
      <c r="P63" s="75">
        <f t="shared" si="4"/>
        <v>0</v>
      </c>
      <c r="Q63" s="64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22"/>
      <c r="B64" s="67"/>
      <c r="C64" s="67"/>
      <c r="D64" s="47" t="s">
        <v>24</v>
      </c>
      <c r="E64" s="35" t="s">
        <v>71</v>
      </c>
      <c r="F64" s="13"/>
      <c r="G64" s="36">
        <v>96.0</v>
      </c>
      <c r="H64" s="36" t="s">
        <v>26</v>
      </c>
      <c r="I64" s="48">
        <v>500000.0</v>
      </c>
      <c r="J64" s="46">
        <f>G64*I64</f>
        <v>48000000</v>
      </c>
      <c r="K64" s="46"/>
      <c r="L64" s="26"/>
      <c r="M64" s="46">
        <v>1800000.0</v>
      </c>
      <c r="N64" s="61"/>
      <c r="O64" s="75">
        <f t="shared" si="3"/>
        <v>48000000</v>
      </c>
      <c r="P64" s="75">
        <f t="shared" si="4"/>
        <v>46200000</v>
      </c>
      <c r="Q64" s="64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41" t="s">
        <v>72</v>
      </c>
      <c r="B65" s="12"/>
      <c r="C65" s="13"/>
      <c r="D65" s="41" t="s">
        <v>73</v>
      </c>
      <c r="E65" s="12"/>
      <c r="F65" s="13"/>
      <c r="G65" s="22"/>
      <c r="H65" s="22"/>
      <c r="I65" s="22"/>
      <c r="J65" s="43">
        <f t="shared" ref="J65:K65" si="27">J66+J71</f>
        <v>151200000</v>
      </c>
      <c r="K65" s="43">
        <f t="shared" si="27"/>
        <v>0</v>
      </c>
      <c r="L65" s="26"/>
      <c r="M65" s="43">
        <f>M66+M71</f>
        <v>18010000</v>
      </c>
      <c r="N65" s="61"/>
      <c r="O65" s="75">
        <f t="shared" si="3"/>
        <v>151200000</v>
      </c>
      <c r="P65" s="75">
        <f t="shared" si="4"/>
        <v>133190000</v>
      </c>
      <c r="Q65" s="64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35" t="s">
        <v>74</v>
      </c>
      <c r="B66" s="12"/>
      <c r="C66" s="13"/>
      <c r="D66" s="44" t="s">
        <v>75</v>
      </c>
      <c r="E66" s="12"/>
      <c r="F66" s="13"/>
      <c r="G66" s="22"/>
      <c r="H66" s="22"/>
      <c r="I66" s="22"/>
      <c r="J66" s="46">
        <f t="shared" ref="J66:K66" si="28">SUM(J68:J70)</f>
        <v>142700000</v>
      </c>
      <c r="K66" s="46">
        <f t="shared" si="28"/>
        <v>0</v>
      </c>
      <c r="L66" s="26"/>
      <c r="M66" s="46">
        <f>SUM(M68:M70)</f>
        <v>18010000</v>
      </c>
      <c r="N66" s="61"/>
      <c r="O66" s="75">
        <f t="shared" si="3"/>
        <v>142700000</v>
      </c>
      <c r="P66" s="75">
        <f t="shared" si="4"/>
        <v>124690000</v>
      </c>
      <c r="Q66" s="64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22"/>
      <c r="B67" s="67"/>
      <c r="C67" s="67"/>
      <c r="D67" s="35" t="s">
        <v>23</v>
      </c>
      <c r="E67" s="12"/>
      <c r="F67" s="13"/>
      <c r="G67" s="22"/>
      <c r="H67" s="22"/>
      <c r="I67" s="22"/>
      <c r="J67" s="22"/>
      <c r="K67" s="22"/>
      <c r="L67" s="26"/>
      <c r="M67" s="22"/>
      <c r="N67" s="61"/>
      <c r="O67" s="75">
        <f t="shared" si="3"/>
        <v>0</v>
      </c>
      <c r="P67" s="75">
        <f t="shared" si="4"/>
        <v>0</v>
      </c>
      <c r="Q67" s="64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22"/>
      <c r="B68" s="67"/>
      <c r="C68" s="67"/>
      <c r="D68" s="47" t="s">
        <v>24</v>
      </c>
      <c r="E68" s="35" t="s">
        <v>76</v>
      </c>
      <c r="F68" s="13"/>
      <c r="G68" s="36">
        <v>20.0</v>
      </c>
      <c r="H68" s="36" t="s">
        <v>26</v>
      </c>
      <c r="I68" s="48">
        <v>5000000.0</v>
      </c>
      <c r="J68" s="46">
        <f t="shared" ref="J68:J70" si="29">G68*I68</f>
        <v>100000000</v>
      </c>
      <c r="K68" s="46"/>
      <c r="L68" s="26"/>
      <c r="M68" s="46">
        <v>1.3E7</v>
      </c>
      <c r="N68" s="61"/>
      <c r="O68" s="75">
        <f t="shared" si="3"/>
        <v>100000000</v>
      </c>
      <c r="P68" s="75">
        <f t="shared" si="4"/>
        <v>87000000</v>
      </c>
      <c r="Q68" s="64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22"/>
      <c r="B69" s="67"/>
      <c r="C69" s="67"/>
      <c r="D69" s="47" t="s">
        <v>24</v>
      </c>
      <c r="E69" s="35" t="s">
        <v>77</v>
      </c>
      <c r="F69" s="13"/>
      <c r="G69" s="36">
        <v>30.0</v>
      </c>
      <c r="H69" s="36" t="s">
        <v>26</v>
      </c>
      <c r="I69" s="48">
        <v>850000.0</v>
      </c>
      <c r="J69" s="46">
        <f t="shared" si="29"/>
        <v>25500000</v>
      </c>
      <c r="K69" s="46"/>
      <c r="L69" s="26"/>
      <c r="M69" s="46">
        <v>2735000.0</v>
      </c>
      <c r="N69" s="61"/>
      <c r="O69" s="75">
        <f t="shared" si="3"/>
        <v>25500000</v>
      </c>
      <c r="P69" s="75">
        <f t="shared" si="4"/>
        <v>22765000</v>
      </c>
      <c r="Q69" s="64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22"/>
      <c r="B70" s="67"/>
      <c r="C70" s="67"/>
      <c r="D70" s="47" t="s">
        <v>24</v>
      </c>
      <c r="E70" s="35" t="s">
        <v>78</v>
      </c>
      <c r="F70" s="13"/>
      <c r="G70" s="36">
        <v>40.0</v>
      </c>
      <c r="H70" s="36" t="s">
        <v>26</v>
      </c>
      <c r="I70" s="48">
        <v>430000.0</v>
      </c>
      <c r="J70" s="46">
        <f t="shared" si="29"/>
        <v>17200000</v>
      </c>
      <c r="K70" s="46"/>
      <c r="L70" s="26"/>
      <c r="M70" s="46">
        <v>2275000.0</v>
      </c>
      <c r="N70" s="61"/>
      <c r="O70" s="75">
        <f t="shared" si="3"/>
        <v>17200000</v>
      </c>
      <c r="P70" s="75">
        <f t="shared" si="4"/>
        <v>14925000</v>
      </c>
      <c r="Q70" s="64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35" t="s">
        <v>79</v>
      </c>
      <c r="B71" s="12"/>
      <c r="C71" s="13"/>
      <c r="D71" s="44" t="s">
        <v>80</v>
      </c>
      <c r="E71" s="12"/>
      <c r="F71" s="13"/>
      <c r="G71" s="22"/>
      <c r="H71" s="22"/>
      <c r="I71" s="22"/>
      <c r="J71" s="46">
        <f t="shared" ref="J71:K71" si="30">J73</f>
        <v>8500000</v>
      </c>
      <c r="K71" s="46" t="str">
        <f t="shared" si="30"/>
        <v/>
      </c>
      <c r="L71" s="26"/>
      <c r="M71" s="46" t="str">
        <f>M73</f>
        <v/>
      </c>
      <c r="N71" s="61"/>
      <c r="O71" s="75">
        <f t="shared" si="3"/>
        <v>8500000</v>
      </c>
      <c r="P71" s="75">
        <f t="shared" si="4"/>
        <v>8500000</v>
      </c>
      <c r="Q71" s="64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22"/>
      <c r="B72" s="67"/>
      <c r="C72" s="67"/>
      <c r="D72" s="35" t="s">
        <v>23</v>
      </c>
      <c r="E72" s="12"/>
      <c r="F72" s="13"/>
      <c r="G72" s="22"/>
      <c r="H72" s="22"/>
      <c r="I72" s="22"/>
      <c r="J72" s="22"/>
      <c r="K72" s="22"/>
      <c r="L72" s="26"/>
      <c r="M72" s="22"/>
      <c r="N72" s="61"/>
      <c r="O72" s="75">
        <f t="shared" si="3"/>
        <v>0</v>
      </c>
      <c r="P72" s="75">
        <f t="shared" si="4"/>
        <v>0</v>
      </c>
      <c r="Q72" s="64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22"/>
      <c r="B73" s="67"/>
      <c r="C73" s="67"/>
      <c r="D73" s="47" t="s">
        <v>24</v>
      </c>
      <c r="E73" s="35" t="s">
        <v>81</v>
      </c>
      <c r="F73" s="13"/>
      <c r="G73" s="36">
        <v>50.0</v>
      </c>
      <c r="H73" s="36" t="s">
        <v>26</v>
      </c>
      <c r="I73" s="48">
        <v>170000.0</v>
      </c>
      <c r="J73" s="46">
        <f>G73*I73</f>
        <v>8500000</v>
      </c>
      <c r="K73" s="46"/>
      <c r="L73" s="26"/>
      <c r="M73" s="46"/>
      <c r="N73" s="61"/>
      <c r="O73" s="75">
        <f t="shared" si="3"/>
        <v>8500000</v>
      </c>
      <c r="P73" s="75">
        <f t="shared" si="4"/>
        <v>8500000</v>
      </c>
      <c r="Q73" s="64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41" t="s">
        <v>82</v>
      </c>
      <c r="B74" s="12"/>
      <c r="C74" s="13"/>
      <c r="D74" s="41" t="s">
        <v>83</v>
      </c>
      <c r="E74" s="12"/>
      <c r="F74" s="13"/>
      <c r="G74" s="22"/>
      <c r="H74" s="22"/>
      <c r="I74" s="22"/>
      <c r="J74" s="43">
        <f t="shared" ref="J74:K74" si="31">J75+J80</f>
        <v>1434000000</v>
      </c>
      <c r="K74" s="43">
        <f t="shared" si="31"/>
        <v>193110000</v>
      </c>
      <c r="L74" s="26"/>
      <c r="M74" s="43">
        <f>M75+M80</f>
        <v>255528000</v>
      </c>
      <c r="N74" s="61"/>
      <c r="O74" s="75">
        <f t="shared" si="3"/>
        <v>1240890000</v>
      </c>
      <c r="P74" s="75">
        <f t="shared" si="4"/>
        <v>1178472000</v>
      </c>
      <c r="Q74" s="64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35" t="s">
        <v>84</v>
      </c>
      <c r="B75" s="12"/>
      <c r="C75" s="13"/>
      <c r="D75" s="44" t="s">
        <v>85</v>
      </c>
      <c r="E75" s="12"/>
      <c r="F75" s="13"/>
      <c r="G75" s="22"/>
      <c r="H75" s="22"/>
      <c r="I75" s="22"/>
      <c r="J75" s="46">
        <f t="shared" ref="J75:K75" si="32">SUM(J77:J79)</f>
        <v>1320000000</v>
      </c>
      <c r="K75" s="46">
        <f t="shared" si="32"/>
        <v>79110000</v>
      </c>
      <c r="L75" s="26"/>
      <c r="M75" s="46">
        <f>SUM(M77:M79)</f>
        <v>141528000</v>
      </c>
      <c r="N75" s="61"/>
      <c r="O75" s="75">
        <f t="shared" si="3"/>
        <v>1240890000</v>
      </c>
      <c r="P75" s="75">
        <f t="shared" si="4"/>
        <v>1178472000</v>
      </c>
      <c r="Q75" s="64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22"/>
      <c r="B76" s="67"/>
      <c r="C76" s="67"/>
      <c r="D76" s="35" t="s">
        <v>23</v>
      </c>
      <c r="E76" s="12"/>
      <c r="F76" s="13"/>
      <c r="G76" s="22"/>
      <c r="H76" s="22"/>
      <c r="I76" s="22"/>
      <c r="J76" s="22"/>
      <c r="K76" s="22"/>
      <c r="L76" s="26"/>
      <c r="M76" s="22"/>
      <c r="N76" s="61"/>
      <c r="O76" s="75">
        <f t="shared" si="3"/>
        <v>0</v>
      </c>
      <c r="P76" s="75">
        <f t="shared" si="4"/>
        <v>0</v>
      </c>
      <c r="Q76" s="64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22"/>
      <c r="B77" s="67"/>
      <c r="C77" s="67"/>
      <c r="D77" s="47" t="s">
        <v>24</v>
      </c>
      <c r="E77" s="35" t="s">
        <v>168</v>
      </c>
      <c r="F77" s="13"/>
      <c r="G77" s="36">
        <v>54750.0</v>
      </c>
      <c r="H77" s="36" t="s">
        <v>87</v>
      </c>
      <c r="I77" s="48">
        <v>15000.0</v>
      </c>
      <c r="J77" s="46">
        <f t="shared" ref="J77:J79" si="33">G77*I77</f>
        <v>821250000</v>
      </c>
      <c r="K77" s="46">
        <v>5.952E7</v>
      </c>
      <c r="L77" s="26"/>
      <c r="M77" s="46">
        <v>1.02495E8</v>
      </c>
      <c r="N77" s="61"/>
      <c r="O77" s="75">
        <f t="shared" si="3"/>
        <v>761730000</v>
      </c>
      <c r="P77" s="75">
        <f t="shared" si="4"/>
        <v>718755000</v>
      </c>
      <c r="Q77" s="64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22"/>
      <c r="B78" s="67"/>
      <c r="C78" s="67"/>
      <c r="D78" s="47" t="s">
        <v>24</v>
      </c>
      <c r="E78" s="35" t="s">
        <v>88</v>
      </c>
      <c r="F78" s="13"/>
      <c r="G78" s="36">
        <v>9000.0</v>
      </c>
      <c r="H78" s="36" t="s">
        <v>87</v>
      </c>
      <c r="I78" s="48">
        <v>25000.0</v>
      </c>
      <c r="J78" s="46">
        <f t="shared" si="33"/>
        <v>225000000</v>
      </c>
      <c r="K78" s="46"/>
      <c r="L78" s="26"/>
      <c r="M78" s="46">
        <v>3693000.0</v>
      </c>
      <c r="N78" s="61"/>
      <c r="O78" s="75">
        <f t="shared" si="3"/>
        <v>225000000</v>
      </c>
      <c r="P78" s="75">
        <f t="shared" si="4"/>
        <v>221307000</v>
      </c>
      <c r="Q78" s="64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22"/>
      <c r="B79" s="67"/>
      <c r="C79" s="67"/>
      <c r="D79" s="47" t="s">
        <v>24</v>
      </c>
      <c r="E79" s="35" t="s">
        <v>169</v>
      </c>
      <c r="F79" s="13"/>
      <c r="G79" s="36">
        <v>36500.0</v>
      </c>
      <c r="H79" s="36" t="s">
        <v>87</v>
      </c>
      <c r="I79" s="48">
        <v>7500.0</v>
      </c>
      <c r="J79" s="46">
        <f t="shared" si="33"/>
        <v>273750000</v>
      </c>
      <c r="K79" s="46">
        <v>1.959E7</v>
      </c>
      <c r="L79" s="26"/>
      <c r="M79" s="46">
        <v>3.534E7</v>
      </c>
      <c r="N79" s="61"/>
      <c r="O79" s="75">
        <f t="shared" si="3"/>
        <v>254160000</v>
      </c>
      <c r="P79" s="75">
        <f t="shared" si="4"/>
        <v>238410000</v>
      </c>
      <c r="Q79" s="64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35" t="s">
        <v>63</v>
      </c>
      <c r="B80" s="12"/>
      <c r="C80" s="13"/>
      <c r="D80" s="44" t="s">
        <v>64</v>
      </c>
      <c r="E80" s="12"/>
      <c r="F80" s="13"/>
      <c r="G80" s="22"/>
      <c r="H80" s="22"/>
      <c r="I80" s="22"/>
      <c r="J80" s="46">
        <v>1.14E8</v>
      </c>
      <c r="K80" s="46">
        <v>1.14E8</v>
      </c>
      <c r="L80" s="26"/>
      <c r="M80" s="46">
        <v>1.14E8</v>
      </c>
      <c r="N80" s="61"/>
      <c r="O80" s="75">
        <f t="shared" si="3"/>
        <v>0</v>
      </c>
      <c r="P80" s="75">
        <f t="shared" si="4"/>
        <v>0</v>
      </c>
      <c r="Q80" s="64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22"/>
      <c r="B81" s="67"/>
      <c r="C81" s="67"/>
      <c r="D81" s="35" t="s">
        <v>23</v>
      </c>
      <c r="E81" s="12"/>
      <c r="F81" s="13"/>
      <c r="G81" s="22"/>
      <c r="H81" s="22"/>
      <c r="I81" s="22"/>
      <c r="J81" s="22"/>
      <c r="K81" s="22"/>
      <c r="L81" s="26"/>
      <c r="M81" s="22"/>
      <c r="N81" s="61"/>
      <c r="O81" s="75">
        <f t="shared" si="3"/>
        <v>0</v>
      </c>
      <c r="P81" s="75">
        <f t="shared" si="4"/>
        <v>0</v>
      </c>
      <c r="Q81" s="64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22"/>
      <c r="B82" s="67"/>
      <c r="C82" s="67"/>
      <c r="D82" s="47" t="s">
        <v>24</v>
      </c>
      <c r="E82" s="35" t="s">
        <v>90</v>
      </c>
      <c r="F82" s="13"/>
      <c r="G82" s="36">
        <v>180.0</v>
      </c>
      <c r="H82" s="36" t="s">
        <v>87</v>
      </c>
      <c r="I82" s="48">
        <v>500000.0</v>
      </c>
      <c r="J82" s="46">
        <f t="shared" ref="J82:J83" si="34">G82*I82</f>
        <v>90000000</v>
      </c>
      <c r="K82" s="46"/>
      <c r="L82" s="26"/>
      <c r="M82" s="46">
        <v>300000.0</v>
      </c>
      <c r="N82" s="61"/>
      <c r="O82" s="75">
        <f t="shared" si="3"/>
        <v>90000000</v>
      </c>
      <c r="P82" s="75">
        <f t="shared" si="4"/>
        <v>89700000</v>
      </c>
      <c r="Q82" s="85">
        <v>8.9785712E7</v>
      </c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22"/>
      <c r="B83" s="67"/>
      <c r="C83" s="67"/>
      <c r="D83" s="47" t="s">
        <v>24</v>
      </c>
      <c r="E83" s="35" t="s">
        <v>170</v>
      </c>
      <c r="F83" s="13"/>
      <c r="G83" s="36">
        <v>600.0</v>
      </c>
      <c r="H83" s="36" t="s">
        <v>87</v>
      </c>
      <c r="I83" s="48">
        <v>40000.0</v>
      </c>
      <c r="J83" s="46">
        <f t="shared" si="34"/>
        <v>24000000</v>
      </c>
      <c r="K83" s="46"/>
      <c r="L83" s="26"/>
      <c r="M83" s="46">
        <v>260000.0</v>
      </c>
      <c r="N83" s="61"/>
      <c r="O83" s="75">
        <f t="shared" si="3"/>
        <v>24000000</v>
      </c>
      <c r="P83" s="75">
        <f t="shared" si="4"/>
        <v>23740000</v>
      </c>
      <c r="Q83" s="64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41" t="s">
        <v>92</v>
      </c>
      <c r="B84" s="12"/>
      <c r="C84" s="13"/>
      <c r="D84" s="41" t="s">
        <v>93</v>
      </c>
      <c r="E84" s="12"/>
      <c r="F84" s="13"/>
      <c r="G84" s="22"/>
      <c r="H84" s="22"/>
      <c r="I84" s="22"/>
      <c r="J84" s="43">
        <f t="shared" ref="J84:K84" si="35">J85</f>
        <v>41836000</v>
      </c>
      <c r="K84" s="43">
        <f t="shared" si="35"/>
        <v>0</v>
      </c>
      <c r="L84" s="26"/>
      <c r="M84" s="43">
        <f>M85</f>
        <v>4091711</v>
      </c>
      <c r="N84" s="61"/>
      <c r="O84" s="75">
        <f t="shared" si="3"/>
        <v>41836000</v>
      </c>
      <c r="P84" s="75">
        <f t="shared" si="4"/>
        <v>37744289</v>
      </c>
      <c r="Q84" s="64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35" t="s">
        <v>68</v>
      </c>
      <c r="B85" s="12"/>
      <c r="C85" s="13"/>
      <c r="D85" s="44" t="s">
        <v>69</v>
      </c>
      <c r="E85" s="12"/>
      <c r="F85" s="13"/>
      <c r="G85" s="22"/>
      <c r="H85" s="22"/>
      <c r="I85" s="22"/>
      <c r="J85" s="46">
        <f t="shared" ref="J85:K85" si="36">SUM(J87:J88)</f>
        <v>41836000</v>
      </c>
      <c r="K85" s="46">
        <f t="shared" si="36"/>
        <v>0</v>
      </c>
      <c r="L85" s="26"/>
      <c r="M85" s="46">
        <f>SUM(M87:M88)</f>
        <v>4091711</v>
      </c>
      <c r="N85" s="61"/>
      <c r="O85" s="75">
        <f t="shared" si="3"/>
        <v>41836000</v>
      </c>
      <c r="P85" s="75">
        <f t="shared" si="4"/>
        <v>37744289</v>
      </c>
      <c r="Q85" s="64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22"/>
      <c r="B86" s="67"/>
      <c r="C86" s="67"/>
      <c r="D86" s="35" t="s">
        <v>23</v>
      </c>
      <c r="E86" s="12"/>
      <c r="F86" s="13"/>
      <c r="G86" s="22"/>
      <c r="H86" s="22"/>
      <c r="I86" s="22"/>
      <c r="J86" s="22"/>
      <c r="K86" s="22"/>
      <c r="L86" s="26"/>
      <c r="M86" s="22"/>
      <c r="N86" s="61"/>
      <c r="O86" s="75">
        <f t="shared" si="3"/>
        <v>0</v>
      </c>
      <c r="P86" s="75">
        <f t="shared" si="4"/>
        <v>0</v>
      </c>
      <c r="Q86" s="64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22"/>
      <c r="B87" s="67"/>
      <c r="C87" s="67"/>
      <c r="D87" s="47" t="s">
        <v>24</v>
      </c>
      <c r="E87" s="35" t="s">
        <v>94</v>
      </c>
      <c r="F87" s="13"/>
      <c r="G87" s="36">
        <v>12.0</v>
      </c>
      <c r="H87" s="36" t="s">
        <v>95</v>
      </c>
      <c r="I87" s="48">
        <v>2500000.0</v>
      </c>
      <c r="J87" s="46">
        <f t="shared" ref="J87:J88" si="37">G87*I87</f>
        <v>30000000</v>
      </c>
      <c r="K87" s="46"/>
      <c r="L87" s="26"/>
      <c r="M87" s="46">
        <v>2484711.0</v>
      </c>
      <c r="N87" s="61"/>
      <c r="O87" s="75">
        <f t="shared" si="3"/>
        <v>30000000</v>
      </c>
      <c r="P87" s="75">
        <f t="shared" si="4"/>
        <v>27515289</v>
      </c>
      <c r="Q87" s="85">
        <v>2.94045E7</v>
      </c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22"/>
      <c r="B88" s="67"/>
      <c r="C88" s="67"/>
      <c r="D88" s="47" t="s">
        <v>24</v>
      </c>
      <c r="E88" s="35" t="s">
        <v>232</v>
      </c>
      <c r="F88" s="13"/>
      <c r="G88" s="36">
        <v>1.0</v>
      </c>
      <c r="H88" s="36" t="s">
        <v>97</v>
      </c>
      <c r="I88" s="48">
        <v>1.1836E7</v>
      </c>
      <c r="J88" s="46">
        <f t="shared" si="37"/>
        <v>11836000</v>
      </c>
      <c r="K88" s="46"/>
      <c r="L88" s="26"/>
      <c r="M88" s="46">
        <v>1607000.0</v>
      </c>
      <c r="N88" s="61"/>
      <c r="O88" s="75">
        <f t="shared" si="3"/>
        <v>11836000</v>
      </c>
      <c r="P88" s="75">
        <f t="shared" si="4"/>
        <v>10229000</v>
      </c>
      <c r="Q88" s="64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41" t="s">
        <v>98</v>
      </c>
      <c r="B89" s="12"/>
      <c r="C89" s="13"/>
      <c r="D89" s="41" t="s">
        <v>99</v>
      </c>
      <c r="E89" s="12"/>
      <c r="F89" s="13"/>
      <c r="G89" s="22"/>
      <c r="H89" s="22"/>
      <c r="I89" s="22"/>
      <c r="J89" s="43">
        <f t="shared" ref="J89:K89" si="38">J90+J99</f>
        <v>6760000</v>
      </c>
      <c r="K89" s="43">
        <f t="shared" si="38"/>
        <v>0</v>
      </c>
      <c r="L89" s="26"/>
      <c r="M89" s="43">
        <f>M90+M99</f>
        <v>0</v>
      </c>
      <c r="N89" s="61"/>
      <c r="O89" s="75">
        <f t="shared" si="3"/>
        <v>6760000</v>
      </c>
      <c r="P89" s="75">
        <f t="shared" si="4"/>
        <v>6760000</v>
      </c>
      <c r="Q89" s="64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35" t="s">
        <v>100</v>
      </c>
      <c r="B90" s="12"/>
      <c r="C90" s="13"/>
      <c r="D90" s="44" t="s">
        <v>101</v>
      </c>
      <c r="E90" s="12"/>
      <c r="F90" s="13"/>
      <c r="G90" s="22"/>
      <c r="H90" s="22"/>
      <c r="I90" s="22"/>
      <c r="J90" s="46">
        <f t="shared" ref="J90:K90" si="39">SUM(J92:J98)</f>
        <v>5600000</v>
      </c>
      <c r="K90" s="46">
        <f t="shared" si="39"/>
        <v>0</v>
      </c>
      <c r="L90" s="26"/>
      <c r="M90" s="46">
        <f>SUM(M92:M98)</f>
        <v>0</v>
      </c>
      <c r="N90" s="61"/>
      <c r="O90" s="75">
        <f t="shared" si="3"/>
        <v>5600000</v>
      </c>
      <c r="P90" s="75">
        <f t="shared" si="4"/>
        <v>5600000</v>
      </c>
      <c r="Q90" s="64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22"/>
      <c r="B91" s="67"/>
      <c r="C91" s="67"/>
      <c r="D91" s="35" t="s">
        <v>23</v>
      </c>
      <c r="E91" s="12"/>
      <c r="F91" s="13"/>
      <c r="G91" s="22"/>
      <c r="H91" s="22"/>
      <c r="I91" s="22"/>
      <c r="J91" s="22"/>
      <c r="K91" s="22"/>
      <c r="L91" s="26"/>
      <c r="M91" s="22"/>
      <c r="N91" s="61"/>
      <c r="O91" s="75">
        <f t="shared" si="3"/>
        <v>0</v>
      </c>
      <c r="P91" s="75">
        <f t="shared" si="4"/>
        <v>0</v>
      </c>
      <c r="Q91" s="64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22"/>
      <c r="B92" s="67"/>
      <c r="C92" s="67"/>
      <c r="D92" s="47" t="s">
        <v>24</v>
      </c>
      <c r="E92" s="35" t="s">
        <v>102</v>
      </c>
      <c r="F92" s="13"/>
      <c r="G92" s="36">
        <v>2.0</v>
      </c>
      <c r="H92" s="36" t="s">
        <v>95</v>
      </c>
      <c r="I92" s="48">
        <v>350000.0</v>
      </c>
      <c r="J92" s="46">
        <f t="shared" ref="J92:J98" si="40">G92*I92</f>
        <v>700000</v>
      </c>
      <c r="K92" s="46"/>
      <c r="L92" s="26"/>
      <c r="M92" s="46"/>
      <c r="N92" s="61"/>
      <c r="O92" s="75">
        <f t="shared" si="3"/>
        <v>700000</v>
      </c>
      <c r="P92" s="75">
        <f t="shared" si="4"/>
        <v>700000</v>
      </c>
      <c r="Q92" s="64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22"/>
      <c r="B93" s="67"/>
      <c r="C93" s="67"/>
      <c r="D93" s="47" t="s">
        <v>24</v>
      </c>
      <c r="E93" s="35" t="s">
        <v>103</v>
      </c>
      <c r="F93" s="13"/>
      <c r="G93" s="36">
        <v>2.0</v>
      </c>
      <c r="H93" s="36" t="s">
        <v>95</v>
      </c>
      <c r="I93" s="48">
        <v>225000.0</v>
      </c>
      <c r="J93" s="46">
        <f t="shared" si="40"/>
        <v>450000</v>
      </c>
      <c r="K93" s="46"/>
      <c r="L93" s="26"/>
      <c r="M93" s="46"/>
      <c r="N93" s="61"/>
      <c r="O93" s="75">
        <f t="shared" si="3"/>
        <v>450000</v>
      </c>
      <c r="P93" s="75">
        <f t="shared" si="4"/>
        <v>450000</v>
      </c>
      <c r="Q93" s="64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22"/>
      <c r="B94" s="67"/>
      <c r="C94" s="67"/>
      <c r="D94" s="47" t="s">
        <v>24</v>
      </c>
      <c r="E94" s="35" t="s">
        <v>104</v>
      </c>
      <c r="F94" s="13"/>
      <c r="G94" s="36">
        <v>2.0</v>
      </c>
      <c r="H94" s="36" t="s">
        <v>95</v>
      </c>
      <c r="I94" s="48">
        <v>450000.0</v>
      </c>
      <c r="J94" s="46">
        <f t="shared" si="40"/>
        <v>900000</v>
      </c>
      <c r="K94" s="46"/>
      <c r="L94" s="26"/>
      <c r="M94" s="46"/>
      <c r="N94" s="61"/>
      <c r="O94" s="75">
        <f t="shared" si="3"/>
        <v>900000</v>
      </c>
      <c r="P94" s="75">
        <f t="shared" si="4"/>
        <v>900000</v>
      </c>
      <c r="Q94" s="64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22"/>
      <c r="B95" s="67"/>
      <c r="C95" s="67"/>
      <c r="D95" s="47" t="s">
        <v>24</v>
      </c>
      <c r="E95" s="35" t="s">
        <v>105</v>
      </c>
      <c r="F95" s="13"/>
      <c r="G95" s="36">
        <v>2.0</v>
      </c>
      <c r="H95" s="36" t="s">
        <v>95</v>
      </c>
      <c r="I95" s="48">
        <v>250000.0</v>
      </c>
      <c r="J95" s="46">
        <f t="shared" si="40"/>
        <v>500000</v>
      </c>
      <c r="K95" s="46"/>
      <c r="L95" s="26"/>
      <c r="M95" s="46"/>
      <c r="N95" s="61"/>
      <c r="O95" s="75">
        <f t="shared" si="3"/>
        <v>500000</v>
      </c>
      <c r="P95" s="75">
        <f t="shared" si="4"/>
        <v>500000</v>
      </c>
      <c r="Q95" s="64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22"/>
      <c r="B96" s="67"/>
      <c r="C96" s="67"/>
      <c r="D96" s="47" t="s">
        <v>24</v>
      </c>
      <c r="E96" s="35" t="s">
        <v>106</v>
      </c>
      <c r="F96" s="13"/>
      <c r="G96" s="36">
        <v>2.0</v>
      </c>
      <c r="H96" s="36" t="s">
        <v>95</v>
      </c>
      <c r="I96" s="48">
        <v>100000.0</v>
      </c>
      <c r="J96" s="46">
        <f t="shared" si="40"/>
        <v>200000</v>
      </c>
      <c r="K96" s="46"/>
      <c r="L96" s="26"/>
      <c r="M96" s="46"/>
      <c r="N96" s="61"/>
      <c r="O96" s="75">
        <f t="shared" si="3"/>
        <v>200000</v>
      </c>
      <c r="P96" s="75">
        <f t="shared" si="4"/>
        <v>200000</v>
      </c>
      <c r="Q96" s="64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22"/>
      <c r="B97" s="67"/>
      <c r="C97" s="67"/>
      <c r="D97" s="47" t="s">
        <v>24</v>
      </c>
      <c r="E97" s="35" t="s">
        <v>107</v>
      </c>
      <c r="F97" s="13"/>
      <c r="G97" s="36">
        <v>2.0</v>
      </c>
      <c r="H97" s="36" t="s">
        <v>95</v>
      </c>
      <c r="I97" s="48">
        <v>725000.0</v>
      </c>
      <c r="J97" s="46">
        <f t="shared" si="40"/>
        <v>1450000</v>
      </c>
      <c r="K97" s="46"/>
      <c r="L97" s="26"/>
      <c r="M97" s="46"/>
      <c r="N97" s="61"/>
      <c r="O97" s="75">
        <f t="shared" si="3"/>
        <v>1450000</v>
      </c>
      <c r="P97" s="75">
        <f t="shared" si="4"/>
        <v>1450000</v>
      </c>
      <c r="Q97" s="64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22"/>
      <c r="B98" s="67"/>
      <c r="C98" s="67"/>
      <c r="D98" s="47" t="s">
        <v>24</v>
      </c>
      <c r="E98" s="35" t="s">
        <v>108</v>
      </c>
      <c r="F98" s="13"/>
      <c r="G98" s="36">
        <v>2.0</v>
      </c>
      <c r="H98" s="36" t="s">
        <v>95</v>
      </c>
      <c r="I98" s="48">
        <v>700000.0</v>
      </c>
      <c r="J98" s="46">
        <f t="shared" si="40"/>
        <v>1400000</v>
      </c>
      <c r="K98" s="46"/>
      <c r="L98" s="26"/>
      <c r="M98" s="46"/>
      <c r="N98" s="61"/>
      <c r="O98" s="75">
        <f t="shared" si="3"/>
        <v>1400000</v>
      </c>
      <c r="P98" s="75">
        <f t="shared" si="4"/>
        <v>1400000</v>
      </c>
      <c r="Q98" s="64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35" t="s">
        <v>68</v>
      </c>
      <c r="B99" s="12"/>
      <c r="C99" s="13"/>
      <c r="D99" s="44" t="s">
        <v>69</v>
      </c>
      <c r="E99" s="12"/>
      <c r="F99" s="13"/>
      <c r="G99" s="22"/>
      <c r="H99" s="22"/>
      <c r="I99" s="22"/>
      <c r="J99" s="46">
        <f t="shared" ref="J99:K99" si="41">SUM(J101:J104)</f>
        <v>1160000</v>
      </c>
      <c r="K99" s="46">
        <f t="shared" si="41"/>
        <v>0</v>
      </c>
      <c r="L99" s="26"/>
      <c r="M99" s="46">
        <f>SUM(M101:M104)</f>
        <v>0</v>
      </c>
      <c r="N99" s="61"/>
      <c r="O99" s="75">
        <f t="shared" si="3"/>
        <v>1160000</v>
      </c>
      <c r="P99" s="75">
        <f t="shared" si="4"/>
        <v>1160000</v>
      </c>
      <c r="Q99" s="64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22"/>
      <c r="B100" s="67"/>
      <c r="C100" s="67"/>
      <c r="D100" s="35" t="s">
        <v>23</v>
      </c>
      <c r="E100" s="12"/>
      <c r="F100" s="13"/>
      <c r="G100" s="22"/>
      <c r="H100" s="22"/>
      <c r="I100" s="22"/>
      <c r="J100" s="22"/>
      <c r="K100" s="22"/>
      <c r="L100" s="26"/>
      <c r="M100" s="22"/>
      <c r="N100" s="61"/>
      <c r="O100" s="75">
        <f t="shared" si="3"/>
        <v>0</v>
      </c>
      <c r="P100" s="75">
        <f t="shared" si="4"/>
        <v>0</v>
      </c>
      <c r="Q100" s="64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22"/>
      <c r="B101" s="67"/>
      <c r="C101" s="67"/>
      <c r="D101" s="47" t="s">
        <v>24</v>
      </c>
      <c r="E101" s="35" t="s">
        <v>109</v>
      </c>
      <c r="F101" s="13"/>
      <c r="G101" s="36">
        <v>10.0</v>
      </c>
      <c r="H101" s="36" t="s">
        <v>95</v>
      </c>
      <c r="I101" s="48">
        <v>50000.0</v>
      </c>
      <c r="J101" s="46">
        <f t="shared" ref="J101:J104" si="42">G101*I101</f>
        <v>500000</v>
      </c>
      <c r="K101" s="46"/>
      <c r="L101" s="26"/>
      <c r="M101" s="46"/>
      <c r="N101" s="61"/>
      <c r="O101" s="75">
        <f t="shared" si="3"/>
        <v>500000</v>
      </c>
      <c r="P101" s="75">
        <f t="shared" si="4"/>
        <v>500000</v>
      </c>
      <c r="Q101" s="64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22"/>
      <c r="B102" s="67"/>
      <c r="C102" s="67"/>
      <c r="D102" s="47" t="s">
        <v>24</v>
      </c>
      <c r="E102" s="35" t="s">
        <v>110</v>
      </c>
      <c r="F102" s="13"/>
      <c r="G102" s="36">
        <v>2.0</v>
      </c>
      <c r="H102" s="36" t="s">
        <v>95</v>
      </c>
      <c r="I102" s="48">
        <v>100000.0</v>
      </c>
      <c r="J102" s="46">
        <f t="shared" si="42"/>
        <v>200000</v>
      </c>
      <c r="K102" s="46"/>
      <c r="L102" s="26"/>
      <c r="M102" s="46"/>
      <c r="N102" s="61"/>
      <c r="O102" s="75">
        <f t="shared" si="3"/>
        <v>200000</v>
      </c>
      <c r="P102" s="75">
        <f t="shared" si="4"/>
        <v>200000</v>
      </c>
      <c r="Q102" s="64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22"/>
      <c r="B103" s="67"/>
      <c r="C103" s="67"/>
      <c r="D103" s="47" t="s">
        <v>24</v>
      </c>
      <c r="E103" s="35" t="s">
        <v>111</v>
      </c>
      <c r="F103" s="13"/>
      <c r="G103" s="36">
        <v>2.0</v>
      </c>
      <c r="H103" s="36" t="s">
        <v>95</v>
      </c>
      <c r="I103" s="48">
        <v>200000.0</v>
      </c>
      <c r="J103" s="46">
        <f t="shared" si="42"/>
        <v>400000</v>
      </c>
      <c r="K103" s="46"/>
      <c r="L103" s="26"/>
      <c r="M103" s="46"/>
      <c r="N103" s="61"/>
      <c r="O103" s="75">
        <f t="shared" si="3"/>
        <v>400000</v>
      </c>
      <c r="P103" s="75">
        <f t="shared" si="4"/>
        <v>400000</v>
      </c>
      <c r="Q103" s="64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22"/>
      <c r="B104" s="67"/>
      <c r="C104" s="67"/>
      <c r="D104" s="47" t="s">
        <v>24</v>
      </c>
      <c r="E104" s="35" t="s">
        <v>112</v>
      </c>
      <c r="F104" s="13"/>
      <c r="G104" s="36">
        <v>2.0</v>
      </c>
      <c r="H104" s="36" t="s">
        <v>95</v>
      </c>
      <c r="I104" s="48">
        <v>30000.0</v>
      </c>
      <c r="J104" s="46">
        <f t="shared" si="42"/>
        <v>60000</v>
      </c>
      <c r="K104" s="46"/>
      <c r="L104" s="26"/>
      <c r="M104" s="46"/>
      <c r="N104" s="61"/>
      <c r="O104" s="75">
        <f t="shared" si="3"/>
        <v>60000</v>
      </c>
      <c r="P104" s="75">
        <f t="shared" si="4"/>
        <v>60000</v>
      </c>
      <c r="Q104" s="64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41" t="s">
        <v>113</v>
      </c>
      <c r="B105" s="12"/>
      <c r="C105" s="13"/>
      <c r="D105" s="41" t="s">
        <v>114</v>
      </c>
      <c r="E105" s="12"/>
      <c r="F105" s="13"/>
      <c r="G105" s="22"/>
      <c r="H105" s="22"/>
      <c r="I105" s="22"/>
      <c r="J105" s="43">
        <f t="shared" ref="J105:K105" si="43">J106</f>
        <v>410750000</v>
      </c>
      <c r="K105" s="43">
        <f t="shared" si="43"/>
        <v>0</v>
      </c>
      <c r="L105" s="26"/>
      <c r="M105" s="43">
        <f>M106</f>
        <v>16597638</v>
      </c>
      <c r="N105" s="61"/>
      <c r="O105" s="75">
        <f t="shared" si="3"/>
        <v>410750000</v>
      </c>
      <c r="P105" s="75">
        <f t="shared" si="4"/>
        <v>394152362</v>
      </c>
      <c r="Q105" s="64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35" t="s">
        <v>68</v>
      </c>
      <c r="B106" s="12"/>
      <c r="C106" s="13"/>
      <c r="D106" s="44" t="s">
        <v>69</v>
      </c>
      <c r="E106" s="12"/>
      <c r="F106" s="13"/>
      <c r="G106" s="22"/>
      <c r="H106" s="22"/>
      <c r="I106" s="22"/>
      <c r="J106" s="46">
        <f t="shared" ref="J106:K106" si="44">SUM(J108:J118)</f>
        <v>410750000</v>
      </c>
      <c r="K106" s="46">
        <f t="shared" si="44"/>
        <v>0</v>
      </c>
      <c r="L106" s="26"/>
      <c r="M106" s="46">
        <f>SUM(M108:M118)</f>
        <v>16597638</v>
      </c>
      <c r="N106" s="61"/>
      <c r="O106" s="75">
        <f t="shared" si="3"/>
        <v>410750000</v>
      </c>
      <c r="P106" s="75">
        <f t="shared" si="4"/>
        <v>394152362</v>
      </c>
      <c r="Q106" s="64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22"/>
      <c r="B107" s="67"/>
      <c r="C107" s="67"/>
      <c r="D107" s="35" t="s">
        <v>23</v>
      </c>
      <c r="E107" s="12"/>
      <c r="F107" s="13"/>
      <c r="G107" s="22"/>
      <c r="H107" s="22"/>
      <c r="I107" s="22"/>
      <c r="J107" s="22"/>
      <c r="K107" s="22"/>
      <c r="L107" s="26"/>
      <c r="M107" s="22"/>
      <c r="N107" s="61"/>
      <c r="O107" s="75">
        <f t="shared" si="3"/>
        <v>0</v>
      </c>
      <c r="P107" s="75">
        <f t="shared" si="4"/>
        <v>0</v>
      </c>
      <c r="Q107" s="64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22"/>
      <c r="B108" s="67"/>
      <c r="C108" s="67"/>
      <c r="D108" s="47" t="s">
        <v>24</v>
      </c>
      <c r="E108" s="35" t="s">
        <v>172</v>
      </c>
      <c r="F108" s="13"/>
      <c r="G108" s="36">
        <v>100.0</v>
      </c>
      <c r="H108" s="36" t="s">
        <v>95</v>
      </c>
      <c r="I108" s="48">
        <v>110000.0</v>
      </c>
      <c r="J108" s="46">
        <f t="shared" ref="J108:J118" si="45">G108*I108</f>
        <v>11000000</v>
      </c>
      <c r="K108" s="46"/>
      <c r="L108" s="26"/>
      <c r="M108" s="46"/>
      <c r="N108" s="61"/>
      <c r="O108" s="75">
        <f t="shared" si="3"/>
        <v>11000000</v>
      </c>
      <c r="P108" s="75">
        <f t="shared" si="4"/>
        <v>11000000</v>
      </c>
      <c r="Q108" s="64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22"/>
      <c r="B109" s="67"/>
      <c r="C109" s="67"/>
      <c r="D109" s="47" t="s">
        <v>24</v>
      </c>
      <c r="E109" s="35" t="s">
        <v>173</v>
      </c>
      <c r="F109" s="13"/>
      <c r="G109" s="36">
        <v>100.0</v>
      </c>
      <c r="H109" s="36" t="s">
        <v>95</v>
      </c>
      <c r="I109" s="48">
        <v>120000.0</v>
      </c>
      <c r="J109" s="46">
        <f t="shared" si="45"/>
        <v>12000000</v>
      </c>
      <c r="K109" s="46"/>
      <c r="L109" s="26"/>
      <c r="M109" s="46"/>
      <c r="N109" s="61"/>
      <c r="O109" s="75">
        <f t="shared" si="3"/>
        <v>12000000</v>
      </c>
      <c r="P109" s="75">
        <f t="shared" si="4"/>
        <v>12000000</v>
      </c>
      <c r="Q109" s="64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22"/>
      <c r="B110" s="67"/>
      <c r="C110" s="67"/>
      <c r="D110" s="47" t="s">
        <v>24</v>
      </c>
      <c r="E110" s="35" t="s">
        <v>174</v>
      </c>
      <c r="F110" s="13"/>
      <c r="G110" s="36">
        <v>100.0</v>
      </c>
      <c r="H110" s="36" t="s">
        <v>95</v>
      </c>
      <c r="I110" s="48">
        <v>150000.0</v>
      </c>
      <c r="J110" s="46">
        <f t="shared" si="45"/>
        <v>15000000</v>
      </c>
      <c r="K110" s="46"/>
      <c r="L110" s="26"/>
      <c r="M110" s="46"/>
      <c r="N110" s="61"/>
      <c r="O110" s="75">
        <f t="shared" si="3"/>
        <v>15000000</v>
      </c>
      <c r="P110" s="75">
        <f t="shared" si="4"/>
        <v>15000000</v>
      </c>
      <c r="Q110" s="64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22"/>
      <c r="B111" s="67"/>
      <c r="C111" s="67"/>
      <c r="D111" s="47" t="s">
        <v>24</v>
      </c>
      <c r="E111" s="35" t="s">
        <v>175</v>
      </c>
      <c r="F111" s="13"/>
      <c r="G111" s="36">
        <v>100.0</v>
      </c>
      <c r="H111" s="36" t="s">
        <v>95</v>
      </c>
      <c r="I111" s="48">
        <v>100000.0</v>
      </c>
      <c r="J111" s="46">
        <f t="shared" si="45"/>
        <v>10000000</v>
      </c>
      <c r="K111" s="46"/>
      <c r="L111" s="26"/>
      <c r="M111" s="46"/>
      <c r="N111" s="61"/>
      <c r="O111" s="75">
        <f t="shared" si="3"/>
        <v>10000000</v>
      </c>
      <c r="P111" s="75">
        <f t="shared" si="4"/>
        <v>10000000</v>
      </c>
      <c r="Q111" s="64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22"/>
      <c r="B112" s="67"/>
      <c r="C112" s="67"/>
      <c r="D112" s="47" t="s">
        <v>24</v>
      </c>
      <c r="E112" s="35" t="s">
        <v>176</v>
      </c>
      <c r="F112" s="13"/>
      <c r="G112" s="36">
        <v>100.0</v>
      </c>
      <c r="H112" s="36" t="s">
        <v>95</v>
      </c>
      <c r="I112" s="48">
        <v>350000.0</v>
      </c>
      <c r="J112" s="46">
        <f t="shared" si="45"/>
        <v>35000000</v>
      </c>
      <c r="K112" s="46"/>
      <c r="L112" s="26"/>
      <c r="M112" s="46">
        <v>1087638.0</v>
      </c>
      <c r="N112" s="61"/>
      <c r="O112" s="75">
        <f t="shared" si="3"/>
        <v>35000000</v>
      </c>
      <c r="P112" s="75">
        <f t="shared" si="4"/>
        <v>33912362</v>
      </c>
      <c r="Q112" s="64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22"/>
      <c r="B113" s="67"/>
      <c r="C113" s="67"/>
      <c r="D113" s="47" t="s">
        <v>24</v>
      </c>
      <c r="E113" s="35" t="s">
        <v>177</v>
      </c>
      <c r="F113" s="13"/>
      <c r="G113" s="36">
        <v>50.0</v>
      </c>
      <c r="H113" s="36" t="s">
        <v>95</v>
      </c>
      <c r="I113" s="48">
        <v>175000.0</v>
      </c>
      <c r="J113" s="46">
        <f t="shared" si="45"/>
        <v>8750000</v>
      </c>
      <c r="K113" s="46"/>
      <c r="L113" s="26"/>
      <c r="M113" s="46"/>
      <c r="N113" s="61"/>
      <c r="O113" s="75">
        <f t="shared" si="3"/>
        <v>8750000</v>
      </c>
      <c r="P113" s="75">
        <f t="shared" si="4"/>
        <v>8750000</v>
      </c>
      <c r="Q113" s="64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22"/>
      <c r="B114" s="67"/>
      <c r="C114" s="67"/>
      <c r="D114" s="47" t="s">
        <v>24</v>
      </c>
      <c r="E114" s="35" t="s">
        <v>178</v>
      </c>
      <c r="F114" s="13"/>
      <c r="G114" s="36">
        <v>350.0</v>
      </c>
      <c r="H114" s="36" t="s">
        <v>95</v>
      </c>
      <c r="I114" s="48">
        <v>150000.0</v>
      </c>
      <c r="J114" s="46">
        <f t="shared" si="45"/>
        <v>52500000</v>
      </c>
      <c r="K114" s="46"/>
      <c r="L114" s="26"/>
      <c r="M114" s="46"/>
      <c r="N114" s="61"/>
      <c r="O114" s="75">
        <f t="shared" si="3"/>
        <v>52500000</v>
      </c>
      <c r="P114" s="75">
        <f t="shared" si="4"/>
        <v>52500000</v>
      </c>
      <c r="Q114" s="64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22"/>
      <c r="B115" s="67"/>
      <c r="C115" s="67"/>
      <c r="D115" s="47" t="s">
        <v>24</v>
      </c>
      <c r="E115" s="35" t="s">
        <v>179</v>
      </c>
      <c r="F115" s="13"/>
      <c r="G115" s="36">
        <v>350.0</v>
      </c>
      <c r="H115" s="36" t="s">
        <v>95</v>
      </c>
      <c r="I115" s="48">
        <v>200000.0</v>
      </c>
      <c r="J115" s="46">
        <f t="shared" si="45"/>
        <v>70000000</v>
      </c>
      <c r="K115" s="46"/>
      <c r="L115" s="26"/>
      <c r="M115" s="46"/>
      <c r="N115" s="61"/>
      <c r="O115" s="75">
        <f t="shared" si="3"/>
        <v>70000000</v>
      </c>
      <c r="P115" s="75">
        <f t="shared" si="4"/>
        <v>70000000</v>
      </c>
      <c r="Q115" s="64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22"/>
      <c r="B116" s="67"/>
      <c r="C116" s="67"/>
      <c r="D116" s="47" t="s">
        <v>24</v>
      </c>
      <c r="E116" s="35" t="s">
        <v>180</v>
      </c>
      <c r="F116" s="13"/>
      <c r="G116" s="36">
        <v>600.0</v>
      </c>
      <c r="H116" s="36" t="s">
        <v>95</v>
      </c>
      <c r="I116" s="48">
        <v>250000.0</v>
      </c>
      <c r="J116" s="46">
        <f t="shared" si="45"/>
        <v>150000000</v>
      </c>
      <c r="K116" s="46"/>
      <c r="L116" s="26"/>
      <c r="M116" s="46">
        <v>1.486375E7</v>
      </c>
      <c r="N116" s="61"/>
      <c r="O116" s="75">
        <f t="shared" si="3"/>
        <v>150000000</v>
      </c>
      <c r="P116" s="75">
        <f t="shared" si="4"/>
        <v>135136250</v>
      </c>
      <c r="Q116" s="64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22"/>
      <c r="B117" s="67"/>
      <c r="C117" s="67"/>
      <c r="D117" s="47" t="s">
        <v>24</v>
      </c>
      <c r="E117" s="35" t="s">
        <v>181</v>
      </c>
      <c r="F117" s="13"/>
      <c r="G117" s="36">
        <v>360.0</v>
      </c>
      <c r="H117" s="36" t="s">
        <v>95</v>
      </c>
      <c r="I117" s="48">
        <v>100000.0</v>
      </c>
      <c r="J117" s="46">
        <f t="shared" si="45"/>
        <v>36000000</v>
      </c>
      <c r="K117" s="46"/>
      <c r="L117" s="26"/>
      <c r="M117" s="46">
        <v>646250.0</v>
      </c>
      <c r="N117" s="61"/>
      <c r="O117" s="75">
        <f t="shared" si="3"/>
        <v>36000000</v>
      </c>
      <c r="P117" s="75">
        <f t="shared" si="4"/>
        <v>35353750</v>
      </c>
      <c r="Q117" s="64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22"/>
      <c r="B118" s="67"/>
      <c r="C118" s="67"/>
      <c r="D118" s="47" t="s">
        <v>24</v>
      </c>
      <c r="E118" s="35" t="s">
        <v>182</v>
      </c>
      <c r="F118" s="13"/>
      <c r="G118" s="36">
        <v>210.0</v>
      </c>
      <c r="H118" s="36" t="s">
        <v>95</v>
      </c>
      <c r="I118" s="48">
        <v>50000.0</v>
      </c>
      <c r="J118" s="46">
        <f t="shared" si="45"/>
        <v>10500000</v>
      </c>
      <c r="K118" s="46"/>
      <c r="L118" s="26"/>
      <c r="M118" s="46"/>
      <c r="N118" s="61"/>
      <c r="O118" s="75">
        <f t="shared" si="3"/>
        <v>10500000</v>
      </c>
      <c r="P118" s="75">
        <f t="shared" si="4"/>
        <v>10500000</v>
      </c>
      <c r="Q118" s="64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41" t="s">
        <v>126</v>
      </c>
      <c r="B119" s="12"/>
      <c r="C119" s="56"/>
      <c r="D119" s="41" t="s">
        <v>127</v>
      </c>
      <c r="E119" s="12"/>
      <c r="F119" s="13"/>
      <c r="G119" s="22"/>
      <c r="H119" s="22"/>
      <c r="I119" s="22"/>
      <c r="J119" s="43">
        <f t="shared" ref="J119:K119" si="46">J120</f>
        <v>190740000</v>
      </c>
      <c r="K119" s="43">
        <f t="shared" si="46"/>
        <v>0</v>
      </c>
      <c r="L119" s="26"/>
      <c r="M119" s="43">
        <f>M120</f>
        <v>0</v>
      </c>
      <c r="N119" s="61"/>
      <c r="O119" s="75">
        <f t="shared" si="3"/>
        <v>190740000</v>
      </c>
      <c r="P119" s="75">
        <f t="shared" si="4"/>
        <v>190740000</v>
      </c>
      <c r="Q119" s="64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35" t="s">
        <v>68</v>
      </c>
      <c r="B120" s="12"/>
      <c r="C120" s="47"/>
      <c r="D120" s="44" t="s">
        <v>69</v>
      </c>
      <c r="E120" s="12"/>
      <c r="F120" s="13"/>
      <c r="G120" s="22"/>
      <c r="H120" s="22"/>
      <c r="I120" s="22"/>
      <c r="J120" s="46">
        <f t="shared" ref="J120:K120" si="47">SUM(J122:J126)</f>
        <v>190740000</v>
      </c>
      <c r="K120" s="46">
        <f t="shared" si="47"/>
        <v>0</v>
      </c>
      <c r="L120" s="26"/>
      <c r="M120" s="46">
        <f>SUM(M122:M126)</f>
        <v>0</v>
      </c>
      <c r="N120" s="61"/>
      <c r="O120" s="75">
        <f t="shared" si="3"/>
        <v>190740000</v>
      </c>
      <c r="P120" s="75">
        <f t="shared" si="4"/>
        <v>190740000</v>
      </c>
      <c r="Q120" s="64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22"/>
      <c r="B121" s="67"/>
      <c r="C121" s="67"/>
      <c r="D121" s="35" t="s">
        <v>23</v>
      </c>
      <c r="E121" s="12"/>
      <c r="F121" s="13"/>
      <c r="G121" s="22"/>
      <c r="H121" s="22"/>
      <c r="I121" s="22"/>
      <c r="J121" s="22"/>
      <c r="K121" s="22"/>
      <c r="L121" s="26"/>
      <c r="M121" s="22"/>
      <c r="N121" s="61"/>
      <c r="O121" s="75">
        <f t="shared" si="3"/>
        <v>0</v>
      </c>
      <c r="P121" s="75">
        <f t="shared" si="4"/>
        <v>0</v>
      </c>
      <c r="Q121" s="64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22"/>
      <c r="B122" s="67"/>
      <c r="C122" s="67"/>
      <c r="D122" s="47" t="s">
        <v>24</v>
      </c>
      <c r="E122" s="35" t="s">
        <v>128</v>
      </c>
      <c r="F122" s="13"/>
      <c r="G122" s="36">
        <v>88.0</v>
      </c>
      <c r="H122" s="36" t="s">
        <v>233</v>
      </c>
      <c r="I122" s="48">
        <v>110000.0</v>
      </c>
      <c r="J122" s="46">
        <f t="shared" ref="J122:J126" si="48">G122*I122</f>
        <v>9680000</v>
      </c>
      <c r="K122" s="46"/>
      <c r="L122" s="26"/>
      <c r="M122" s="46"/>
      <c r="N122" s="61"/>
      <c r="O122" s="75">
        <f t="shared" si="3"/>
        <v>9680000</v>
      </c>
      <c r="P122" s="75">
        <f t="shared" si="4"/>
        <v>9680000</v>
      </c>
      <c r="Q122" s="64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22"/>
      <c r="B123" s="67"/>
      <c r="C123" s="67"/>
      <c r="D123" s="47" t="s">
        <v>24</v>
      </c>
      <c r="E123" s="35" t="s">
        <v>130</v>
      </c>
      <c r="F123" s="13"/>
      <c r="G123" s="36">
        <v>88.0</v>
      </c>
      <c r="H123" s="36" t="s">
        <v>233</v>
      </c>
      <c r="I123" s="48">
        <v>120000.0</v>
      </c>
      <c r="J123" s="46">
        <f t="shared" si="48"/>
        <v>10560000</v>
      </c>
      <c r="K123" s="46"/>
      <c r="L123" s="26"/>
      <c r="M123" s="46"/>
      <c r="N123" s="61"/>
      <c r="O123" s="75">
        <f t="shared" si="3"/>
        <v>10560000</v>
      </c>
      <c r="P123" s="75">
        <f t="shared" si="4"/>
        <v>10560000</v>
      </c>
      <c r="Q123" s="64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22"/>
      <c r="B124" s="67"/>
      <c r="C124" s="67"/>
      <c r="D124" s="47" t="s">
        <v>24</v>
      </c>
      <c r="E124" s="35" t="s">
        <v>131</v>
      </c>
      <c r="F124" s="13"/>
      <c r="G124" s="36">
        <v>88.0</v>
      </c>
      <c r="H124" s="36" t="s">
        <v>233</v>
      </c>
      <c r="I124" s="48">
        <v>350000.0</v>
      </c>
      <c r="J124" s="46">
        <f t="shared" si="48"/>
        <v>30800000</v>
      </c>
      <c r="K124" s="46"/>
      <c r="L124" s="26"/>
      <c r="M124" s="46"/>
      <c r="N124" s="61"/>
      <c r="O124" s="75">
        <f t="shared" si="3"/>
        <v>30800000</v>
      </c>
      <c r="P124" s="75">
        <f t="shared" si="4"/>
        <v>30800000</v>
      </c>
      <c r="Q124" s="64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22"/>
      <c r="B125" s="67"/>
      <c r="C125" s="67"/>
      <c r="D125" s="47" t="s">
        <v>24</v>
      </c>
      <c r="E125" s="35" t="s">
        <v>132</v>
      </c>
      <c r="F125" s="13"/>
      <c r="G125" s="36">
        <v>44.0</v>
      </c>
      <c r="H125" s="36" t="s">
        <v>233</v>
      </c>
      <c r="I125" s="48">
        <v>175000.0</v>
      </c>
      <c r="J125" s="46">
        <f t="shared" si="48"/>
        <v>7700000</v>
      </c>
      <c r="K125" s="46"/>
      <c r="L125" s="26"/>
      <c r="M125" s="46"/>
      <c r="N125" s="61"/>
      <c r="O125" s="75">
        <f t="shared" si="3"/>
        <v>7700000</v>
      </c>
      <c r="P125" s="75">
        <f t="shared" si="4"/>
        <v>7700000</v>
      </c>
      <c r="Q125" s="64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22"/>
      <c r="B126" s="67"/>
      <c r="C126" s="67"/>
      <c r="D126" s="47" t="s">
        <v>24</v>
      </c>
      <c r="E126" s="35" t="s">
        <v>133</v>
      </c>
      <c r="F126" s="13"/>
      <c r="G126" s="36">
        <v>528.0</v>
      </c>
      <c r="H126" s="36" t="s">
        <v>233</v>
      </c>
      <c r="I126" s="48">
        <v>250000.0</v>
      </c>
      <c r="J126" s="46">
        <f t="shared" si="48"/>
        <v>132000000</v>
      </c>
      <c r="K126" s="46"/>
      <c r="L126" s="26"/>
      <c r="M126" s="46"/>
      <c r="N126" s="61"/>
      <c r="O126" s="75">
        <f t="shared" si="3"/>
        <v>132000000</v>
      </c>
      <c r="P126" s="75">
        <f t="shared" si="4"/>
        <v>132000000</v>
      </c>
      <c r="Q126" s="64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41" t="s">
        <v>134</v>
      </c>
      <c r="B127" s="12"/>
      <c r="C127" s="13"/>
      <c r="D127" s="41" t="s">
        <v>135</v>
      </c>
      <c r="E127" s="12"/>
      <c r="F127" s="13"/>
      <c r="G127" s="22"/>
      <c r="H127" s="22"/>
      <c r="I127" s="22"/>
      <c r="J127" s="43">
        <f t="shared" ref="J127:K127" si="49">J128</f>
        <v>20020000</v>
      </c>
      <c r="K127" s="43">
        <f t="shared" si="49"/>
        <v>0</v>
      </c>
      <c r="L127" s="26"/>
      <c r="M127" s="43">
        <f>M128</f>
        <v>0</v>
      </c>
      <c r="N127" s="61"/>
      <c r="O127" s="75">
        <f t="shared" si="3"/>
        <v>20020000</v>
      </c>
      <c r="P127" s="75">
        <f t="shared" si="4"/>
        <v>20020000</v>
      </c>
      <c r="Q127" s="64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35" t="s">
        <v>68</v>
      </c>
      <c r="B128" s="12"/>
      <c r="C128" s="13"/>
      <c r="D128" s="44" t="s">
        <v>69</v>
      </c>
      <c r="E128" s="12"/>
      <c r="F128" s="13"/>
      <c r="G128" s="22"/>
      <c r="H128" s="22"/>
      <c r="I128" s="22"/>
      <c r="J128" s="46">
        <f t="shared" ref="J128:K128" si="50">SUM(J130:J134)</f>
        <v>20020000</v>
      </c>
      <c r="K128" s="46">
        <f t="shared" si="50"/>
        <v>0</v>
      </c>
      <c r="L128" s="26"/>
      <c r="M128" s="46">
        <f>SUM(M130:M134)</f>
        <v>0</v>
      </c>
      <c r="N128" s="61"/>
      <c r="O128" s="75">
        <f t="shared" si="3"/>
        <v>20020000</v>
      </c>
      <c r="P128" s="75">
        <f t="shared" si="4"/>
        <v>20020000</v>
      </c>
      <c r="Q128" s="64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22"/>
      <c r="B129" s="67"/>
      <c r="C129" s="67"/>
      <c r="D129" s="35" t="s">
        <v>23</v>
      </c>
      <c r="E129" s="12"/>
      <c r="F129" s="13"/>
      <c r="G129" s="22"/>
      <c r="H129" s="22"/>
      <c r="I129" s="22"/>
      <c r="J129" s="22"/>
      <c r="K129" s="22"/>
      <c r="L129" s="26"/>
      <c r="M129" s="22"/>
      <c r="N129" s="61"/>
      <c r="O129" s="75">
        <f t="shared" si="3"/>
        <v>0</v>
      </c>
      <c r="P129" s="75">
        <f t="shared" si="4"/>
        <v>0</v>
      </c>
      <c r="Q129" s="64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22"/>
      <c r="B130" s="67"/>
      <c r="C130" s="67"/>
      <c r="D130" s="47" t="s">
        <v>24</v>
      </c>
      <c r="E130" s="35" t="s">
        <v>183</v>
      </c>
      <c r="F130" s="13"/>
      <c r="G130" s="36">
        <v>150.0</v>
      </c>
      <c r="H130" s="36" t="s">
        <v>95</v>
      </c>
      <c r="I130" s="48">
        <v>75000.0</v>
      </c>
      <c r="J130" s="46">
        <f t="shared" ref="J130:J134" si="51">G130*I130</f>
        <v>11250000</v>
      </c>
      <c r="K130" s="46"/>
      <c r="L130" s="26"/>
      <c r="M130" s="46"/>
      <c r="N130" s="61"/>
      <c r="O130" s="75">
        <f t="shared" si="3"/>
        <v>11250000</v>
      </c>
      <c r="P130" s="75">
        <f t="shared" si="4"/>
        <v>11250000</v>
      </c>
      <c r="Q130" s="64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22"/>
      <c r="B131" s="67"/>
      <c r="C131" s="67"/>
      <c r="D131" s="47" t="s">
        <v>24</v>
      </c>
      <c r="E131" s="35" t="s">
        <v>137</v>
      </c>
      <c r="F131" s="13"/>
      <c r="G131" s="36">
        <v>2.0</v>
      </c>
      <c r="H131" s="36" t="s">
        <v>95</v>
      </c>
      <c r="I131" s="48">
        <v>360000.0</v>
      </c>
      <c r="J131" s="46">
        <f t="shared" si="51"/>
        <v>720000</v>
      </c>
      <c r="K131" s="46"/>
      <c r="L131" s="26"/>
      <c r="M131" s="46"/>
      <c r="N131" s="61"/>
      <c r="O131" s="75">
        <f t="shared" si="3"/>
        <v>720000</v>
      </c>
      <c r="P131" s="75">
        <f t="shared" si="4"/>
        <v>720000</v>
      </c>
      <c r="Q131" s="64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22"/>
      <c r="B132" s="67"/>
      <c r="C132" s="67"/>
      <c r="D132" s="47" t="s">
        <v>24</v>
      </c>
      <c r="E132" s="35" t="s">
        <v>184</v>
      </c>
      <c r="F132" s="13"/>
      <c r="G132" s="36">
        <v>50.0</v>
      </c>
      <c r="H132" s="36" t="s">
        <v>95</v>
      </c>
      <c r="I132" s="48">
        <v>93000.0</v>
      </c>
      <c r="J132" s="46">
        <f t="shared" si="51"/>
        <v>4650000</v>
      </c>
      <c r="K132" s="46"/>
      <c r="L132" s="26"/>
      <c r="M132" s="46"/>
      <c r="N132" s="61"/>
      <c r="O132" s="75">
        <f t="shared" si="3"/>
        <v>4650000</v>
      </c>
      <c r="P132" s="75">
        <f t="shared" si="4"/>
        <v>4650000</v>
      </c>
      <c r="Q132" s="64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22"/>
      <c r="B133" s="67"/>
      <c r="C133" s="67"/>
      <c r="D133" s="47" t="s">
        <v>24</v>
      </c>
      <c r="E133" s="35" t="s">
        <v>185</v>
      </c>
      <c r="F133" s="13"/>
      <c r="G133" s="36">
        <v>50.0</v>
      </c>
      <c r="H133" s="36" t="s">
        <v>95</v>
      </c>
      <c r="I133" s="48">
        <v>53000.0</v>
      </c>
      <c r="J133" s="46">
        <f t="shared" si="51"/>
        <v>2650000</v>
      </c>
      <c r="K133" s="46"/>
      <c r="L133" s="26"/>
      <c r="M133" s="46"/>
      <c r="N133" s="61"/>
      <c r="O133" s="75">
        <f t="shared" si="3"/>
        <v>2650000</v>
      </c>
      <c r="P133" s="75">
        <f t="shared" si="4"/>
        <v>2650000</v>
      </c>
      <c r="Q133" s="64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22"/>
      <c r="B134" s="67"/>
      <c r="C134" s="67"/>
      <c r="D134" s="47" t="s">
        <v>24</v>
      </c>
      <c r="E134" s="35" t="s">
        <v>186</v>
      </c>
      <c r="F134" s="13"/>
      <c r="G134" s="36">
        <v>50.0</v>
      </c>
      <c r="H134" s="36" t="s">
        <v>95</v>
      </c>
      <c r="I134" s="48">
        <v>15000.0</v>
      </c>
      <c r="J134" s="46">
        <f t="shared" si="51"/>
        <v>750000</v>
      </c>
      <c r="K134" s="46"/>
      <c r="L134" s="26"/>
      <c r="M134" s="46"/>
      <c r="N134" s="61"/>
      <c r="O134" s="75">
        <f t="shared" si="3"/>
        <v>750000</v>
      </c>
      <c r="P134" s="75">
        <f t="shared" si="4"/>
        <v>750000</v>
      </c>
      <c r="Q134" s="64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41" t="s">
        <v>141</v>
      </c>
      <c r="B135" s="12"/>
      <c r="C135" s="13"/>
      <c r="D135" s="41" t="s">
        <v>142</v>
      </c>
      <c r="E135" s="12"/>
      <c r="F135" s="13"/>
      <c r="G135" s="22"/>
      <c r="H135" s="22"/>
      <c r="I135" s="22"/>
      <c r="J135" s="43">
        <f t="shared" ref="J135:K135" si="52">J136</f>
        <v>145500000</v>
      </c>
      <c r="K135" s="43">
        <f t="shared" si="52"/>
        <v>0</v>
      </c>
      <c r="L135" s="26"/>
      <c r="M135" s="43">
        <f>M136</f>
        <v>0</v>
      </c>
      <c r="N135" s="61"/>
      <c r="O135" s="75">
        <f t="shared" si="3"/>
        <v>145500000</v>
      </c>
      <c r="P135" s="75">
        <f t="shared" si="4"/>
        <v>145500000</v>
      </c>
      <c r="Q135" s="64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35" t="s">
        <v>68</v>
      </c>
      <c r="B136" s="12"/>
      <c r="C136" s="13"/>
      <c r="D136" s="44" t="s">
        <v>69</v>
      </c>
      <c r="E136" s="12"/>
      <c r="F136" s="13"/>
      <c r="G136" s="22"/>
      <c r="H136" s="22"/>
      <c r="I136" s="22"/>
      <c r="J136" s="46">
        <f t="shared" ref="J136:K136" si="53">SUM(J138:J140)</f>
        <v>145500000</v>
      </c>
      <c r="K136" s="46">
        <f t="shared" si="53"/>
        <v>0</v>
      </c>
      <c r="L136" s="26"/>
      <c r="M136" s="46">
        <f>SUM(M138:M140)</f>
        <v>0</v>
      </c>
      <c r="N136" s="61"/>
      <c r="O136" s="75">
        <f t="shared" si="3"/>
        <v>145500000</v>
      </c>
      <c r="P136" s="75">
        <f t="shared" si="4"/>
        <v>145500000</v>
      </c>
      <c r="Q136" s="64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22"/>
      <c r="B137" s="67"/>
      <c r="C137" s="67"/>
      <c r="D137" s="35" t="s">
        <v>23</v>
      </c>
      <c r="E137" s="12"/>
      <c r="F137" s="13"/>
      <c r="G137" s="22"/>
      <c r="H137" s="22"/>
      <c r="I137" s="22"/>
      <c r="J137" s="22"/>
      <c r="K137" s="22"/>
      <c r="L137" s="26"/>
      <c r="M137" s="22"/>
      <c r="N137" s="61"/>
      <c r="O137" s="75">
        <f t="shared" si="3"/>
        <v>0</v>
      </c>
      <c r="P137" s="75">
        <f t="shared" si="4"/>
        <v>0</v>
      </c>
      <c r="Q137" s="64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22"/>
      <c r="B138" s="67"/>
      <c r="C138" s="67"/>
      <c r="D138" s="47" t="s">
        <v>24</v>
      </c>
      <c r="E138" s="35" t="s">
        <v>187</v>
      </c>
      <c r="F138" s="13"/>
      <c r="G138" s="36">
        <v>50.0</v>
      </c>
      <c r="H138" s="36" t="s">
        <v>95</v>
      </c>
      <c r="I138" s="48">
        <v>2000000.0</v>
      </c>
      <c r="J138" s="46">
        <f t="shared" ref="J138:J140" si="54">G138*I138</f>
        <v>100000000</v>
      </c>
      <c r="K138" s="46"/>
      <c r="L138" s="26"/>
      <c r="M138" s="46"/>
      <c r="N138" s="61"/>
      <c r="O138" s="75">
        <f t="shared" si="3"/>
        <v>100000000</v>
      </c>
      <c r="P138" s="75">
        <f t="shared" si="4"/>
        <v>100000000</v>
      </c>
      <c r="Q138" s="64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22"/>
      <c r="B139" s="67"/>
      <c r="C139" s="67"/>
      <c r="D139" s="47" t="s">
        <v>24</v>
      </c>
      <c r="E139" s="35" t="s">
        <v>188</v>
      </c>
      <c r="F139" s="13"/>
      <c r="G139" s="36">
        <v>50.0</v>
      </c>
      <c r="H139" s="36" t="s">
        <v>95</v>
      </c>
      <c r="I139" s="48">
        <v>750000.0</v>
      </c>
      <c r="J139" s="46">
        <f t="shared" si="54"/>
        <v>37500000</v>
      </c>
      <c r="K139" s="46"/>
      <c r="L139" s="26"/>
      <c r="M139" s="46"/>
      <c r="N139" s="61"/>
      <c r="O139" s="75">
        <f t="shared" si="3"/>
        <v>37500000</v>
      </c>
      <c r="P139" s="75">
        <f t="shared" si="4"/>
        <v>37500000</v>
      </c>
      <c r="Q139" s="64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22"/>
      <c r="B140" s="67"/>
      <c r="C140" s="67"/>
      <c r="D140" s="47" t="s">
        <v>24</v>
      </c>
      <c r="E140" s="35" t="s">
        <v>145</v>
      </c>
      <c r="F140" s="13"/>
      <c r="G140" s="36">
        <v>4.0</v>
      </c>
      <c r="H140" s="36" t="s">
        <v>95</v>
      </c>
      <c r="I140" s="48">
        <v>2000000.0</v>
      </c>
      <c r="J140" s="46">
        <f t="shared" si="54"/>
        <v>8000000</v>
      </c>
      <c r="K140" s="46"/>
      <c r="L140" s="26"/>
      <c r="M140" s="46"/>
      <c r="N140" s="61"/>
      <c r="O140" s="75">
        <f t="shared" si="3"/>
        <v>8000000</v>
      </c>
      <c r="P140" s="75">
        <f t="shared" si="4"/>
        <v>8000000</v>
      </c>
      <c r="Q140" s="64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41" t="s">
        <v>146</v>
      </c>
      <c r="B141" s="12"/>
      <c r="C141" s="56"/>
      <c r="D141" s="41" t="s">
        <v>234</v>
      </c>
      <c r="E141" s="12"/>
      <c r="F141" s="13"/>
      <c r="G141" s="22"/>
      <c r="H141" s="22"/>
      <c r="I141" s="22"/>
      <c r="J141" s="43">
        <f t="shared" ref="J141:K141" si="55">J142+J149</f>
        <v>219800000</v>
      </c>
      <c r="K141" s="43">
        <f t="shared" si="55"/>
        <v>0</v>
      </c>
      <c r="L141" s="26"/>
      <c r="M141" s="43">
        <f>M142+M149</f>
        <v>7500000</v>
      </c>
      <c r="N141" s="61"/>
      <c r="O141" s="75">
        <f t="shared" si="3"/>
        <v>219800000</v>
      </c>
      <c r="P141" s="75">
        <f t="shared" si="4"/>
        <v>212300000</v>
      </c>
      <c r="Q141" s="64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35" t="s">
        <v>74</v>
      </c>
      <c r="B142" s="12"/>
      <c r="C142" s="47"/>
      <c r="D142" s="44" t="s">
        <v>75</v>
      </c>
      <c r="E142" s="12"/>
      <c r="F142" s="13"/>
      <c r="G142" s="22"/>
      <c r="H142" s="22"/>
      <c r="I142" s="22"/>
      <c r="J142" s="46">
        <f t="shared" ref="J142:K142" si="56">SUM(J144:J148)</f>
        <v>195800000</v>
      </c>
      <c r="K142" s="46">
        <f t="shared" si="56"/>
        <v>0</v>
      </c>
      <c r="L142" s="26"/>
      <c r="M142" s="46">
        <f>SUM(M144:M148)</f>
        <v>0</v>
      </c>
      <c r="N142" s="61"/>
      <c r="O142" s="75">
        <f t="shared" si="3"/>
        <v>195800000</v>
      </c>
      <c r="P142" s="75">
        <f t="shared" si="4"/>
        <v>195800000</v>
      </c>
      <c r="Q142" s="64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22"/>
      <c r="B143" s="67"/>
      <c r="C143" s="67"/>
      <c r="D143" s="35" t="s">
        <v>23</v>
      </c>
      <c r="E143" s="12"/>
      <c r="F143" s="13"/>
      <c r="G143" s="22"/>
      <c r="H143" s="22"/>
      <c r="I143" s="22"/>
      <c r="J143" s="22"/>
      <c r="K143" s="22"/>
      <c r="L143" s="26"/>
      <c r="M143" s="22"/>
      <c r="N143" s="61"/>
      <c r="O143" s="75">
        <f t="shared" si="3"/>
        <v>0</v>
      </c>
      <c r="P143" s="75">
        <f t="shared" si="4"/>
        <v>0</v>
      </c>
      <c r="Q143" s="64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22"/>
      <c r="B144" s="67"/>
      <c r="C144" s="67"/>
      <c r="D144" s="47" t="s">
        <v>24</v>
      </c>
      <c r="E144" s="35" t="s">
        <v>235</v>
      </c>
      <c r="F144" s="13"/>
      <c r="G144" s="36">
        <v>25.0</v>
      </c>
      <c r="H144" s="36" t="s">
        <v>26</v>
      </c>
      <c r="I144" s="48">
        <v>875000.0</v>
      </c>
      <c r="J144" s="46">
        <f t="shared" ref="J144:J148" si="57">G144*I144</f>
        <v>21875000</v>
      </c>
      <c r="K144" s="46"/>
      <c r="L144" s="26"/>
      <c r="M144" s="46"/>
      <c r="N144" s="61"/>
      <c r="O144" s="75">
        <f t="shared" si="3"/>
        <v>21875000</v>
      </c>
      <c r="P144" s="75">
        <f t="shared" si="4"/>
        <v>21875000</v>
      </c>
      <c r="Q144" s="85">
        <v>1.889E7</v>
      </c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22"/>
      <c r="B145" s="67"/>
      <c r="C145" s="67"/>
      <c r="D145" s="47" t="s">
        <v>24</v>
      </c>
      <c r="E145" s="35" t="s">
        <v>236</v>
      </c>
      <c r="F145" s="13"/>
      <c r="G145" s="36">
        <v>50.0</v>
      </c>
      <c r="H145" s="36" t="s">
        <v>26</v>
      </c>
      <c r="I145" s="48">
        <v>783500.0</v>
      </c>
      <c r="J145" s="46">
        <f t="shared" si="57"/>
        <v>39175000</v>
      </c>
      <c r="K145" s="46"/>
      <c r="L145" s="26"/>
      <c r="M145" s="46"/>
      <c r="N145" s="61"/>
      <c r="O145" s="75">
        <f t="shared" si="3"/>
        <v>39175000</v>
      </c>
      <c r="P145" s="75">
        <f t="shared" si="4"/>
        <v>39175000</v>
      </c>
      <c r="Q145" s="64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22"/>
      <c r="B146" s="67"/>
      <c r="C146" s="67"/>
      <c r="D146" s="47" t="s">
        <v>24</v>
      </c>
      <c r="E146" s="35" t="s">
        <v>237</v>
      </c>
      <c r="F146" s="13"/>
      <c r="G146" s="36">
        <v>75.0</v>
      </c>
      <c r="H146" s="36" t="s">
        <v>26</v>
      </c>
      <c r="I146" s="48">
        <v>430000.0</v>
      </c>
      <c r="J146" s="46">
        <f t="shared" si="57"/>
        <v>32250000</v>
      </c>
      <c r="K146" s="46"/>
      <c r="L146" s="26"/>
      <c r="M146" s="46"/>
      <c r="N146" s="61"/>
      <c r="O146" s="75">
        <f t="shared" si="3"/>
        <v>32250000</v>
      </c>
      <c r="P146" s="75">
        <f t="shared" si="4"/>
        <v>32250000</v>
      </c>
      <c r="Q146" s="85">
        <v>2.323E7</v>
      </c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22"/>
      <c r="B147" s="67"/>
      <c r="C147" s="67"/>
      <c r="D147" s="47" t="s">
        <v>24</v>
      </c>
      <c r="E147" s="35" t="s">
        <v>238</v>
      </c>
      <c r="F147" s="13"/>
      <c r="G147" s="36">
        <v>100.0</v>
      </c>
      <c r="H147" s="36" t="s">
        <v>26</v>
      </c>
      <c r="I147" s="48">
        <v>500000.0</v>
      </c>
      <c r="J147" s="46">
        <f t="shared" si="57"/>
        <v>50000000</v>
      </c>
      <c r="K147" s="46"/>
      <c r="L147" s="26"/>
      <c r="M147" s="46"/>
      <c r="N147" s="61"/>
      <c r="O147" s="75">
        <f t="shared" si="3"/>
        <v>50000000</v>
      </c>
      <c r="P147" s="75">
        <f t="shared" si="4"/>
        <v>50000000</v>
      </c>
      <c r="Q147" s="64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22"/>
      <c r="B148" s="67"/>
      <c r="C148" s="67"/>
      <c r="D148" s="47" t="s">
        <v>24</v>
      </c>
      <c r="E148" s="35" t="s">
        <v>239</v>
      </c>
      <c r="F148" s="13"/>
      <c r="G148" s="36">
        <v>150.0</v>
      </c>
      <c r="H148" s="36" t="s">
        <v>26</v>
      </c>
      <c r="I148" s="48">
        <v>350000.0</v>
      </c>
      <c r="J148" s="46">
        <f t="shared" si="57"/>
        <v>52500000</v>
      </c>
      <c r="K148" s="46"/>
      <c r="L148" s="26"/>
      <c r="M148" s="46"/>
      <c r="N148" s="61"/>
      <c r="O148" s="75">
        <f t="shared" si="3"/>
        <v>52500000</v>
      </c>
      <c r="P148" s="75">
        <f t="shared" si="4"/>
        <v>52500000</v>
      </c>
      <c r="Q148" s="85">
        <v>0.0</v>
      </c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35" t="s">
        <v>79</v>
      </c>
      <c r="B149" s="12"/>
      <c r="C149" s="47"/>
      <c r="D149" s="44" t="s">
        <v>80</v>
      </c>
      <c r="E149" s="12"/>
      <c r="F149" s="13"/>
      <c r="G149" s="22"/>
      <c r="H149" s="22"/>
      <c r="I149" s="22"/>
      <c r="J149" s="46">
        <f t="shared" ref="J149:K149" si="58">J151</f>
        <v>24000000</v>
      </c>
      <c r="K149" s="46" t="str">
        <f t="shared" si="58"/>
        <v/>
      </c>
      <c r="L149" s="26"/>
      <c r="M149" s="46">
        <f>M151</f>
        <v>7500000</v>
      </c>
      <c r="N149" s="61"/>
      <c r="O149" s="75">
        <f t="shared" si="3"/>
        <v>24000000</v>
      </c>
      <c r="P149" s="75">
        <f t="shared" si="4"/>
        <v>16500000</v>
      </c>
      <c r="Q149" s="64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22"/>
      <c r="B150" s="67"/>
      <c r="C150" s="67"/>
      <c r="D150" s="35" t="s">
        <v>23</v>
      </c>
      <c r="E150" s="12"/>
      <c r="F150" s="13"/>
      <c r="G150" s="22"/>
      <c r="H150" s="22"/>
      <c r="I150" s="22"/>
      <c r="J150" s="22"/>
      <c r="K150" s="22"/>
      <c r="L150" s="26"/>
      <c r="M150" s="22"/>
      <c r="N150" s="61"/>
      <c r="O150" s="75">
        <f t="shared" si="3"/>
        <v>0</v>
      </c>
      <c r="P150" s="75">
        <f t="shared" si="4"/>
        <v>0</v>
      </c>
      <c r="Q150" s="64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22"/>
      <c r="B151" s="67"/>
      <c r="C151" s="67"/>
      <c r="D151" s="47" t="s">
        <v>24</v>
      </c>
      <c r="E151" s="35" t="s">
        <v>240</v>
      </c>
      <c r="F151" s="13"/>
      <c r="G151" s="36">
        <v>160.0</v>
      </c>
      <c r="H151" s="36" t="s">
        <v>26</v>
      </c>
      <c r="I151" s="48">
        <v>150000.0</v>
      </c>
      <c r="J151" s="46">
        <f>G151*I151</f>
        <v>24000000</v>
      </c>
      <c r="K151" s="46"/>
      <c r="L151" s="26"/>
      <c r="M151" s="46">
        <v>7500000.0</v>
      </c>
      <c r="N151" s="61"/>
      <c r="O151" s="75">
        <f t="shared" si="3"/>
        <v>24000000</v>
      </c>
      <c r="P151" s="75">
        <f t="shared" si="4"/>
        <v>16500000</v>
      </c>
      <c r="Q151" s="85">
        <v>1.215E7</v>
      </c>
      <c r="R151" s="1"/>
      <c r="S151" s="1"/>
      <c r="T151" s="1"/>
      <c r="U151" s="1"/>
      <c r="V151" s="1"/>
      <c r="W151" s="1"/>
      <c r="X151" s="1"/>
      <c r="Y151" s="1"/>
      <c r="Z151" s="1"/>
    </row>
    <row r="152" ht="15.0" customHeight="1">
      <c r="A152" s="78" t="s">
        <v>241</v>
      </c>
      <c r="B152" s="86"/>
      <c r="C152" s="87"/>
      <c r="D152" s="78" t="s">
        <v>242</v>
      </c>
      <c r="E152" s="12"/>
      <c r="F152" s="13"/>
      <c r="G152" s="82"/>
      <c r="H152" s="82"/>
      <c r="I152" s="83"/>
      <c r="J152" s="84">
        <f t="shared" ref="J152:K152" si="59">J153+J167+J179+J192+J209+J218+J228+J233+J249+J263+J271+J279+J285</f>
        <v>3064496000</v>
      </c>
      <c r="K152" s="84">
        <f t="shared" si="59"/>
        <v>122890200</v>
      </c>
      <c r="L152" s="26"/>
      <c r="M152" s="84">
        <f>M153+M167+M179+M192+M209+M218+M228+M233+M249+M263+M271+M279+M285</f>
        <v>261884590</v>
      </c>
      <c r="N152" s="61"/>
      <c r="O152" s="75">
        <f t="shared" si="3"/>
        <v>2941605800</v>
      </c>
      <c r="P152" s="75">
        <f t="shared" si="4"/>
        <v>2802611410</v>
      </c>
      <c r="Q152" s="64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41" t="s">
        <v>20</v>
      </c>
      <c r="B153" s="12"/>
      <c r="C153" s="56"/>
      <c r="D153" s="41" t="s">
        <v>21</v>
      </c>
      <c r="E153" s="12"/>
      <c r="F153" s="13"/>
      <c r="G153" s="22"/>
      <c r="H153" s="22"/>
      <c r="I153" s="22"/>
      <c r="J153" s="43">
        <f t="shared" ref="J153:K153" si="60">J154+J163</f>
        <v>142640000</v>
      </c>
      <c r="K153" s="43">
        <f t="shared" si="60"/>
        <v>4078000</v>
      </c>
      <c r="L153" s="26"/>
      <c r="M153" s="43">
        <f>M154+M163</f>
        <v>14676690</v>
      </c>
      <c r="N153" s="61"/>
      <c r="O153" s="75">
        <f t="shared" si="3"/>
        <v>138562000</v>
      </c>
      <c r="P153" s="75">
        <f t="shared" si="4"/>
        <v>127963310</v>
      </c>
      <c r="Q153" s="64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35" t="s">
        <v>40</v>
      </c>
      <c r="B154" s="12"/>
      <c r="C154" s="47"/>
      <c r="D154" s="44" t="s">
        <v>22</v>
      </c>
      <c r="E154" s="12"/>
      <c r="F154" s="13"/>
      <c r="G154" s="22"/>
      <c r="H154" s="22"/>
      <c r="I154" s="22"/>
      <c r="J154" s="46">
        <f t="shared" ref="J154:K154" si="61">SUM(J156:J162)</f>
        <v>130640000</v>
      </c>
      <c r="K154" s="46">
        <f t="shared" si="61"/>
        <v>3878000</v>
      </c>
      <c r="L154" s="26"/>
      <c r="M154" s="46">
        <f>SUM(M156:M162)</f>
        <v>13176690</v>
      </c>
      <c r="N154" s="61"/>
      <c r="O154" s="75">
        <f t="shared" si="3"/>
        <v>126762000</v>
      </c>
      <c r="P154" s="75">
        <f t="shared" si="4"/>
        <v>117463310</v>
      </c>
      <c r="Q154" s="64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22"/>
      <c r="B155" s="67"/>
      <c r="C155" s="67"/>
      <c r="D155" s="35" t="s">
        <v>23</v>
      </c>
      <c r="E155" s="12"/>
      <c r="F155" s="13"/>
      <c r="G155" s="22"/>
      <c r="H155" s="22"/>
      <c r="I155" s="22"/>
      <c r="J155" s="22"/>
      <c r="K155" s="22"/>
      <c r="L155" s="26"/>
      <c r="M155" s="22"/>
      <c r="N155" s="61"/>
      <c r="O155" s="75">
        <f t="shared" si="3"/>
        <v>0</v>
      </c>
      <c r="P155" s="75">
        <f t="shared" si="4"/>
        <v>0</v>
      </c>
      <c r="Q155" s="64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22"/>
      <c r="B156" s="67"/>
      <c r="C156" s="67"/>
      <c r="D156" s="47" t="s">
        <v>24</v>
      </c>
      <c r="E156" s="35" t="s">
        <v>156</v>
      </c>
      <c r="F156" s="13"/>
      <c r="G156" s="36">
        <v>24.0</v>
      </c>
      <c r="H156" s="36" t="s">
        <v>26</v>
      </c>
      <c r="I156" s="48">
        <v>500000.0</v>
      </c>
      <c r="J156" s="46">
        <f t="shared" ref="J156:J162" si="62">G156*I156</f>
        <v>12000000</v>
      </c>
      <c r="K156" s="46"/>
      <c r="L156" s="26"/>
      <c r="M156" s="46">
        <v>3972800.0</v>
      </c>
      <c r="N156" s="61"/>
      <c r="O156" s="75">
        <f t="shared" si="3"/>
        <v>12000000</v>
      </c>
      <c r="P156" s="75">
        <f t="shared" si="4"/>
        <v>8027200</v>
      </c>
      <c r="Q156" s="64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22"/>
      <c r="B157" s="67"/>
      <c r="C157" s="67"/>
      <c r="D157" s="47" t="s">
        <v>24</v>
      </c>
      <c r="E157" s="35" t="s">
        <v>27</v>
      </c>
      <c r="F157" s="13"/>
      <c r="G157" s="36">
        <v>2.0</v>
      </c>
      <c r="H157" s="36" t="s">
        <v>26</v>
      </c>
      <c r="I157" s="48">
        <v>2000000.0</v>
      </c>
      <c r="J157" s="46">
        <f t="shared" si="62"/>
        <v>4000000</v>
      </c>
      <c r="K157" s="46"/>
      <c r="L157" s="26"/>
      <c r="M157" s="46"/>
      <c r="N157" s="61"/>
      <c r="O157" s="75">
        <f t="shared" si="3"/>
        <v>4000000</v>
      </c>
      <c r="P157" s="75">
        <f t="shared" si="4"/>
        <v>4000000</v>
      </c>
      <c r="Q157" s="64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22"/>
      <c r="B158" s="67"/>
      <c r="C158" s="67"/>
      <c r="D158" s="47" t="s">
        <v>24</v>
      </c>
      <c r="E158" s="35" t="s">
        <v>28</v>
      </c>
      <c r="F158" s="13"/>
      <c r="G158" s="36">
        <v>10.0</v>
      </c>
      <c r="H158" s="36" t="s">
        <v>26</v>
      </c>
      <c r="I158" s="48">
        <v>500000.0</v>
      </c>
      <c r="J158" s="46">
        <f t="shared" si="62"/>
        <v>5000000</v>
      </c>
      <c r="K158" s="46"/>
      <c r="L158" s="26"/>
      <c r="M158" s="46"/>
      <c r="N158" s="61"/>
      <c r="O158" s="75">
        <f t="shared" si="3"/>
        <v>5000000</v>
      </c>
      <c r="P158" s="75">
        <f t="shared" si="4"/>
        <v>5000000</v>
      </c>
      <c r="Q158" s="64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22"/>
      <c r="B159" s="67"/>
      <c r="C159" s="67"/>
      <c r="D159" s="47" t="s">
        <v>24</v>
      </c>
      <c r="E159" s="35" t="s">
        <v>157</v>
      </c>
      <c r="F159" s="13"/>
      <c r="G159" s="36">
        <v>200.0</v>
      </c>
      <c r="H159" s="36" t="s">
        <v>26</v>
      </c>
      <c r="I159" s="48">
        <v>25000.0</v>
      </c>
      <c r="J159" s="46">
        <f t="shared" si="62"/>
        <v>5000000</v>
      </c>
      <c r="K159" s="46"/>
      <c r="L159" s="26"/>
      <c r="M159" s="46"/>
      <c r="N159" s="61"/>
      <c r="O159" s="75">
        <f t="shared" si="3"/>
        <v>5000000</v>
      </c>
      <c r="P159" s="75">
        <f t="shared" si="4"/>
        <v>5000000</v>
      </c>
      <c r="Q159" s="64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22"/>
      <c r="B160" s="67"/>
      <c r="C160" s="67"/>
      <c r="D160" s="47" t="s">
        <v>24</v>
      </c>
      <c r="E160" s="35" t="s">
        <v>31</v>
      </c>
      <c r="F160" s="13"/>
      <c r="G160" s="36">
        <v>320.0</v>
      </c>
      <c r="H160" s="36" t="s">
        <v>26</v>
      </c>
      <c r="I160" s="48">
        <v>53000.0</v>
      </c>
      <c r="J160" s="46">
        <f t="shared" si="62"/>
        <v>16960000</v>
      </c>
      <c r="K160" s="46">
        <v>2975000.0</v>
      </c>
      <c r="L160" s="26"/>
      <c r="M160" s="46">
        <v>3815000.0</v>
      </c>
      <c r="N160" s="61"/>
      <c r="O160" s="75">
        <f t="shared" si="3"/>
        <v>13985000</v>
      </c>
      <c r="P160" s="75">
        <f t="shared" si="4"/>
        <v>13145000</v>
      </c>
      <c r="Q160" s="64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22"/>
      <c r="B161" s="67"/>
      <c r="C161" s="67"/>
      <c r="D161" s="47" t="s">
        <v>24</v>
      </c>
      <c r="E161" s="35" t="s">
        <v>32</v>
      </c>
      <c r="F161" s="13"/>
      <c r="G161" s="36">
        <v>320.0</v>
      </c>
      <c r="H161" s="36" t="s">
        <v>26</v>
      </c>
      <c r="I161" s="48">
        <v>24000.0</v>
      </c>
      <c r="J161" s="46">
        <f t="shared" si="62"/>
        <v>7680000</v>
      </c>
      <c r="K161" s="46">
        <v>903000.0</v>
      </c>
      <c r="L161" s="26"/>
      <c r="M161" s="46">
        <v>903000.0</v>
      </c>
      <c r="N161" s="61"/>
      <c r="O161" s="75">
        <f t="shared" si="3"/>
        <v>6777000</v>
      </c>
      <c r="P161" s="75">
        <f t="shared" si="4"/>
        <v>6777000</v>
      </c>
      <c r="Q161" s="64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22"/>
      <c r="B162" s="67"/>
      <c r="C162" s="67"/>
      <c r="D162" s="47" t="s">
        <v>24</v>
      </c>
      <c r="E162" s="35" t="s">
        <v>158</v>
      </c>
      <c r="F162" s="13"/>
      <c r="G162" s="36">
        <v>100.0</v>
      </c>
      <c r="H162" s="36" t="s">
        <v>26</v>
      </c>
      <c r="I162" s="48">
        <v>800000.0</v>
      </c>
      <c r="J162" s="46">
        <f t="shared" si="62"/>
        <v>80000000</v>
      </c>
      <c r="K162" s="46"/>
      <c r="L162" s="26"/>
      <c r="M162" s="46">
        <v>4485890.0</v>
      </c>
      <c r="N162" s="61"/>
      <c r="O162" s="75">
        <f t="shared" si="3"/>
        <v>80000000</v>
      </c>
      <c r="P162" s="75">
        <f t="shared" si="4"/>
        <v>75514110</v>
      </c>
      <c r="Q162" s="64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35" t="s">
        <v>58</v>
      </c>
      <c r="B163" s="12"/>
      <c r="C163" s="47"/>
      <c r="D163" s="44" t="s">
        <v>34</v>
      </c>
      <c r="E163" s="12"/>
      <c r="F163" s="13"/>
      <c r="G163" s="22"/>
      <c r="H163" s="22"/>
      <c r="I163" s="22"/>
      <c r="J163" s="46">
        <f t="shared" ref="J163:K163" si="63">SUM(J165:J166)</f>
        <v>12000000</v>
      </c>
      <c r="K163" s="46">
        <f t="shared" si="63"/>
        <v>200000</v>
      </c>
      <c r="L163" s="26"/>
      <c r="M163" s="46">
        <f>SUM(M165:M166)</f>
        <v>1500000</v>
      </c>
      <c r="N163" s="61"/>
      <c r="O163" s="75">
        <f t="shared" si="3"/>
        <v>11800000</v>
      </c>
      <c r="P163" s="75">
        <f t="shared" si="4"/>
        <v>10500000</v>
      </c>
      <c r="Q163" s="64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22"/>
      <c r="B164" s="67"/>
      <c r="C164" s="67"/>
      <c r="D164" s="35" t="s">
        <v>23</v>
      </c>
      <c r="E164" s="12"/>
      <c r="F164" s="13"/>
      <c r="G164" s="22"/>
      <c r="H164" s="22"/>
      <c r="I164" s="22"/>
      <c r="J164" s="22"/>
      <c r="K164" s="22"/>
      <c r="L164" s="26"/>
      <c r="M164" s="22"/>
      <c r="N164" s="61"/>
      <c r="O164" s="75">
        <f t="shared" si="3"/>
        <v>0</v>
      </c>
      <c r="P164" s="75">
        <f t="shared" si="4"/>
        <v>0</v>
      </c>
      <c r="Q164" s="64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22"/>
      <c r="B165" s="67"/>
      <c r="C165" s="67"/>
      <c r="D165" s="47" t="s">
        <v>24</v>
      </c>
      <c r="E165" s="35" t="s">
        <v>159</v>
      </c>
      <c r="F165" s="13"/>
      <c r="G165" s="36">
        <v>16.0</v>
      </c>
      <c r="H165" s="36" t="s">
        <v>26</v>
      </c>
      <c r="I165" s="48">
        <v>500000.0</v>
      </c>
      <c r="J165" s="46">
        <f t="shared" ref="J165:J166" si="64">G165*I165</f>
        <v>8000000</v>
      </c>
      <c r="K165" s="46"/>
      <c r="L165" s="26"/>
      <c r="M165" s="46">
        <v>300000.0</v>
      </c>
      <c r="N165" s="61"/>
      <c r="O165" s="75">
        <f t="shared" si="3"/>
        <v>8000000</v>
      </c>
      <c r="P165" s="75">
        <f t="shared" si="4"/>
        <v>7700000</v>
      </c>
      <c r="Q165" s="64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22"/>
      <c r="B166" s="67"/>
      <c r="C166" s="67"/>
      <c r="D166" s="47" t="s">
        <v>24</v>
      </c>
      <c r="E166" s="35" t="s">
        <v>230</v>
      </c>
      <c r="F166" s="13"/>
      <c r="G166" s="36">
        <v>8.0</v>
      </c>
      <c r="H166" s="36" t="s">
        <v>26</v>
      </c>
      <c r="I166" s="48">
        <v>500000.0</v>
      </c>
      <c r="J166" s="46">
        <f t="shared" si="64"/>
        <v>4000000</v>
      </c>
      <c r="K166" s="46">
        <v>200000.0</v>
      </c>
      <c r="L166" s="26"/>
      <c r="M166" s="46">
        <v>1200000.0</v>
      </c>
      <c r="N166" s="61"/>
      <c r="O166" s="75">
        <f t="shared" si="3"/>
        <v>3800000</v>
      </c>
      <c r="P166" s="75">
        <f t="shared" si="4"/>
        <v>2800000</v>
      </c>
      <c r="Q166" s="64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41" t="s">
        <v>37</v>
      </c>
      <c r="B167" s="12"/>
      <c r="C167" s="56"/>
      <c r="D167" s="41" t="s">
        <v>38</v>
      </c>
      <c r="E167" s="12"/>
      <c r="F167" s="13"/>
      <c r="G167" s="22"/>
      <c r="H167" s="22"/>
      <c r="I167" s="22"/>
      <c r="J167" s="43">
        <f t="shared" ref="J167:K167" si="65">J168+J173+J176</f>
        <v>24400000</v>
      </c>
      <c r="K167" s="43">
        <f t="shared" si="65"/>
        <v>0</v>
      </c>
      <c r="L167" s="26"/>
      <c r="M167" s="43">
        <f>M168+M173+M176</f>
        <v>0</v>
      </c>
      <c r="N167" s="61"/>
      <c r="O167" s="75">
        <f t="shared" si="3"/>
        <v>24400000</v>
      </c>
      <c r="P167" s="75">
        <f t="shared" si="4"/>
        <v>24400000</v>
      </c>
      <c r="Q167" s="64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35" t="s">
        <v>40</v>
      </c>
      <c r="B168" s="12"/>
      <c r="C168" s="47"/>
      <c r="D168" s="44" t="s">
        <v>22</v>
      </c>
      <c r="E168" s="12"/>
      <c r="F168" s="13"/>
      <c r="G168" s="22"/>
      <c r="H168" s="22"/>
      <c r="I168" s="22"/>
      <c r="J168" s="46">
        <f t="shared" ref="J168:K168" si="66">SUM(J170:J172)</f>
        <v>6400000</v>
      </c>
      <c r="K168" s="46">
        <f t="shared" si="66"/>
        <v>0</v>
      </c>
      <c r="L168" s="26"/>
      <c r="M168" s="46">
        <f>SUM(M170:M172)</f>
        <v>0</v>
      </c>
      <c r="N168" s="61"/>
      <c r="O168" s="75">
        <f t="shared" si="3"/>
        <v>6400000</v>
      </c>
      <c r="P168" s="75">
        <f t="shared" si="4"/>
        <v>6400000</v>
      </c>
      <c r="Q168" s="64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22"/>
      <c r="B169" s="67"/>
      <c r="C169" s="67"/>
      <c r="D169" s="35" t="s">
        <v>23</v>
      </c>
      <c r="E169" s="12"/>
      <c r="F169" s="13"/>
      <c r="G169" s="22"/>
      <c r="H169" s="22"/>
      <c r="I169" s="22"/>
      <c r="J169" s="22"/>
      <c r="K169" s="22"/>
      <c r="L169" s="26"/>
      <c r="M169" s="22"/>
      <c r="N169" s="61"/>
      <c r="O169" s="75">
        <f t="shared" si="3"/>
        <v>0</v>
      </c>
      <c r="P169" s="75">
        <f t="shared" si="4"/>
        <v>0</v>
      </c>
      <c r="Q169" s="64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22"/>
      <c r="B170" s="67"/>
      <c r="C170" s="67"/>
      <c r="D170" s="47" t="s">
        <v>24</v>
      </c>
      <c r="E170" s="35" t="s">
        <v>160</v>
      </c>
      <c r="F170" s="13"/>
      <c r="G170" s="36">
        <v>100.0</v>
      </c>
      <c r="H170" s="36" t="s">
        <v>26</v>
      </c>
      <c r="I170" s="48">
        <v>53000.0</v>
      </c>
      <c r="J170" s="46">
        <f t="shared" ref="J170:J172" si="67">G170*I170</f>
        <v>5300000</v>
      </c>
      <c r="K170" s="46"/>
      <c r="L170" s="26"/>
      <c r="M170" s="46"/>
      <c r="N170" s="61"/>
      <c r="O170" s="75">
        <f t="shared" si="3"/>
        <v>5300000</v>
      </c>
      <c r="P170" s="75">
        <f t="shared" si="4"/>
        <v>5300000</v>
      </c>
      <c r="Q170" s="64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22"/>
      <c r="B171" s="67"/>
      <c r="C171" s="67"/>
      <c r="D171" s="47" t="s">
        <v>24</v>
      </c>
      <c r="E171" s="35" t="s">
        <v>42</v>
      </c>
      <c r="F171" s="13"/>
      <c r="G171" s="36">
        <v>2.0</v>
      </c>
      <c r="H171" s="36" t="s">
        <v>26</v>
      </c>
      <c r="I171" s="48">
        <v>250000.0</v>
      </c>
      <c r="J171" s="46">
        <f t="shared" si="67"/>
        <v>500000</v>
      </c>
      <c r="K171" s="46"/>
      <c r="L171" s="26"/>
      <c r="M171" s="46"/>
      <c r="N171" s="61"/>
      <c r="O171" s="75">
        <f t="shared" si="3"/>
        <v>500000</v>
      </c>
      <c r="P171" s="75">
        <f t="shared" si="4"/>
        <v>500000</v>
      </c>
      <c r="Q171" s="64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22"/>
      <c r="B172" s="67"/>
      <c r="C172" s="67"/>
      <c r="D172" s="47" t="s">
        <v>24</v>
      </c>
      <c r="E172" s="35" t="s">
        <v>43</v>
      </c>
      <c r="F172" s="13"/>
      <c r="G172" s="36">
        <v>2.0</v>
      </c>
      <c r="H172" s="36" t="s">
        <v>26</v>
      </c>
      <c r="I172" s="48">
        <v>300000.0</v>
      </c>
      <c r="J172" s="46">
        <f t="shared" si="67"/>
        <v>600000</v>
      </c>
      <c r="K172" s="46"/>
      <c r="L172" s="26"/>
      <c r="M172" s="46"/>
      <c r="N172" s="61"/>
      <c r="O172" s="75">
        <f t="shared" si="3"/>
        <v>600000</v>
      </c>
      <c r="P172" s="75">
        <f t="shared" si="4"/>
        <v>600000</v>
      </c>
      <c r="Q172" s="64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35" t="s">
        <v>44</v>
      </c>
      <c r="B173" s="12"/>
      <c r="C173" s="13"/>
      <c r="D173" s="44" t="s">
        <v>45</v>
      </c>
      <c r="E173" s="12"/>
      <c r="F173" s="13"/>
      <c r="G173" s="22"/>
      <c r="H173" s="22"/>
      <c r="I173" s="22"/>
      <c r="J173" s="46">
        <f t="shared" ref="J173:K173" si="68">J175</f>
        <v>2000000</v>
      </c>
      <c r="K173" s="46" t="str">
        <f t="shared" si="68"/>
        <v/>
      </c>
      <c r="L173" s="26"/>
      <c r="M173" s="46" t="str">
        <f>M175</f>
        <v/>
      </c>
      <c r="N173" s="61"/>
      <c r="O173" s="75">
        <f t="shared" si="3"/>
        <v>2000000</v>
      </c>
      <c r="P173" s="75">
        <f t="shared" si="4"/>
        <v>2000000</v>
      </c>
      <c r="Q173" s="64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22"/>
      <c r="B174" s="67"/>
      <c r="C174" s="67"/>
      <c r="D174" s="35" t="s">
        <v>23</v>
      </c>
      <c r="E174" s="12"/>
      <c r="F174" s="13"/>
      <c r="G174" s="22"/>
      <c r="H174" s="22"/>
      <c r="I174" s="22"/>
      <c r="J174" s="22"/>
      <c r="K174" s="22"/>
      <c r="L174" s="26"/>
      <c r="M174" s="22"/>
      <c r="N174" s="61"/>
      <c r="O174" s="75">
        <f t="shared" si="3"/>
        <v>0</v>
      </c>
      <c r="P174" s="75">
        <f t="shared" si="4"/>
        <v>0</v>
      </c>
      <c r="Q174" s="64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22"/>
      <c r="B175" s="67"/>
      <c r="C175" s="67"/>
      <c r="D175" s="47" t="s">
        <v>24</v>
      </c>
      <c r="E175" s="35" t="s">
        <v>161</v>
      </c>
      <c r="F175" s="13"/>
      <c r="G175" s="36">
        <v>4.0</v>
      </c>
      <c r="H175" s="36" t="s">
        <v>26</v>
      </c>
      <c r="I175" s="48">
        <v>500000.0</v>
      </c>
      <c r="J175" s="46">
        <f>G175*I175</f>
        <v>2000000</v>
      </c>
      <c r="K175" s="46"/>
      <c r="L175" s="26"/>
      <c r="M175" s="46"/>
      <c r="N175" s="61"/>
      <c r="O175" s="75">
        <f t="shared" si="3"/>
        <v>2000000</v>
      </c>
      <c r="P175" s="75">
        <f t="shared" si="4"/>
        <v>2000000</v>
      </c>
      <c r="Q175" s="64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35" t="s">
        <v>47</v>
      </c>
      <c r="B176" s="12"/>
      <c r="C176" s="13"/>
      <c r="D176" s="44" t="s">
        <v>48</v>
      </c>
      <c r="E176" s="12"/>
      <c r="F176" s="13"/>
      <c r="G176" s="22"/>
      <c r="H176" s="22"/>
      <c r="I176" s="22"/>
      <c r="J176" s="46">
        <f t="shared" ref="J176:K176" si="69">J178</f>
        <v>16000000</v>
      </c>
      <c r="K176" s="46" t="str">
        <f t="shared" si="69"/>
        <v/>
      </c>
      <c r="L176" s="26"/>
      <c r="M176" s="46" t="str">
        <f>M178</f>
        <v/>
      </c>
      <c r="N176" s="61"/>
      <c r="O176" s="75">
        <f t="shared" si="3"/>
        <v>16000000</v>
      </c>
      <c r="P176" s="75">
        <f t="shared" si="4"/>
        <v>16000000</v>
      </c>
      <c r="Q176" s="64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22"/>
      <c r="B177" s="67"/>
      <c r="C177" s="67"/>
      <c r="D177" s="35" t="s">
        <v>23</v>
      </c>
      <c r="E177" s="12"/>
      <c r="F177" s="13"/>
      <c r="G177" s="22"/>
      <c r="H177" s="22"/>
      <c r="I177" s="22"/>
      <c r="J177" s="22"/>
      <c r="K177" s="22"/>
      <c r="L177" s="26"/>
      <c r="M177" s="22"/>
      <c r="N177" s="61"/>
      <c r="O177" s="75">
        <f t="shared" si="3"/>
        <v>0</v>
      </c>
      <c r="P177" s="75">
        <f t="shared" si="4"/>
        <v>0</v>
      </c>
      <c r="Q177" s="64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22"/>
      <c r="B178" s="67"/>
      <c r="C178" s="67"/>
      <c r="D178" s="47" t="s">
        <v>24</v>
      </c>
      <c r="E178" s="35" t="s">
        <v>162</v>
      </c>
      <c r="F178" s="13"/>
      <c r="G178" s="36">
        <v>4.0</v>
      </c>
      <c r="H178" s="36" t="s">
        <v>26</v>
      </c>
      <c r="I178" s="48">
        <v>4000000.0</v>
      </c>
      <c r="J178" s="46">
        <f>G178*I178</f>
        <v>16000000</v>
      </c>
      <c r="K178" s="46"/>
      <c r="L178" s="26"/>
      <c r="M178" s="46"/>
      <c r="N178" s="61"/>
      <c r="O178" s="75">
        <f t="shared" si="3"/>
        <v>16000000</v>
      </c>
      <c r="P178" s="75">
        <f t="shared" si="4"/>
        <v>16000000</v>
      </c>
      <c r="Q178" s="64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41" t="s">
        <v>50</v>
      </c>
      <c r="B179" s="12"/>
      <c r="C179" s="13"/>
      <c r="D179" s="41" t="s">
        <v>51</v>
      </c>
      <c r="E179" s="12"/>
      <c r="F179" s="13"/>
      <c r="G179" s="22"/>
      <c r="H179" s="22"/>
      <c r="I179" s="22"/>
      <c r="J179" s="43">
        <f t="shared" ref="J179:K179" si="70">J180+J186+J189</f>
        <v>56050000</v>
      </c>
      <c r="K179" s="43">
        <f t="shared" si="70"/>
        <v>0</v>
      </c>
      <c r="L179" s="26"/>
      <c r="M179" s="43">
        <f>M180+M186+M189</f>
        <v>1400000</v>
      </c>
      <c r="N179" s="61"/>
      <c r="O179" s="75">
        <f t="shared" si="3"/>
        <v>56050000</v>
      </c>
      <c r="P179" s="75">
        <f t="shared" si="4"/>
        <v>54650000</v>
      </c>
      <c r="Q179" s="64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35" t="s">
        <v>40</v>
      </c>
      <c r="B180" s="12"/>
      <c r="C180" s="13"/>
      <c r="D180" s="44" t="s">
        <v>22</v>
      </c>
      <c r="E180" s="12"/>
      <c r="F180" s="13"/>
      <c r="G180" s="22"/>
      <c r="H180" s="22"/>
      <c r="I180" s="22"/>
      <c r="J180" s="46">
        <f t="shared" ref="J180:K180" si="71">SUM(J182:J185)</f>
        <v>38050000</v>
      </c>
      <c r="K180" s="46">
        <f t="shared" si="71"/>
        <v>0</v>
      </c>
      <c r="L180" s="26"/>
      <c r="M180" s="46">
        <f>SUM(M182:M185)</f>
        <v>0</v>
      </c>
      <c r="N180" s="61"/>
      <c r="O180" s="75">
        <f t="shared" si="3"/>
        <v>38050000</v>
      </c>
      <c r="P180" s="75">
        <f t="shared" si="4"/>
        <v>38050000</v>
      </c>
      <c r="Q180" s="64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22"/>
      <c r="B181" s="67"/>
      <c r="C181" s="67"/>
      <c r="D181" s="35" t="s">
        <v>23</v>
      </c>
      <c r="E181" s="12"/>
      <c r="F181" s="13"/>
      <c r="G181" s="22"/>
      <c r="H181" s="22"/>
      <c r="I181" s="22"/>
      <c r="J181" s="22"/>
      <c r="K181" s="22"/>
      <c r="L181" s="26"/>
      <c r="M181" s="22"/>
      <c r="N181" s="61"/>
      <c r="O181" s="75">
        <f t="shared" si="3"/>
        <v>0</v>
      </c>
      <c r="P181" s="75">
        <f t="shared" si="4"/>
        <v>0</v>
      </c>
      <c r="Q181" s="64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22"/>
      <c r="B182" s="67"/>
      <c r="C182" s="67"/>
      <c r="D182" s="47" t="s">
        <v>24</v>
      </c>
      <c r="E182" s="35" t="s">
        <v>163</v>
      </c>
      <c r="F182" s="13"/>
      <c r="G182" s="36">
        <v>100.0</v>
      </c>
      <c r="H182" s="36" t="s">
        <v>26</v>
      </c>
      <c r="I182" s="48">
        <v>53000.0</v>
      </c>
      <c r="J182" s="46">
        <f t="shared" ref="J182:J185" si="72">G182*I182</f>
        <v>5300000</v>
      </c>
      <c r="K182" s="46"/>
      <c r="L182" s="26"/>
      <c r="M182" s="46"/>
      <c r="N182" s="61"/>
      <c r="O182" s="75">
        <f t="shared" si="3"/>
        <v>5300000</v>
      </c>
      <c r="P182" s="75">
        <f t="shared" si="4"/>
        <v>5300000</v>
      </c>
      <c r="Q182" s="64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22"/>
      <c r="B183" s="67"/>
      <c r="C183" s="67"/>
      <c r="D183" s="47" t="s">
        <v>24</v>
      </c>
      <c r="E183" s="35" t="s">
        <v>53</v>
      </c>
      <c r="F183" s="13"/>
      <c r="G183" s="36">
        <v>5.0</v>
      </c>
      <c r="H183" s="36" t="s">
        <v>26</v>
      </c>
      <c r="I183" s="48">
        <v>500000.0</v>
      </c>
      <c r="J183" s="46">
        <f t="shared" si="72"/>
        <v>2500000</v>
      </c>
      <c r="K183" s="46"/>
      <c r="L183" s="26"/>
      <c r="M183" s="46"/>
      <c r="N183" s="61"/>
      <c r="O183" s="75">
        <f t="shared" si="3"/>
        <v>2500000</v>
      </c>
      <c r="P183" s="75">
        <f t="shared" si="4"/>
        <v>2500000</v>
      </c>
      <c r="Q183" s="64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22"/>
      <c r="B184" s="67"/>
      <c r="C184" s="67"/>
      <c r="D184" s="47" t="s">
        <v>24</v>
      </c>
      <c r="E184" s="35" t="s">
        <v>54</v>
      </c>
      <c r="F184" s="13"/>
      <c r="G184" s="36">
        <v>1.0</v>
      </c>
      <c r="H184" s="36" t="s">
        <v>55</v>
      </c>
      <c r="I184" s="48">
        <v>250000.0</v>
      </c>
      <c r="J184" s="46">
        <f t="shared" si="72"/>
        <v>250000</v>
      </c>
      <c r="K184" s="46"/>
      <c r="L184" s="26"/>
      <c r="M184" s="46"/>
      <c r="N184" s="61"/>
      <c r="O184" s="75">
        <f t="shared" si="3"/>
        <v>250000</v>
      </c>
      <c r="P184" s="75">
        <f t="shared" si="4"/>
        <v>250000</v>
      </c>
      <c r="Q184" s="64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22"/>
      <c r="B185" s="67"/>
      <c r="C185" s="67"/>
      <c r="D185" s="47" t="s">
        <v>24</v>
      </c>
      <c r="E185" s="35" t="s">
        <v>164</v>
      </c>
      <c r="F185" s="13"/>
      <c r="G185" s="36">
        <v>100.0</v>
      </c>
      <c r="H185" s="36" t="s">
        <v>26</v>
      </c>
      <c r="I185" s="48">
        <v>300000.0</v>
      </c>
      <c r="J185" s="46">
        <f t="shared" si="72"/>
        <v>30000000</v>
      </c>
      <c r="K185" s="46"/>
      <c r="L185" s="26"/>
      <c r="M185" s="46"/>
      <c r="N185" s="61"/>
      <c r="O185" s="75">
        <f t="shared" si="3"/>
        <v>30000000</v>
      </c>
      <c r="P185" s="75">
        <f t="shared" si="4"/>
        <v>30000000</v>
      </c>
      <c r="Q185" s="64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35" t="s">
        <v>47</v>
      </c>
      <c r="B186" s="12"/>
      <c r="C186" s="13"/>
      <c r="D186" s="44" t="s">
        <v>48</v>
      </c>
      <c r="E186" s="12"/>
      <c r="F186" s="13"/>
      <c r="G186" s="22"/>
      <c r="H186" s="22"/>
      <c r="I186" s="22"/>
      <c r="J186" s="46">
        <f t="shared" ref="J186:K186" si="73">J188</f>
        <v>16000000</v>
      </c>
      <c r="K186" s="46" t="str">
        <f t="shared" si="73"/>
        <v/>
      </c>
      <c r="L186" s="26"/>
      <c r="M186" s="46" t="str">
        <f>M188</f>
        <v/>
      </c>
      <c r="N186" s="61"/>
      <c r="O186" s="75">
        <f t="shared" si="3"/>
        <v>16000000</v>
      </c>
      <c r="P186" s="75">
        <f t="shared" si="4"/>
        <v>16000000</v>
      </c>
      <c r="Q186" s="64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22"/>
      <c r="B187" s="67"/>
      <c r="C187" s="67"/>
      <c r="D187" s="35" t="s">
        <v>23</v>
      </c>
      <c r="E187" s="12"/>
      <c r="F187" s="13"/>
      <c r="G187" s="22"/>
      <c r="H187" s="22"/>
      <c r="I187" s="22"/>
      <c r="J187" s="22"/>
      <c r="K187" s="22"/>
      <c r="L187" s="26"/>
      <c r="M187" s="22"/>
      <c r="N187" s="61"/>
      <c r="O187" s="75">
        <f t="shared" si="3"/>
        <v>0</v>
      </c>
      <c r="P187" s="75">
        <f t="shared" si="4"/>
        <v>0</v>
      </c>
      <c r="Q187" s="64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22"/>
      <c r="B188" s="67"/>
      <c r="C188" s="67"/>
      <c r="D188" s="47" t="s">
        <v>24</v>
      </c>
      <c r="E188" s="35" t="s">
        <v>165</v>
      </c>
      <c r="F188" s="13"/>
      <c r="G188" s="36">
        <v>4.0</v>
      </c>
      <c r="H188" s="36" t="s">
        <v>26</v>
      </c>
      <c r="I188" s="48">
        <v>4000000.0</v>
      </c>
      <c r="J188" s="46">
        <f>G188*I188</f>
        <v>16000000</v>
      </c>
      <c r="K188" s="46"/>
      <c r="L188" s="26"/>
      <c r="M188" s="46"/>
      <c r="N188" s="61"/>
      <c r="O188" s="75">
        <f t="shared" si="3"/>
        <v>16000000</v>
      </c>
      <c r="P188" s="75">
        <f t="shared" si="4"/>
        <v>16000000</v>
      </c>
      <c r="Q188" s="64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35" t="s">
        <v>58</v>
      </c>
      <c r="B189" s="12"/>
      <c r="C189" s="13"/>
      <c r="D189" s="44" t="s">
        <v>34</v>
      </c>
      <c r="E189" s="12"/>
      <c r="F189" s="13"/>
      <c r="G189" s="22"/>
      <c r="H189" s="22"/>
      <c r="I189" s="22"/>
      <c r="J189" s="46">
        <f t="shared" ref="J189:K189" si="74">J191</f>
        <v>2000000</v>
      </c>
      <c r="K189" s="46" t="str">
        <f t="shared" si="74"/>
        <v/>
      </c>
      <c r="L189" s="26"/>
      <c r="M189" s="46">
        <f>M191</f>
        <v>1400000</v>
      </c>
      <c r="N189" s="61"/>
      <c r="O189" s="75">
        <f t="shared" si="3"/>
        <v>2000000</v>
      </c>
      <c r="P189" s="75">
        <f t="shared" si="4"/>
        <v>600000</v>
      </c>
      <c r="Q189" s="64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22"/>
      <c r="B190" s="67"/>
      <c r="C190" s="67"/>
      <c r="D190" s="35" t="s">
        <v>23</v>
      </c>
      <c r="E190" s="12"/>
      <c r="F190" s="13"/>
      <c r="G190" s="22"/>
      <c r="H190" s="22"/>
      <c r="I190" s="22"/>
      <c r="J190" s="22"/>
      <c r="K190" s="22"/>
      <c r="L190" s="26"/>
      <c r="M190" s="22"/>
      <c r="N190" s="61"/>
      <c r="O190" s="75">
        <f t="shared" si="3"/>
        <v>0</v>
      </c>
      <c r="P190" s="75">
        <f t="shared" si="4"/>
        <v>0</v>
      </c>
      <c r="Q190" s="64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22"/>
      <c r="B191" s="67"/>
      <c r="C191" s="67"/>
      <c r="D191" s="47" t="s">
        <v>24</v>
      </c>
      <c r="E191" s="35" t="s">
        <v>59</v>
      </c>
      <c r="F191" s="13"/>
      <c r="G191" s="36">
        <v>4.0</v>
      </c>
      <c r="H191" s="36" t="s">
        <v>26</v>
      </c>
      <c r="I191" s="48">
        <v>500000.0</v>
      </c>
      <c r="J191" s="46">
        <f>G191*I191</f>
        <v>2000000</v>
      </c>
      <c r="K191" s="46"/>
      <c r="L191" s="26"/>
      <c r="M191" s="46">
        <v>1400000.0</v>
      </c>
      <c r="N191" s="61"/>
      <c r="O191" s="75">
        <f t="shared" si="3"/>
        <v>2000000</v>
      </c>
      <c r="P191" s="75">
        <f t="shared" si="4"/>
        <v>600000</v>
      </c>
      <c r="Q191" s="64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41" t="s">
        <v>60</v>
      </c>
      <c r="B192" s="12"/>
      <c r="C192" s="13"/>
      <c r="D192" s="41" t="s">
        <v>61</v>
      </c>
      <c r="E192" s="12"/>
      <c r="F192" s="13"/>
      <c r="G192" s="22"/>
      <c r="H192" s="22"/>
      <c r="I192" s="22"/>
      <c r="J192" s="43">
        <f t="shared" ref="J192:K192" si="75">J193+J196+J200+J203+J206</f>
        <v>220800000</v>
      </c>
      <c r="K192" s="43">
        <f t="shared" si="75"/>
        <v>210000</v>
      </c>
      <c r="L192" s="26"/>
      <c r="M192" s="43">
        <f>M193+M196+M200+M203+M206</f>
        <v>57035000</v>
      </c>
      <c r="N192" s="61"/>
      <c r="O192" s="75">
        <f t="shared" si="3"/>
        <v>220590000</v>
      </c>
      <c r="P192" s="75">
        <f t="shared" si="4"/>
        <v>163765000</v>
      </c>
      <c r="Q192" s="64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35" t="s">
        <v>40</v>
      </c>
      <c r="B193" s="12"/>
      <c r="C193" s="13"/>
      <c r="D193" s="44" t="s">
        <v>22</v>
      </c>
      <c r="E193" s="12"/>
      <c r="F193" s="13"/>
      <c r="G193" s="22"/>
      <c r="H193" s="22"/>
      <c r="I193" s="22"/>
      <c r="J193" s="46">
        <f t="shared" ref="J193:K193" si="76">J195</f>
        <v>31800000</v>
      </c>
      <c r="K193" s="46" t="str">
        <f t="shared" si="76"/>
        <v/>
      </c>
      <c r="L193" s="26"/>
      <c r="M193" s="46" t="str">
        <f>M195</f>
        <v/>
      </c>
      <c r="N193" s="61"/>
      <c r="O193" s="75">
        <f t="shared" si="3"/>
        <v>31800000</v>
      </c>
      <c r="P193" s="75">
        <f t="shared" si="4"/>
        <v>31800000</v>
      </c>
      <c r="Q193" s="64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22"/>
      <c r="B194" s="67"/>
      <c r="C194" s="67"/>
      <c r="D194" s="35" t="s">
        <v>23</v>
      </c>
      <c r="E194" s="12"/>
      <c r="F194" s="13"/>
      <c r="G194" s="22"/>
      <c r="H194" s="22"/>
      <c r="I194" s="22"/>
      <c r="J194" s="22"/>
      <c r="K194" s="22"/>
      <c r="L194" s="26"/>
      <c r="M194" s="22"/>
      <c r="N194" s="61"/>
      <c r="O194" s="75">
        <f t="shared" si="3"/>
        <v>0</v>
      </c>
      <c r="P194" s="75">
        <f t="shared" si="4"/>
        <v>0</v>
      </c>
      <c r="Q194" s="64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22"/>
      <c r="B195" s="67"/>
      <c r="C195" s="67"/>
      <c r="D195" s="47" t="s">
        <v>24</v>
      </c>
      <c r="E195" s="35" t="s">
        <v>166</v>
      </c>
      <c r="F195" s="13"/>
      <c r="G195" s="36">
        <v>600.0</v>
      </c>
      <c r="H195" s="36" t="s">
        <v>26</v>
      </c>
      <c r="I195" s="48">
        <v>53000.0</v>
      </c>
      <c r="J195" s="46">
        <f>G195*I195</f>
        <v>31800000</v>
      </c>
      <c r="K195" s="46"/>
      <c r="L195" s="26"/>
      <c r="M195" s="46"/>
      <c r="N195" s="61"/>
      <c r="O195" s="75">
        <f t="shared" si="3"/>
        <v>31800000</v>
      </c>
      <c r="P195" s="75">
        <f t="shared" si="4"/>
        <v>31800000</v>
      </c>
      <c r="Q195" s="64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35" t="s">
        <v>63</v>
      </c>
      <c r="B196" s="12"/>
      <c r="C196" s="13"/>
      <c r="D196" s="44" t="s">
        <v>64</v>
      </c>
      <c r="E196" s="12"/>
      <c r="F196" s="13"/>
      <c r="G196" s="22"/>
      <c r="H196" s="22"/>
      <c r="I196" s="22"/>
      <c r="J196" s="46">
        <f t="shared" ref="J196:K196" si="77">SUM(J198:J199)</f>
        <v>115000000</v>
      </c>
      <c r="K196" s="46">
        <f t="shared" si="77"/>
        <v>210000</v>
      </c>
      <c r="L196" s="26"/>
      <c r="M196" s="46">
        <f>SUM(M198:M199)</f>
        <v>55335000</v>
      </c>
      <c r="N196" s="61"/>
      <c r="O196" s="75">
        <f t="shared" si="3"/>
        <v>114790000</v>
      </c>
      <c r="P196" s="75">
        <f t="shared" si="4"/>
        <v>59665000</v>
      </c>
      <c r="Q196" s="64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22"/>
      <c r="B197" s="67"/>
      <c r="C197" s="67"/>
      <c r="D197" s="35" t="s">
        <v>23</v>
      </c>
      <c r="E197" s="12"/>
      <c r="F197" s="13"/>
      <c r="G197" s="22"/>
      <c r="H197" s="22"/>
      <c r="I197" s="22"/>
      <c r="J197" s="22"/>
      <c r="K197" s="22"/>
      <c r="L197" s="26"/>
      <c r="M197" s="22"/>
      <c r="N197" s="61"/>
      <c r="O197" s="75">
        <f t="shared" si="3"/>
        <v>0</v>
      </c>
      <c r="P197" s="75">
        <f t="shared" si="4"/>
        <v>0</v>
      </c>
      <c r="Q197" s="64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22"/>
      <c r="B198" s="67"/>
      <c r="C198" s="67"/>
      <c r="D198" s="47" t="s">
        <v>24</v>
      </c>
      <c r="E198" s="35" t="s">
        <v>231</v>
      </c>
      <c r="F198" s="13"/>
      <c r="G198" s="36">
        <v>1.0</v>
      </c>
      <c r="H198" s="36" t="s">
        <v>97</v>
      </c>
      <c r="I198" s="48">
        <v>9.5E7</v>
      </c>
      <c r="J198" s="46">
        <f t="shared" ref="J198:J199" si="78">G198*I198</f>
        <v>95000000</v>
      </c>
      <c r="K198" s="46">
        <v>210000.0</v>
      </c>
      <c r="L198" s="26"/>
      <c r="M198" s="53">
        <v>4.3825E7</v>
      </c>
      <c r="N198" s="61"/>
      <c r="O198" s="75">
        <f t="shared" si="3"/>
        <v>94790000</v>
      </c>
      <c r="P198" s="75">
        <f t="shared" si="4"/>
        <v>51175000</v>
      </c>
      <c r="Q198" s="64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22"/>
      <c r="B199" s="67"/>
      <c r="C199" s="67"/>
      <c r="D199" s="47" t="s">
        <v>24</v>
      </c>
      <c r="E199" s="35" t="s">
        <v>167</v>
      </c>
      <c r="F199" s="13"/>
      <c r="G199" s="36">
        <v>100.0</v>
      </c>
      <c r="H199" s="36" t="s">
        <v>26</v>
      </c>
      <c r="I199" s="48">
        <v>200000.0</v>
      </c>
      <c r="J199" s="46">
        <f t="shared" si="78"/>
        <v>20000000</v>
      </c>
      <c r="K199" s="46"/>
      <c r="L199" s="26"/>
      <c r="M199" s="53">
        <v>1.151E7</v>
      </c>
      <c r="N199" s="61"/>
      <c r="O199" s="75">
        <f t="shared" si="3"/>
        <v>20000000</v>
      </c>
      <c r="P199" s="75">
        <f t="shared" si="4"/>
        <v>8490000</v>
      </c>
      <c r="Q199" s="64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35" t="s">
        <v>68</v>
      </c>
      <c r="B200" s="12"/>
      <c r="C200" s="47"/>
      <c r="D200" s="44" t="s">
        <v>69</v>
      </c>
      <c r="E200" s="12"/>
      <c r="F200" s="13"/>
      <c r="G200" s="22"/>
      <c r="H200" s="22"/>
      <c r="I200" s="22"/>
      <c r="J200" s="46">
        <f t="shared" ref="J200:K200" si="79">J202</f>
        <v>10000000</v>
      </c>
      <c r="K200" s="46" t="str">
        <f t="shared" si="79"/>
        <v/>
      </c>
      <c r="L200" s="26"/>
      <c r="M200" s="46" t="str">
        <f>M202</f>
        <v/>
      </c>
      <c r="N200" s="61"/>
      <c r="O200" s="75">
        <f t="shared" si="3"/>
        <v>10000000</v>
      </c>
      <c r="P200" s="75">
        <f t="shared" si="4"/>
        <v>10000000</v>
      </c>
      <c r="Q200" s="64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22"/>
      <c r="B201" s="67"/>
      <c r="C201" s="67"/>
      <c r="D201" s="35" t="s">
        <v>23</v>
      </c>
      <c r="E201" s="12"/>
      <c r="F201" s="13"/>
      <c r="G201" s="22"/>
      <c r="H201" s="22"/>
      <c r="I201" s="22"/>
      <c r="J201" s="22"/>
      <c r="K201" s="22"/>
      <c r="L201" s="26"/>
      <c r="M201" s="22"/>
      <c r="N201" s="61"/>
      <c r="O201" s="75">
        <f t="shared" si="3"/>
        <v>0</v>
      </c>
      <c r="P201" s="75">
        <f t="shared" si="4"/>
        <v>0</v>
      </c>
      <c r="Q201" s="64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22"/>
      <c r="B202" s="67"/>
      <c r="C202" s="67"/>
      <c r="D202" s="47" t="s">
        <v>24</v>
      </c>
      <c r="E202" s="35" t="s">
        <v>70</v>
      </c>
      <c r="F202" s="13"/>
      <c r="G202" s="36">
        <v>20.0</v>
      </c>
      <c r="H202" s="36" t="s">
        <v>26</v>
      </c>
      <c r="I202" s="48">
        <v>500000.0</v>
      </c>
      <c r="J202" s="46">
        <f>G202*I202</f>
        <v>10000000</v>
      </c>
      <c r="K202" s="46"/>
      <c r="L202" s="26"/>
      <c r="M202" s="46"/>
      <c r="N202" s="61"/>
      <c r="O202" s="75">
        <f t="shared" si="3"/>
        <v>10000000</v>
      </c>
      <c r="P202" s="75">
        <f t="shared" si="4"/>
        <v>10000000</v>
      </c>
      <c r="Q202" s="64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35" t="s">
        <v>47</v>
      </c>
      <c r="B203" s="12"/>
      <c r="C203" s="47"/>
      <c r="D203" s="44" t="s">
        <v>48</v>
      </c>
      <c r="E203" s="12"/>
      <c r="F203" s="13"/>
      <c r="G203" s="22"/>
      <c r="H203" s="22"/>
      <c r="I203" s="22"/>
      <c r="J203" s="46">
        <f t="shared" ref="J203:K203" si="80">J205</f>
        <v>16000000</v>
      </c>
      <c r="K203" s="46" t="str">
        <f t="shared" si="80"/>
        <v/>
      </c>
      <c r="L203" s="26"/>
      <c r="M203" s="46" t="str">
        <f>M205</f>
        <v/>
      </c>
      <c r="N203" s="61"/>
      <c r="O203" s="75">
        <f t="shared" si="3"/>
        <v>16000000</v>
      </c>
      <c r="P203" s="75">
        <f t="shared" si="4"/>
        <v>16000000</v>
      </c>
      <c r="Q203" s="64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22"/>
      <c r="B204" s="67"/>
      <c r="C204" s="67"/>
      <c r="D204" s="35" t="s">
        <v>23</v>
      </c>
      <c r="E204" s="12"/>
      <c r="F204" s="13"/>
      <c r="G204" s="22"/>
      <c r="H204" s="22"/>
      <c r="I204" s="22"/>
      <c r="J204" s="22"/>
      <c r="K204" s="22"/>
      <c r="L204" s="26"/>
      <c r="M204" s="22"/>
      <c r="N204" s="61"/>
      <c r="O204" s="75">
        <f t="shared" si="3"/>
        <v>0</v>
      </c>
      <c r="P204" s="75">
        <f t="shared" si="4"/>
        <v>0</v>
      </c>
      <c r="Q204" s="64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22"/>
      <c r="B205" s="67"/>
      <c r="C205" s="67"/>
      <c r="D205" s="47" t="s">
        <v>24</v>
      </c>
      <c r="E205" s="35" t="s">
        <v>165</v>
      </c>
      <c r="F205" s="13"/>
      <c r="G205" s="36">
        <v>4.0</v>
      </c>
      <c r="H205" s="36" t="s">
        <v>26</v>
      </c>
      <c r="I205" s="48">
        <v>4000000.0</v>
      </c>
      <c r="J205" s="46">
        <f>G205*I205</f>
        <v>16000000</v>
      </c>
      <c r="K205" s="46"/>
      <c r="L205" s="26"/>
      <c r="M205" s="46"/>
      <c r="N205" s="61"/>
      <c r="O205" s="75">
        <f t="shared" si="3"/>
        <v>16000000</v>
      </c>
      <c r="P205" s="75">
        <f t="shared" si="4"/>
        <v>16000000</v>
      </c>
      <c r="Q205" s="64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35" t="s">
        <v>58</v>
      </c>
      <c r="B206" s="12"/>
      <c r="C206" s="47"/>
      <c r="D206" s="44" t="s">
        <v>34</v>
      </c>
      <c r="E206" s="12"/>
      <c r="F206" s="13"/>
      <c r="G206" s="22"/>
      <c r="H206" s="22"/>
      <c r="I206" s="22"/>
      <c r="J206" s="46">
        <f t="shared" ref="J206:K206" si="81">J208</f>
        <v>48000000</v>
      </c>
      <c r="K206" s="46" t="str">
        <f t="shared" si="81"/>
        <v/>
      </c>
      <c r="L206" s="26"/>
      <c r="M206" s="46">
        <f>M208</f>
        <v>1700000</v>
      </c>
      <c r="N206" s="61"/>
      <c r="O206" s="75">
        <f t="shared" si="3"/>
        <v>48000000</v>
      </c>
      <c r="P206" s="75">
        <f t="shared" si="4"/>
        <v>46300000</v>
      </c>
      <c r="Q206" s="64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22"/>
      <c r="B207" s="67"/>
      <c r="C207" s="67"/>
      <c r="D207" s="35" t="s">
        <v>23</v>
      </c>
      <c r="E207" s="12"/>
      <c r="F207" s="13"/>
      <c r="G207" s="22"/>
      <c r="H207" s="22"/>
      <c r="I207" s="22"/>
      <c r="J207" s="22"/>
      <c r="K207" s="22"/>
      <c r="L207" s="26"/>
      <c r="M207" s="22"/>
      <c r="N207" s="61"/>
      <c r="O207" s="75">
        <f t="shared" si="3"/>
        <v>0</v>
      </c>
      <c r="P207" s="75">
        <f t="shared" si="4"/>
        <v>0</v>
      </c>
      <c r="Q207" s="64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22"/>
      <c r="B208" s="67"/>
      <c r="C208" s="67"/>
      <c r="D208" s="47" t="s">
        <v>24</v>
      </c>
      <c r="E208" s="35" t="s">
        <v>71</v>
      </c>
      <c r="F208" s="13"/>
      <c r="G208" s="36">
        <v>96.0</v>
      </c>
      <c r="H208" s="36" t="s">
        <v>26</v>
      </c>
      <c r="I208" s="48">
        <v>500000.0</v>
      </c>
      <c r="J208" s="46">
        <f>G208*I208</f>
        <v>48000000</v>
      </c>
      <c r="K208" s="46"/>
      <c r="L208" s="26"/>
      <c r="M208" s="46">
        <v>1700000.0</v>
      </c>
      <c r="N208" s="61"/>
      <c r="O208" s="75">
        <f t="shared" si="3"/>
        <v>48000000</v>
      </c>
      <c r="P208" s="75">
        <f t="shared" si="4"/>
        <v>46300000</v>
      </c>
      <c r="Q208" s="64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41" t="s">
        <v>72</v>
      </c>
      <c r="B209" s="12"/>
      <c r="C209" s="56"/>
      <c r="D209" s="41" t="s">
        <v>73</v>
      </c>
      <c r="E209" s="12"/>
      <c r="F209" s="13"/>
      <c r="G209" s="22"/>
      <c r="H209" s="22"/>
      <c r="I209" s="22"/>
      <c r="J209" s="43">
        <f t="shared" ref="J209:K209" si="82">J210+J215</f>
        <v>151200000</v>
      </c>
      <c r="K209" s="43">
        <f t="shared" si="82"/>
        <v>43480200</v>
      </c>
      <c r="L209" s="26"/>
      <c r="M209" s="43">
        <f>M210+M215</f>
        <v>43480200</v>
      </c>
      <c r="N209" s="61"/>
      <c r="O209" s="75">
        <f t="shared" si="3"/>
        <v>107719800</v>
      </c>
      <c r="P209" s="75">
        <f t="shared" si="4"/>
        <v>107719800</v>
      </c>
      <c r="Q209" s="64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35" t="s">
        <v>74</v>
      </c>
      <c r="B210" s="12"/>
      <c r="C210" s="47"/>
      <c r="D210" s="44" t="s">
        <v>75</v>
      </c>
      <c r="E210" s="12"/>
      <c r="F210" s="13"/>
      <c r="G210" s="22"/>
      <c r="H210" s="22"/>
      <c r="I210" s="22"/>
      <c r="J210" s="46">
        <f t="shared" ref="J210:K210" si="83">SUM(J212:J214)</f>
        <v>142700000</v>
      </c>
      <c r="K210" s="46">
        <f t="shared" si="83"/>
        <v>43480200</v>
      </c>
      <c r="L210" s="26"/>
      <c r="M210" s="46">
        <f>SUM(M212:M214)</f>
        <v>43480200</v>
      </c>
      <c r="N210" s="61"/>
      <c r="O210" s="75">
        <f t="shared" si="3"/>
        <v>99219800</v>
      </c>
      <c r="P210" s="75">
        <f t="shared" si="4"/>
        <v>99219800</v>
      </c>
      <c r="Q210" s="64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22"/>
      <c r="B211" s="67"/>
      <c r="C211" s="67"/>
      <c r="D211" s="35" t="s">
        <v>23</v>
      </c>
      <c r="E211" s="12"/>
      <c r="F211" s="13"/>
      <c r="G211" s="22"/>
      <c r="H211" s="22"/>
      <c r="I211" s="22"/>
      <c r="J211" s="22"/>
      <c r="K211" s="22"/>
      <c r="L211" s="26"/>
      <c r="M211" s="22"/>
      <c r="N211" s="61"/>
      <c r="O211" s="75">
        <f t="shared" si="3"/>
        <v>0</v>
      </c>
      <c r="P211" s="75">
        <f t="shared" si="4"/>
        <v>0</v>
      </c>
      <c r="Q211" s="64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22"/>
      <c r="B212" s="67"/>
      <c r="C212" s="67"/>
      <c r="D212" s="47" t="s">
        <v>24</v>
      </c>
      <c r="E212" s="35" t="s">
        <v>76</v>
      </c>
      <c r="F212" s="13"/>
      <c r="G212" s="36">
        <v>20.0</v>
      </c>
      <c r="H212" s="36" t="s">
        <v>26</v>
      </c>
      <c r="I212" s="48">
        <v>5000000.0</v>
      </c>
      <c r="J212" s="46">
        <f t="shared" ref="J212:J214" si="84">G212*I212</f>
        <v>100000000</v>
      </c>
      <c r="K212" s="46">
        <v>2.30882E7</v>
      </c>
      <c r="L212" s="26"/>
      <c r="M212" s="46">
        <v>2.30882E7</v>
      </c>
      <c r="N212" s="61"/>
      <c r="O212" s="75">
        <f t="shared" si="3"/>
        <v>76911800</v>
      </c>
      <c r="P212" s="75">
        <f t="shared" si="4"/>
        <v>76911800</v>
      </c>
      <c r="Q212" s="64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22"/>
      <c r="B213" s="67"/>
      <c r="C213" s="67"/>
      <c r="D213" s="47" t="s">
        <v>24</v>
      </c>
      <c r="E213" s="35" t="s">
        <v>77</v>
      </c>
      <c r="F213" s="13"/>
      <c r="G213" s="36">
        <v>30.0</v>
      </c>
      <c r="H213" s="36" t="s">
        <v>26</v>
      </c>
      <c r="I213" s="48">
        <v>850000.0</v>
      </c>
      <c r="J213" s="46">
        <f t="shared" si="84"/>
        <v>25500000</v>
      </c>
      <c r="K213" s="46">
        <v>1.312E7</v>
      </c>
      <c r="L213" s="26"/>
      <c r="M213" s="46">
        <v>1.312E7</v>
      </c>
      <c r="N213" s="61"/>
      <c r="O213" s="75">
        <f t="shared" si="3"/>
        <v>12380000</v>
      </c>
      <c r="P213" s="75">
        <f t="shared" si="4"/>
        <v>12380000</v>
      </c>
      <c r="Q213" s="64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22"/>
      <c r="B214" s="67"/>
      <c r="C214" s="67"/>
      <c r="D214" s="47" t="s">
        <v>24</v>
      </c>
      <c r="E214" s="35" t="s">
        <v>78</v>
      </c>
      <c r="F214" s="13"/>
      <c r="G214" s="36">
        <v>40.0</v>
      </c>
      <c r="H214" s="36" t="s">
        <v>26</v>
      </c>
      <c r="I214" s="48">
        <v>430000.0</v>
      </c>
      <c r="J214" s="46">
        <f t="shared" si="84"/>
        <v>17200000</v>
      </c>
      <c r="K214" s="46">
        <v>7272000.0</v>
      </c>
      <c r="L214" s="26"/>
      <c r="M214" s="46">
        <v>7272000.0</v>
      </c>
      <c r="N214" s="61"/>
      <c r="O214" s="75">
        <f t="shared" si="3"/>
        <v>9928000</v>
      </c>
      <c r="P214" s="75">
        <f t="shared" si="4"/>
        <v>9928000</v>
      </c>
      <c r="Q214" s="64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35" t="s">
        <v>79</v>
      </c>
      <c r="B215" s="12"/>
      <c r="C215" s="47"/>
      <c r="D215" s="44" t="s">
        <v>80</v>
      </c>
      <c r="E215" s="12"/>
      <c r="F215" s="13"/>
      <c r="G215" s="22"/>
      <c r="H215" s="22"/>
      <c r="I215" s="22"/>
      <c r="J215" s="46">
        <f t="shared" ref="J215:K215" si="85">J217</f>
        <v>8500000</v>
      </c>
      <c r="K215" s="46" t="str">
        <f t="shared" si="85"/>
        <v/>
      </c>
      <c r="L215" s="26"/>
      <c r="M215" s="46" t="str">
        <f>M217</f>
        <v/>
      </c>
      <c r="N215" s="61"/>
      <c r="O215" s="75">
        <f t="shared" si="3"/>
        <v>8500000</v>
      </c>
      <c r="P215" s="75">
        <f t="shared" si="4"/>
        <v>8500000</v>
      </c>
      <c r="Q215" s="64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22"/>
      <c r="B216" s="67"/>
      <c r="C216" s="67"/>
      <c r="D216" s="35" t="s">
        <v>23</v>
      </c>
      <c r="E216" s="12"/>
      <c r="F216" s="13"/>
      <c r="G216" s="22"/>
      <c r="H216" s="22"/>
      <c r="I216" s="22"/>
      <c r="J216" s="22"/>
      <c r="K216" s="22"/>
      <c r="L216" s="26"/>
      <c r="M216" s="22"/>
      <c r="N216" s="61"/>
      <c r="O216" s="75">
        <f t="shared" si="3"/>
        <v>0</v>
      </c>
      <c r="P216" s="75">
        <f t="shared" si="4"/>
        <v>0</v>
      </c>
      <c r="Q216" s="64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22"/>
      <c r="B217" s="67"/>
      <c r="C217" s="67"/>
      <c r="D217" s="47" t="s">
        <v>24</v>
      </c>
      <c r="E217" s="35" t="s">
        <v>81</v>
      </c>
      <c r="F217" s="13"/>
      <c r="G217" s="36">
        <v>50.0</v>
      </c>
      <c r="H217" s="36" t="s">
        <v>26</v>
      </c>
      <c r="I217" s="48">
        <v>170000.0</v>
      </c>
      <c r="J217" s="46">
        <f>G217*I217</f>
        <v>8500000</v>
      </c>
      <c r="K217" s="46"/>
      <c r="L217" s="26"/>
      <c r="M217" s="46"/>
      <c r="N217" s="61"/>
      <c r="O217" s="75">
        <f t="shared" si="3"/>
        <v>8500000</v>
      </c>
      <c r="P217" s="75">
        <f t="shared" si="4"/>
        <v>8500000</v>
      </c>
      <c r="Q217" s="64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41" t="s">
        <v>82</v>
      </c>
      <c r="B218" s="12"/>
      <c r="C218" s="56"/>
      <c r="D218" s="41" t="s">
        <v>83</v>
      </c>
      <c r="E218" s="12"/>
      <c r="F218" s="13"/>
      <c r="G218" s="22"/>
      <c r="H218" s="22"/>
      <c r="I218" s="22"/>
      <c r="J218" s="43">
        <f t="shared" ref="J218:K218" si="86">J219+J224</f>
        <v>1434000000</v>
      </c>
      <c r="K218" s="43">
        <f t="shared" si="86"/>
        <v>71867000</v>
      </c>
      <c r="L218" s="26"/>
      <c r="M218" s="43">
        <f>M219+M224</f>
        <v>135197000</v>
      </c>
      <c r="N218" s="61"/>
      <c r="O218" s="75">
        <f t="shared" si="3"/>
        <v>1362133000</v>
      </c>
      <c r="P218" s="75">
        <f t="shared" si="4"/>
        <v>1298803000</v>
      </c>
      <c r="Q218" s="64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35" t="s">
        <v>84</v>
      </c>
      <c r="B219" s="12"/>
      <c r="C219" s="47"/>
      <c r="D219" s="44" t="s">
        <v>85</v>
      </c>
      <c r="E219" s="12"/>
      <c r="F219" s="13"/>
      <c r="G219" s="22"/>
      <c r="H219" s="22"/>
      <c r="I219" s="22"/>
      <c r="J219" s="46">
        <f t="shared" ref="J219:K219" si="87">SUM(J221:J223)</f>
        <v>1320000000</v>
      </c>
      <c r="K219" s="46">
        <f t="shared" si="87"/>
        <v>71397000</v>
      </c>
      <c r="L219" s="26"/>
      <c r="M219" s="46">
        <f>SUM(M221:M223)</f>
        <v>134427000</v>
      </c>
      <c r="N219" s="61"/>
      <c r="O219" s="75">
        <f t="shared" si="3"/>
        <v>1248603000</v>
      </c>
      <c r="P219" s="75">
        <f t="shared" si="4"/>
        <v>1185573000</v>
      </c>
      <c r="Q219" s="64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22"/>
      <c r="B220" s="67"/>
      <c r="C220" s="67"/>
      <c r="D220" s="35" t="s">
        <v>23</v>
      </c>
      <c r="E220" s="12"/>
      <c r="F220" s="13"/>
      <c r="G220" s="22"/>
      <c r="H220" s="22"/>
      <c r="I220" s="22"/>
      <c r="J220" s="22"/>
      <c r="K220" s="22"/>
      <c r="L220" s="26"/>
      <c r="M220" s="22"/>
      <c r="N220" s="61"/>
      <c r="O220" s="75">
        <f t="shared" si="3"/>
        <v>0</v>
      </c>
      <c r="P220" s="75">
        <f t="shared" si="4"/>
        <v>0</v>
      </c>
      <c r="Q220" s="64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22"/>
      <c r="B221" s="67"/>
      <c r="C221" s="67"/>
      <c r="D221" s="47" t="s">
        <v>24</v>
      </c>
      <c r="E221" s="35" t="s">
        <v>168</v>
      </c>
      <c r="F221" s="13"/>
      <c r="G221" s="36">
        <v>54750.0</v>
      </c>
      <c r="H221" s="36" t="s">
        <v>87</v>
      </c>
      <c r="I221" s="48">
        <v>15000.0</v>
      </c>
      <c r="J221" s="46">
        <f t="shared" ref="J221:J223" si="88">G221*I221</f>
        <v>821250000</v>
      </c>
      <c r="K221" s="46">
        <v>5.025E7</v>
      </c>
      <c r="L221" s="26"/>
      <c r="M221" s="46">
        <v>9.639E7</v>
      </c>
      <c r="N221" s="61"/>
      <c r="O221" s="75">
        <f t="shared" si="3"/>
        <v>771000000</v>
      </c>
      <c r="P221" s="75">
        <f t="shared" si="4"/>
        <v>724860000</v>
      </c>
      <c r="Q221" s="64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22"/>
      <c r="B222" s="67"/>
      <c r="C222" s="67"/>
      <c r="D222" s="47" t="s">
        <v>24</v>
      </c>
      <c r="E222" s="35" t="s">
        <v>88</v>
      </c>
      <c r="F222" s="13"/>
      <c r="G222" s="36">
        <v>9000.0</v>
      </c>
      <c r="H222" s="36" t="s">
        <v>87</v>
      </c>
      <c r="I222" s="48">
        <v>25000.0</v>
      </c>
      <c r="J222" s="46">
        <f t="shared" si="88"/>
        <v>225000000</v>
      </c>
      <c r="K222" s="46">
        <v>4272000.0</v>
      </c>
      <c r="L222" s="26"/>
      <c r="M222" s="46">
        <v>5532000.0</v>
      </c>
      <c r="N222" s="61"/>
      <c r="O222" s="75">
        <f t="shared" si="3"/>
        <v>220728000</v>
      </c>
      <c r="P222" s="75">
        <f t="shared" si="4"/>
        <v>219468000</v>
      </c>
      <c r="Q222" s="64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22"/>
      <c r="B223" s="67"/>
      <c r="C223" s="67"/>
      <c r="D223" s="47" t="s">
        <v>24</v>
      </c>
      <c r="E223" s="35" t="s">
        <v>169</v>
      </c>
      <c r="F223" s="13"/>
      <c r="G223" s="36">
        <v>36500.0</v>
      </c>
      <c r="H223" s="36" t="s">
        <v>87</v>
      </c>
      <c r="I223" s="48">
        <v>7500.0</v>
      </c>
      <c r="J223" s="46">
        <f t="shared" si="88"/>
        <v>273750000</v>
      </c>
      <c r="K223" s="46">
        <v>1.6875E7</v>
      </c>
      <c r="L223" s="26"/>
      <c r="M223" s="46">
        <v>3.2505E7</v>
      </c>
      <c r="N223" s="61"/>
      <c r="O223" s="75">
        <f t="shared" si="3"/>
        <v>256875000</v>
      </c>
      <c r="P223" s="75">
        <f t="shared" si="4"/>
        <v>241245000</v>
      </c>
      <c r="Q223" s="64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35" t="s">
        <v>63</v>
      </c>
      <c r="B224" s="12"/>
      <c r="C224" s="47"/>
      <c r="D224" s="44" t="s">
        <v>64</v>
      </c>
      <c r="E224" s="12"/>
      <c r="F224" s="13"/>
      <c r="G224" s="22"/>
      <c r="H224" s="22"/>
      <c r="I224" s="22"/>
      <c r="J224" s="46">
        <f t="shared" ref="J224:N224" si="89">SUM(J226+J227)</f>
        <v>114000000</v>
      </c>
      <c r="K224" s="46">
        <f t="shared" si="89"/>
        <v>470000</v>
      </c>
      <c r="L224" s="46">
        <f t="shared" si="89"/>
        <v>0</v>
      </c>
      <c r="M224" s="46">
        <f t="shared" si="89"/>
        <v>770000</v>
      </c>
      <c r="N224" s="46">
        <f t="shared" si="89"/>
        <v>0</v>
      </c>
      <c r="O224" s="75">
        <f t="shared" si="3"/>
        <v>113530000</v>
      </c>
      <c r="P224" s="75">
        <f t="shared" si="4"/>
        <v>113230000</v>
      </c>
      <c r="Q224" s="64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22"/>
      <c r="B225" s="67"/>
      <c r="C225" s="67"/>
      <c r="D225" s="35" t="s">
        <v>23</v>
      </c>
      <c r="E225" s="12"/>
      <c r="F225" s="13"/>
      <c r="G225" s="22"/>
      <c r="H225" s="22"/>
      <c r="I225" s="22"/>
      <c r="J225" s="22"/>
      <c r="K225" s="22"/>
      <c r="L225" s="26"/>
      <c r="M225" s="22"/>
      <c r="N225" s="61"/>
      <c r="O225" s="75">
        <f t="shared" si="3"/>
        <v>0</v>
      </c>
      <c r="P225" s="75">
        <f t="shared" si="4"/>
        <v>0</v>
      </c>
      <c r="Q225" s="64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22"/>
      <c r="B226" s="67"/>
      <c r="C226" s="67"/>
      <c r="D226" s="47" t="s">
        <v>24</v>
      </c>
      <c r="E226" s="35" t="s">
        <v>90</v>
      </c>
      <c r="F226" s="13"/>
      <c r="G226" s="36">
        <v>180.0</v>
      </c>
      <c r="H226" s="36" t="s">
        <v>87</v>
      </c>
      <c r="I226" s="48">
        <v>500000.0</v>
      </c>
      <c r="J226" s="46">
        <f t="shared" ref="J226:J227" si="90">G226*I226</f>
        <v>90000000</v>
      </c>
      <c r="K226" s="46">
        <v>50000.0</v>
      </c>
      <c r="L226" s="26"/>
      <c r="M226" s="46">
        <v>50000.0</v>
      </c>
      <c r="N226" s="61"/>
      <c r="O226" s="75">
        <f t="shared" si="3"/>
        <v>89950000</v>
      </c>
      <c r="P226" s="75">
        <f t="shared" si="4"/>
        <v>89950000</v>
      </c>
      <c r="Q226" s="64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22"/>
      <c r="B227" s="67"/>
      <c r="C227" s="67"/>
      <c r="D227" s="47" t="s">
        <v>24</v>
      </c>
      <c r="E227" s="35" t="s">
        <v>170</v>
      </c>
      <c r="F227" s="13"/>
      <c r="G227" s="36">
        <v>600.0</v>
      </c>
      <c r="H227" s="36" t="s">
        <v>87</v>
      </c>
      <c r="I227" s="48">
        <v>40000.0</v>
      </c>
      <c r="J227" s="46">
        <f t="shared" si="90"/>
        <v>24000000</v>
      </c>
      <c r="K227" s="46">
        <v>420000.0</v>
      </c>
      <c r="L227" s="26"/>
      <c r="M227" s="46">
        <v>720000.0</v>
      </c>
      <c r="N227" s="61"/>
      <c r="O227" s="75">
        <f t="shared" si="3"/>
        <v>23580000</v>
      </c>
      <c r="P227" s="75">
        <f t="shared" si="4"/>
        <v>23280000</v>
      </c>
      <c r="Q227" s="64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41" t="s">
        <v>92</v>
      </c>
      <c r="B228" s="12"/>
      <c r="C228" s="56"/>
      <c r="D228" s="41" t="s">
        <v>93</v>
      </c>
      <c r="E228" s="12"/>
      <c r="F228" s="13"/>
      <c r="G228" s="22"/>
      <c r="H228" s="22"/>
      <c r="I228" s="22"/>
      <c r="J228" s="43">
        <f t="shared" ref="J228:K228" si="91">J229</f>
        <v>41836000</v>
      </c>
      <c r="K228" s="43">
        <f t="shared" si="91"/>
        <v>285000</v>
      </c>
      <c r="L228" s="26"/>
      <c r="M228" s="43">
        <f>M229</f>
        <v>5294700</v>
      </c>
      <c r="N228" s="61"/>
      <c r="O228" s="75">
        <f t="shared" si="3"/>
        <v>41551000</v>
      </c>
      <c r="P228" s="75">
        <f t="shared" si="4"/>
        <v>36541300</v>
      </c>
      <c r="Q228" s="64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35" t="s">
        <v>68</v>
      </c>
      <c r="B229" s="12"/>
      <c r="C229" s="47"/>
      <c r="D229" s="44" t="s">
        <v>69</v>
      </c>
      <c r="E229" s="12"/>
      <c r="F229" s="13"/>
      <c r="G229" s="22"/>
      <c r="H229" s="22"/>
      <c r="I229" s="22"/>
      <c r="J229" s="46">
        <f t="shared" ref="J229:K229" si="92">SUM(J231:J232)</f>
        <v>41836000</v>
      </c>
      <c r="K229" s="46">
        <f t="shared" si="92"/>
        <v>285000</v>
      </c>
      <c r="L229" s="26"/>
      <c r="M229" s="46">
        <f>SUM(M231:M232)</f>
        <v>5294700</v>
      </c>
      <c r="N229" s="61"/>
      <c r="O229" s="75">
        <f t="shared" si="3"/>
        <v>41551000</v>
      </c>
      <c r="P229" s="75">
        <f t="shared" si="4"/>
        <v>36541300</v>
      </c>
      <c r="Q229" s="64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22"/>
      <c r="B230" s="67"/>
      <c r="C230" s="67"/>
      <c r="D230" s="35" t="s">
        <v>23</v>
      </c>
      <c r="E230" s="12"/>
      <c r="F230" s="13"/>
      <c r="G230" s="22"/>
      <c r="H230" s="22"/>
      <c r="I230" s="22"/>
      <c r="J230" s="22"/>
      <c r="K230" s="22"/>
      <c r="L230" s="26"/>
      <c r="M230" s="22"/>
      <c r="N230" s="61"/>
      <c r="O230" s="75">
        <f t="shared" si="3"/>
        <v>0</v>
      </c>
      <c r="P230" s="75">
        <f t="shared" si="4"/>
        <v>0</v>
      </c>
      <c r="Q230" s="64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22"/>
      <c r="B231" s="67"/>
      <c r="C231" s="67"/>
      <c r="D231" s="47" t="s">
        <v>24</v>
      </c>
      <c r="E231" s="35" t="s">
        <v>94</v>
      </c>
      <c r="F231" s="13"/>
      <c r="G231" s="36">
        <v>12.0</v>
      </c>
      <c r="H231" s="36" t="s">
        <v>95</v>
      </c>
      <c r="I231" s="48">
        <v>2500000.0</v>
      </c>
      <c r="J231" s="46">
        <f t="shared" ref="J231:J232" si="93">G231*I231</f>
        <v>30000000</v>
      </c>
      <c r="K231" s="46">
        <v>285000.0</v>
      </c>
      <c r="L231" s="26"/>
      <c r="M231" s="46">
        <v>285000.0</v>
      </c>
      <c r="N231" s="61"/>
      <c r="O231" s="75">
        <f t="shared" si="3"/>
        <v>29715000</v>
      </c>
      <c r="P231" s="75">
        <f t="shared" si="4"/>
        <v>29715000</v>
      </c>
      <c r="Q231" s="64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22"/>
      <c r="B232" s="67"/>
      <c r="C232" s="67"/>
      <c r="D232" s="47" t="s">
        <v>24</v>
      </c>
      <c r="E232" s="35" t="s">
        <v>232</v>
      </c>
      <c r="F232" s="13"/>
      <c r="G232" s="36">
        <v>1.0</v>
      </c>
      <c r="H232" s="36" t="s">
        <v>97</v>
      </c>
      <c r="I232" s="48">
        <v>1.1836E7</v>
      </c>
      <c r="J232" s="46">
        <f t="shared" si="93"/>
        <v>11836000</v>
      </c>
      <c r="K232" s="46"/>
      <c r="L232" s="26"/>
      <c r="M232" s="46">
        <v>5009700.0</v>
      </c>
      <c r="N232" s="61"/>
      <c r="O232" s="75">
        <f t="shared" si="3"/>
        <v>11836000</v>
      </c>
      <c r="P232" s="75">
        <f t="shared" si="4"/>
        <v>6826300</v>
      </c>
      <c r="Q232" s="64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41" t="s">
        <v>98</v>
      </c>
      <c r="B233" s="12"/>
      <c r="C233" s="56"/>
      <c r="D233" s="41" t="s">
        <v>99</v>
      </c>
      <c r="E233" s="12"/>
      <c r="F233" s="13"/>
      <c r="G233" s="22"/>
      <c r="H233" s="22"/>
      <c r="I233" s="22"/>
      <c r="J233" s="43">
        <f t="shared" ref="J233:K233" si="94">J234+J243</f>
        <v>6760000</v>
      </c>
      <c r="K233" s="43">
        <f t="shared" si="94"/>
        <v>0</v>
      </c>
      <c r="L233" s="26"/>
      <c r="M233" s="43">
        <f>M234+M243</f>
        <v>0</v>
      </c>
      <c r="N233" s="61"/>
      <c r="O233" s="75">
        <f t="shared" si="3"/>
        <v>6760000</v>
      </c>
      <c r="P233" s="75">
        <f t="shared" si="4"/>
        <v>6760000</v>
      </c>
      <c r="Q233" s="64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35" t="s">
        <v>100</v>
      </c>
      <c r="B234" s="12"/>
      <c r="C234" s="47"/>
      <c r="D234" s="44" t="s">
        <v>101</v>
      </c>
      <c r="E234" s="12"/>
      <c r="F234" s="13"/>
      <c r="G234" s="22"/>
      <c r="H234" s="22"/>
      <c r="I234" s="22"/>
      <c r="J234" s="46">
        <f t="shared" ref="J234:K234" si="95">SUM(J236:J242)</f>
        <v>5600000</v>
      </c>
      <c r="K234" s="46">
        <f t="shared" si="95"/>
        <v>0</v>
      </c>
      <c r="L234" s="26"/>
      <c r="M234" s="46">
        <f>SUM(M236:M242)</f>
        <v>0</v>
      </c>
      <c r="N234" s="61"/>
      <c r="O234" s="75">
        <f t="shared" si="3"/>
        <v>5600000</v>
      </c>
      <c r="P234" s="75">
        <f t="shared" si="4"/>
        <v>5600000</v>
      </c>
      <c r="Q234" s="64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22"/>
      <c r="B235" s="67"/>
      <c r="C235" s="67"/>
      <c r="D235" s="35" t="s">
        <v>23</v>
      </c>
      <c r="E235" s="12"/>
      <c r="F235" s="13"/>
      <c r="G235" s="22"/>
      <c r="H235" s="22"/>
      <c r="I235" s="22"/>
      <c r="J235" s="22"/>
      <c r="K235" s="22"/>
      <c r="L235" s="26"/>
      <c r="M235" s="22"/>
      <c r="N235" s="61"/>
      <c r="O235" s="75">
        <f t="shared" si="3"/>
        <v>0</v>
      </c>
      <c r="P235" s="75">
        <f t="shared" si="4"/>
        <v>0</v>
      </c>
      <c r="Q235" s="64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22"/>
      <c r="B236" s="67"/>
      <c r="C236" s="67"/>
      <c r="D236" s="47" t="s">
        <v>24</v>
      </c>
      <c r="E236" s="35" t="s">
        <v>102</v>
      </c>
      <c r="F236" s="13"/>
      <c r="G236" s="36">
        <v>2.0</v>
      </c>
      <c r="H236" s="36" t="s">
        <v>95</v>
      </c>
      <c r="I236" s="48">
        <v>350000.0</v>
      </c>
      <c r="J236" s="46">
        <f t="shared" ref="J236:J242" si="96">G236*I236</f>
        <v>700000</v>
      </c>
      <c r="K236" s="46"/>
      <c r="L236" s="26"/>
      <c r="M236" s="46"/>
      <c r="N236" s="61"/>
      <c r="O236" s="75">
        <f t="shared" si="3"/>
        <v>700000</v>
      </c>
      <c r="P236" s="75">
        <f t="shared" si="4"/>
        <v>700000</v>
      </c>
      <c r="Q236" s="64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22"/>
      <c r="B237" s="67"/>
      <c r="C237" s="67"/>
      <c r="D237" s="47" t="s">
        <v>24</v>
      </c>
      <c r="E237" s="35" t="s">
        <v>103</v>
      </c>
      <c r="F237" s="13"/>
      <c r="G237" s="36">
        <v>2.0</v>
      </c>
      <c r="H237" s="36" t="s">
        <v>95</v>
      </c>
      <c r="I237" s="48">
        <v>225000.0</v>
      </c>
      <c r="J237" s="46">
        <f t="shared" si="96"/>
        <v>450000</v>
      </c>
      <c r="K237" s="46"/>
      <c r="L237" s="26"/>
      <c r="M237" s="46"/>
      <c r="N237" s="61"/>
      <c r="O237" s="75">
        <f t="shared" si="3"/>
        <v>450000</v>
      </c>
      <c r="P237" s="75">
        <f t="shared" si="4"/>
        <v>450000</v>
      </c>
      <c r="Q237" s="64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22"/>
      <c r="B238" s="67"/>
      <c r="C238" s="67"/>
      <c r="D238" s="47" t="s">
        <v>24</v>
      </c>
      <c r="E238" s="35" t="s">
        <v>104</v>
      </c>
      <c r="F238" s="13"/>
      <c r="G238" s="36">
        <v>2.0</v>
      </c>
      <c r="H238" s="36" t="s">
        <v>95</v>
      </c>
      <c r="I238" s="48">
        <v>450000.0</v>
      </c>
      <c r="J238" s="46">
        <f t="shared" si="96"/>
        <v>900000</v>
      </c>
      <c r="K238" s="46"/>
      <c r="L238" s="26"/>
      <c r="M238" s="46"/>
      <c r="N238" s="61"/>
      <c r="O238" s="75">
        <f t="shared" si="3"/>
        <v>900000</v>
      </c>
      <c r="P238" s="75">
        <f t="shared" si="4"/>
        <v>900000</v>
      </c>
      <c r="Q238" s="64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22"/>
      <c r="B239" s="67"/>
      <c r="C239" s="67"/>
      <c r="D239" s="47" t="s">
        <v>24</v>
      </c>
      <c r="E239" s="35" t="s">
        <v>105</v>
      </c>
      <c r="F239" s="13"/>
      <c r="G239" s="36">
        <v>2.0</v>
      </c>
      <c r="H239" s="36" t="s">
        <v>95</v>
      </c>
      <c r="I239" s="48">
        <v>250000.0</v>
      </c>
      <c r="J239" s="46">
        <f t="shared" si="96"/>
        <v>500000</v>
      </c>
      <c r="K239" s="46"/>
      <c r="L239" s="26"/>
      <c r="M239" s="46"/>
      <c r="N239" s="61"/>
      <c r="O239" s="75">
        <f t="shared" si="3"/>
        <v>500000</v>
      </c>
      <c r="P239" s="75">
        <f t="shared" si="4"/>
        <v>500000</v>
      </c>
      <c r="Q239" s="64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22"/>
      <c r="B240" s="67"/>
      <c r="C240" s="67"/>
      <c r="D240" s="47" t="s">
        <v>24</v>
      </c>
      <c r="E240" s="35" t="s">
        <v>106</v>
      </c>
      <c r="F240" s="13"/>
      <c r="G240" s="36">
        <v>2.0</v>
      </c>
      <c r="H240" s="36" t="s">
        <v>95</v>
      </c>
      <c r="I240" s="48">
        <v>100000.0</v>
      </c>
      <c r="J240" s="46">
        <f t="shared" si="96"/>
        <v>200000</v>
      </c>
      <c r="K240" s="46"/>
      <c r="L240" s="26"/>
      <c r="M240" s="46"/>
      <c r="N240" s="61"/>
      <c r="O240" s="75">
        <f t="shared" si="3"/>
        <v>200000</v>
      </c>
      <c r="P240" s="75">
        <f t="shared" si="4"/>
        <v>200000</v>
      </c>
      <c r="Q240" s="64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22"/>
      <c r="B241" s="67"/>
      <c r="C241" s="67"/>
      <c r="D241" s="47" t="s">
        <v>24</v>
      </c>
      <c r="E241" s="35" t="s">
        <v>107</v>
      </c>
      <c r="F241" s="13"/>
      <c r="G241" s="36">
        <v>2.0</v>
      </c>
      <c r="H241" s="36" t="s">
        <v>95</v>
      </c>
      <c r="I241" s="48">
        <v>725000.0</v>
      </c>
      <c r="J241" s="46">
        <f t="shared" si="96"/>
        <v>1450000</v>
      </c>
      <c r="K241" s="46"/>
      <c r="L241" s="26"/>
      <c r="M241" s="46"/>
      <c r="N241" s="61"/>
      <c r="O241" s="75">
        <f t="shared" si="3"/>
        <v>1450000</v>
      </c>
      <c r="P241" s="75">
        <f t="shared" si="4"/>
        <v>1450000</v>
      </c>
      <c r="Q241" s="64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22"/>
      <c r="B242" s="67"/>
      <c r="C242" s="67"/>
      <c r="D242" s="47" t="s">
        <v>24</v>
      </c>
      <c r="E242" s="35" t="s">
        <v>108</v>
      </c>
      <c r="F242" s="13"/>
      <c r="G242" s="36">
        <v>2.0</v>
      </c>
      <c r="H242" s="36" t="s">
        <v>95</v>
      </c>
      <c r="I242" s="48">
        <v>700000.0</v>
      </c>
      <c r="J242" s="46">
        <f t="shared" si="96"/>
        <v>1400000</v>
      </c>
      <c r="K242" s="46"/>
      <c r="L242" s="26"/>
      <c r="M242" s="46"/>
      <c r="N242" s="61"/>
      <c r="O242" s="75">
        <f t="shared" si="3"/>
        <v>1400000</v>
      </c>
      <c r="P242" s="75">
        <f t="shared" si="4"/>
        <v>1400000</v>
      </c>
      <c r="Q242" s="64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35" t="s">
        <v>68</v>
      </c>
      <c r="B243" s="12"/>
      <c r="C243" s="47"/>
      <c r="D243" s="44" t="s">
        <v>69</v>
      </c>
      <c r="E243" s="12"/>
      <c r="F243" s="13"/>
      <c r="G243" s="22"/>
      <c r="H243" s="22"/>
      <c r="I243" s="22"/>
      <c r="J243" s="46">
        <f t="shared" ref="J243:K243" si="97">SUM(J245:J248)</f>
        <v>1160000</v>
      </c>
      <c r="K243" s="46">
        <f t="shared" si="97"/>
        <v>0</v>
      </c>
      <c r="L243" s="26"/>
      <c r="M243" s="46">
        <f>SUM(M245:M248)</f>
        <v>0</v>
      </c>
      <c r="N243" s="61"/>
      <c r="O243" s="75">
        <f t="shared" si="3"/>
        <v>1160000</v>
      </c>
      <c r="P243" s="75">
        <f t="shared" si="4"/>
        <v>1160000</v>
      </c>
      <c r="Q243" s="64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22"/>
      <c r="B244" s="67"/>
      <c r="C244" s="67"/>
      <c r="D244" s="35" t="s">
        <v>23</v>
      </c>
      <c r="E244" s="12"/>
      <c r="F244" s="13"/>
      <c r="G244" s="22"/>
      <c r="H244" s="22"/>
      <c r="I244" s="22"/>
      <c r="J244" s="22"/>
      <c r="K244" s="22"/>
      <c r="L244" s="26"/>
      <c r="M244" s="22"/>
      <c r="N244" s="61"/>
      <c r="O244" s="75">
        <f t="shared" si="3"/>
        <v>0</v>
      </c>
      <c r="P244" s="75">
        <f t="shared" si="4"/>
        <v>0</v>
      </c>
      <c r="Q244" s="64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22"/>
      <c r="B245" s="67"/>
      <c r="C245" s="67"/>
      <c r="D245" s="47" t="s">
        <v>24</v>
      </c>
      <c r="E245" s="35" t="s">
        <v>109</v>
      </c>
      <c r="F245" s="13"/>
      <c r="G245" s="36">
        <v>10.0</v>
      </c>
      <c r="H245" s="36" t="s">
        <v>95</v>
      </c>
      <c r="I245" s="48">
        <v>50000.0</v>
      </c>
      <c r="J245" s="46">
        <f t="shared" ref="J245:J248" si="98">G245*I245</f>
        <v>500000</v>
      </c>
      <c r="K245" s="46"/>
      <c r="L245" s="26"/>
      <c r="M245" s="46"/>
      <c r="N245" s="61"/>
      <c r="O245" s="75">
        <f t="shared" si="3"/>
        <v>500000</v>
      </c>
      <c r="P245" s="75">
        <f t="shared" si="4"/>
        <v>500000</v>
      </c>
      <c r="Q245" s="64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22"/>
      <c r="B246" s="67"/>
      <c r="C246" s="67"/>
      <c r="D246" s="47" t="s">
        <v>24</v>
      </c>
      <c r="E246" s="35" t="s">
        <v>110</v>
      </c>
      <c r="F246" s="13"/>
      <c r="G246" s="36">
        <v>2.0</v>
      </c>
      <c r="H246" s="36" t="s">
        <v>95</v>
      </c>
      <c r="I246" s="48">
        <v>100000.0</v>
      </c>
      <c r="J246" s="46">
        <f t="shared" si="98"/>
        <v>200000</v>
      </c>
      <c r="K246" s="46"/>
      <c r="L246" s="26"/>
      <c r="M246" s="46"/>
      <c r="N246" s="61"/>
      <c r="O246" s="75">
        <f t="shared" si="3"/>
        <v>200000</v>
      </c>
      <c r="P246" s="75">
        <f t="shared" si="4"/>
        <v>200000</v>
      </c>
      <c r="Q246" s="64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22"/>
      <c r="B247" s="67"/>
      <c r="C247" s="67"/>
      <c r="D247" s="47" t="s">
        <v>24</v>
      </c>
      <c r="E247" s="35" t="s">
        <v>111</v>
      </c>
      <c r="F247" s="13"/>
      <c r="G247" s="36">
        <v>2.0</v>
      </c>
      <c r="H247" s="36" t="s">
        <v>95</v>
      </c>
      <c r="I247" s="48">
        <v>200000.0</v>
      </c>
      <c r="J247" s="46">
        <f t="shared" si="98"/>
        <v>400000</v>
      </c>
      <c r="K247" s="46"/>
      <c r="L247" s="26"/>
      <c r="M247" s="46"/>
      <c r="N247" s="61"/>
      <c r="O247" s="75">
        <f t="shared" si="3"/>
        <v>400000</v>
      </c>
      <c r="P247" s="75">
        <f t="shared" si="4"/>
        <v>400000</v>
      </c>
      <c r="Q247" s="64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22"/>
      <c r="B248" s="67"/>
      <c r="C248" s="67"/>
      <c r="D248" s="47" t="s">
        <v>24</v>
      </c>
      <c r="E248" s="35" t="s">
        <v>112</v>
      </c>
      <c r="F248" s="13"/>
      <c r="G248" s="36">
        <v>2.0</v>
      </c>
      <c r="H248" s="36" t="s">
        <v>95</v>
      </c>
      <c r="I248" s="48">
        <v>30000.0</v>
      </c>
      <c r="J248" s="46">
        <f t="shared" si="98"/>
        <v>60000</v>
      </c>
      <c r="K248" s="46"/>
      <c r="L248" s="26"/>
      <c r="M248" s="46"/>
      <c r="N248" s="61"/>
      <c r="O248" s="75">
        <f t="shared" si="3"/>
        <v>60000</v>
      </c>
      <c r="P248" s="75">
        <f t="shared" si="4"/>
        <v>60000</v>
      </c>
      <c r="Q248" s="64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41" t="s">
        <v>113</v>
      </c>
      <c r="B249" s="12"/>
      <c r="C249" s="56"/>
      <c r="D249" s="41" t="s">
        <v>114</v>
      </c>
      <c r="E249" s="12"/>
      <c r="F249" s="13"/>
      <c r="G249" s="22"/>
      <c r="H249" s="22"/>
      <c r="I249" s="22"/>
      <c r="J249" s="43">
        <f t="shared" ref="J249:K249" si="99">J250</f>
        <v>410750000</v>
      </c>
      <c r="K249" s="43">
        <f t="shared" si="99"/>
        <v>0</v>
      </c>
      <c r="L249" s="26"/>
      <c r="M249" s="43">
        <f>M250</f>
        <v>1831000</v>
      </c>
      <c r="N249" s="61"/>
      <c r="O249" s="75">
        <f t="shared" si="3"/>
        <v>410750000</v>
      </c>
      <c r="P249" s="75">
        <f t="shared" si="4"/>
        <v>408919000</v>
      </c>
      <c r="Q249" s="64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35" t="s">
        <v>68</v>
      </c>
      <c r="B250" s="12"/>
      <c r="C250" s="47"/>
      <c r="D250" s="44" t="s">
        <v>69</v>
      </c>
      <c r="E250" s="12"/>
      <c r="F250" s="13"/>
      <c r="G250" s="22"/>
      <c r="H250" s="22"/>
      <c r="I250" s="22"/>
      <c r="J250" s="46">
        <f t="shared" ref="J250:K250" si="100">SUM(J252:J262)</f>
        <v>410750000</v>
      </c>
      <c r="K250" s="46">
        <f t="shared" si="100"/>
        <v>0</v>
      </c>
      <c r="L250" s="26"/>
      <c r="M250" s="46">
        <f>SUM(M252:M262)</f>
        <v>1831000</v>
      </c>
      <c r="N250" s="61"/>
      <c r="O250" s="75">
        <f t="shared" si="3"/>
        <v>410750000</v>
      </c>
      <c r="P250" s="75">
        <f t="shared" si="4"/>
        <v>408919000</v>
      </c>
      <c r="Q250" s="64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22"/>
      <c r="B251" s="67"/>
      <c r="C251" s="67"/>
      <c r="D251" s="35" t="s">
        <v>23</v>
      </c>
      <c r="E251" s="12"/>
      <c r="F251" s="13"/>
      <c r="G251" s="22"/>
      <c r="H251" s="22"/>
      <c r="I251" s="22"/>
      <c r="J251" s="22"/>
      <c r="K251" s="22"/>
      <c r="L251" s="26"/>
      <c r="M251" s="22"/>
      <c r="N251" s="61"/>
      <c r="O251" s="75">
        <f t="shared" si="3"/>
        <v>0</v>
      </c>
      <c r="P251" s="75">
        <f t="shared" si="4"/>
        <v>0</v>
      </c>
      <c r="Q251" s="64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22"/>
      <c r="B252" s="67"/>
      <c r="C252" s="67"/>
      <c r="D252" s="47" t="s">
        <v>24</v>
      </c>
      <c r="E252" s="35" t="s">
        <v>172</v>
      </c>
      <c r="F252" s="13"/>
      <c r="G252" s="36">
        <v>100.0</v>
      </c>
      <c r="H252" s="36" t="s">
        <v>95</v>
      </c>
      <c r="I252" s="48">
        <v>110000.0</v>
      </c>
      <c r="J252" s="46">
        <f t="shared" ref="J252:J262" si="101">G252*I252</f>
        <v>11000000</v>
      </c>
      <c r="K252" s="46"/>
      <c r="L252" s="26"/>
      <c r="M252" s="46"/>
      <c r="N252" s="61"/>
      <c r="O252" s="75">
        <f t="shared" si="3"/>
        <v>11000000</v>
      </c>
      <c r="P252" s="75">
        <f t="shared" si="4"/>
        <v>11000000</v>
      </c>
      <c r="Q252" s="64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22"/>
      <c r="B253" s="67"/>
      <c r="C253" s="67"/>
      <c r="D253" s="47" t="s">
        <v>24</v>
      </c>
      <c r="E253" s="35" t="s">
        <v>173</v>
      </c>
      <c r="F253" s="13"/>
      <c r="G253" s="36">
        <v>100.0</v>
      </c>
      <c r="H253" s="36" t="s">
        <v>95</v>
      </c>
      <c r="I253" s="48">
        <v>120000.0</v>
      </c>
      <c r="J253" s="46">
        <f t="shared" si="101"/>
        <v>12000000</v>
      </c>
      <c r="K253" s="46"/>
      <c r="L253" s="26"/>
      <c r="M253" s="46"/>
      <c r="N253" s="61"/>
      <c r="O253" s="75">
        <f t="shared" si="3"/>
        <v>12000000</v>
      </c>
      <c r="P253" s="75">
        <f t="shared" si="4"/>
        <v>12000000</v>
      </c>
      <c r="Q253" s="64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22"/>
      <c r="B254" s="67"/>
      <c r="C254" s="67"/>
      <c r="D254" s="47" t="s">
        <v>24</v>
      </c>
      <c r="E254" s="35" t="s">
        <v>174</v>
      </c>
      <c r="F254" s="13"/>
      <c r="G254" s="36">
        <v>100.0</v>
      </c>
      <c r="H254" s="36" t="s">
        <v>95</v>
      </c>
      <c r="I254" s="48">
        <v>150000.0</v>
      </c>
      <c r="J254" s="46">
        <f t="shared" si="101"/>
        <v>15000000</v>
      </c>
      <c r="K254" s="46"/>
      <c r="L254" s="26"/>
      <c r="M254" s="46"/>
      <c r="N254" s="61"/>
      <c r="O254" s="75">
        <f t="shared" si="3"/>
        <v>15000000</v>
      </c>
      <c r="P254" s="75">
        <f t="shared" si="4"/>
        <v>15000000</v>
      </c>
      <c r="Q254" s="64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22"/>
      <c r="B255" s="67"/>
      <c r="C255" s="67"/>
      <c r="D255" s="47" t="s">
        <v>24</v>
      </c>
      <c r="E255" s="35" t="s">
        <v>175</v>
      </c>
      <c r="F255" s="13"/>
      <c r="G255" s="36">
        <v>100.0</v>
      </c>
      <c r="H255" s="36" t="s">
        <v>95</v>
      </c>
      <c r="I255" s="48">
        <v>100000.0</v>
      </c>
      <c r="J255" s="46">
        <f t="shared" si="101"/>
        <v>10000000</v>
      </c>
      <c r="K255" s="46"/>
      <c r="L255" s="26"/>
      <c r="M255" s="46"/>
      <c r="N255" s="61"/>
      <c r="O255" s="75">
        <f t="shared" si="3"/>
        <v>10000000</v>
      </c>
      <c r="P255" s="75">
        <f t="shared" si="4"/>
        <v>10000000</v>
      </c>
      <c r="Q255" s="64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22"/>
      <c r="B256" s="67"/>
      <c r="C256" s="67"/>
      <c r="D256" s="47" t="s">
        <v>24</v>
      </c>
      <c r="E256" s="35" t="s">
        <v>176</v>
      </c>
      <c r="F256" s="13"/>
      <c r="G256" s="36">
        <v>100.0</v>
      </c>
      <c r="H256" s="36" t="s">
        <v>95</v>
      </c>
      <c r="I256" s="48">
        <v>350000.0</v>
      </c>
      <c r="J256" s="46">
        <f t="shared" si="101"/>
        <v>35000000</v>
      </c>
      <c r="K256" s="46"/>
      <c r="L256" s="26"/>
      <c r="M256" s="46">
        <v>1831000.0</v>
      </c>
      <c r="N256" s="61"/>
      <c r="O256" s="75">
        <f t="shared" si="3"/>
        <v>35000000</v>
      </c>
      <c r="P256" s="75">
        <f t="shared" si="4"/>
        <v>33169000</v>
      </c>
      <c r="Q256" s="64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22"/>
      <c r="B257" s="67"/>
      <c r="C257" s="67"/>
      <c r="D257" s="47" t="s">
        <v>24</v>
      </c>
      <c r="E257" s="35" t="s">
        <v>177</v>
      </c>
      <c r="F257" s="13"/>
      <c r="G257" s="36">
        <v>50.0</v>
      </c>
      <c r="H257" s="36" t="s">
        <v>95</v>
      </c>
      <c r="I257" s="48">
        <v>175000.0</v>
      </c>
      <c r="J257" s="46">
        <f t="shared" si="101"/>
        <v>8750000</v>
      </c>
      <c r="K257" s="46"/>
      <c r="L257" s="26"/>
      <c r="M257" s="46"/>
      <c r="N257" s="61"/>
      <c r="O257" s="75">
        <f t="shared" si="3"/>
        <v>8750000</v>
      </c>
      <c r="P257" s="75">
        <f t="shared" si="4"/>
        <v>8750000</v>
      </c>
      <c r="Q257" s="64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22"/>
      <c r="B258" s="67"/>
      <c r="C258" s="67"/>
      <c r="D258" s="47" t="s">
        <v>24</v>
      </c>
      <c r="E258" s="35" t="s">
        <v>178</v>
      </c>
      <c r="F258" s="13"/>
      <c r="G258" s="36">
        <v>350.0</v>
      </c>
      <c r="H258" s="36" t="s">
        <v>95</v>
      </c>
      <c r="I258" s="48">
        <v>150000.0</v>
      </c>
      <c r="J258" s="46">
        <f t="shared" si="101"/>
        <v>52500000</v>
      </c>
      <c r="K258" s="46"/>
      <c r="L258" s="26"/>
      <c r="M258" s="46"/>
      <c r="N258" s="61"/>
      <c r="O258" s="75">
        <f t="shared" si="3"/>
        <v>52500000</v>
      </c>
      <c r="P258" s="75">
        <f t="shared" si="4"/>
        <v>52500000</v>
      </c>
      <c r="Q258" s="64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22"/>
      <c r="B259" s="67"/>
      <c r="C259" s="67"/>
      <c r="D259" s="47" t="s">
        <v>24</v>
      </c>
      <c r="E259" s="35" t="s">
        <v>179</v>
      </c>
      <c r="F259" s="13"/>
      <c r="G259" s="36">
        <v>350.0</v>
      </c>
      <c r="H259" s="36" t="s">
        <v>95</v>
      </c>
      <c r="I259" s="48">
        <v>200000.0</v>
      </c>
      <c r="J259" s="46">
        <f t="shared" si="101"/>
        <v>70000000</v>
      </c>
      <c r="K259" s="46"/>
      <c r="L259" s="26"/>
      <c r="M259" s="46"/>
      <c r="N259" s="61"/>
      <c r="O259" s="75">
        <f t="shared" si="3"/>
        <v>70000000</v>
      </c>
      <c r="P259" s="75">
        <f t="shared" si="4"/>
        <v>70000000</v>
      </c>
      <c r="Q259" s="64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22"/>
      <c r="B260" s="67"/>
      <c r="C260" s="67"/>
      <c r="D260" s="47" t="s">
        <v>24</v>
      </c>
      <c r="E260" s="35" t="s">
        <v>180</v>
      </c>
      <c r="F260" s="13"/>
      <c r="G260" s="36">
        <v>600.0</v>
      </c>
      <c r="H260" s="36" t="s">
        <v>95</v>
      </c>
      <c r="I260" s="48">
        <v>250000.0</v>
      </c>
      <c r="J260" s="46">
        <f t="shared" si="101"/>
        <v>150000000</v>
      </c>
      <c r="K260" s="46"/>
      <c r="L260" s="26"/>
      <c r="M260" s="46"/>
      <c r="N260" s="61"/>
      <c r="O260" s="75">
        <f t="shared" si="3"/>
        <v>150000000</v>
      </c>
      <c r="P260" s="75">
        <f t="shared" si="4"/>
        <v>150000000</v>
      </c>
      <c r="Q260" s="64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22"/>
      <c r="B261" s="67"/>
      <c r="C261" s="67"/>
      <c r="D261" s="47" t="s">
        <v>24</v>
      </c>
      <c r="E261" s="35" t="s">
        <v>181</v>
      </c>
      <c r="F261" s="13"/>
      <c r="G261" s="36">
        <v>360.0</v>
      </c>
      <c r="H261" s="36" t="s">
        <v>95</v>
      </c>
      <c r="I261" s="48">
        <v>100000.0</v>
      </c>
      <c r="J261" s="46">
        <f t="shared" si="101"/>
        <v>36000000</v>
      </c>
      <c r="K261" s="46"/>
      <c r="L261" s="26"/>
      <c r="M261" s="46"/>
      <c r="N261" s="61"/>
      <c r="O261" s="75">
        <f t="shared" si="3"/>
        <v>36000000</v>
      </c>
      <c r="P261" s="75">
        <f t="shared" si="4"/>
        <v>36000000</v>
      </c>
      <c r="Q261" s="64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22"/>
      <c r="B262" s="67"/>
      <c r="C262" s="67"/>
      <c r="D262" s="47" t="s">
        <v>24</v>
      </c>
      <c r="E262" s="35" t="s">
        <v>182</v>
      </c>
      <c r="F262" s="13"/>
      <c r="G262" s="36">
        <v>210.0</v>
      </c>
      <c r="H262" s="36" t="s">
        <v>95</v>
      </c>
      <c r="I262" s="48">
        <v>50000.0</v>
      </c>
      <c r="J262" s="46">
        <f t="shared" si="101"/>
        <v>10500000</v>
      </c>
      <c r="K262" s="46"/>
      <c r="L262" s="26"/>
      <c r="M262" s="46"/>
      <c r="N262" s="61"/>
      <c r="O262" s="75">
        <f t="shared" si="3"/>
        <v>10500000</v>
      </c>
      <c r="P262" s="75">
        <f t="shared" si="4"/>
        <v>10500000</v>
      </c>
      <c r="Q262" s="64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41" t="s">
        <v>126</v>
      </c>
      <c r="B263" s="12"/>
      <c r="C263" s="56"/>
      <c r="D263" s="41" t="s">
        <v>127</v>
      </c>
      <c r="E263" s="12"/>
      <c r="F263" s="13"/>
      <c r="G263" s="22"/>
      <c r="H263" s="22"/>
      <c r="I263" s="22"/>
      <c r="J263" s="43">
        <f t="shared" ref="J263:K263" si="102">J264</f>
        <v>190740000</v>
      </c>
      <c r="K263" s="43">
        <f t="shared" si="102"/>
        <v>0</v>
      </c>
      <c r="L263" s="26"/>
      <c r="M263" s="43">
        <f>M264</f>
        <v>0</v>
      </c>
      <c r="N263" s="61"/>
      <c r="O263" s="75">
        <f t="shared" si="3"/>
        <v>190740000</v>
      </c>
      <c r="P263" s="75">
        <f t="shared" si="4"/>
        <v>190740000</v>
      </c>
      <c r="Q263" s="64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35" t="s">
        <v>68</v>
      </c>
      <c r="B264" s="12"/>
      <c r="C264" s="47"/>
      <c r="D264" s="44" t="s">
        <v>69</v>
      </c>
      <c r="E264" s="12"/>
      <c r="F264" s="13"/>
      <c r="G264" s="22"/>
      <c r="H264" s="22"/>
      <c r="I264" s="22"/>
      <c r="J264" s="46">
        <f t="shared" ref="J264:K264" si="103">SUM(J266:J270)</f>
        <v>190740000</v>
      </c>
      <c r="K264" s="46">
        <f t="shared" si="103"/>
        <v>0</v>
      </c>
      <c r="L264" s="26"/>
      <c r="M264" s="46">
        <f>SUM(M266:M270)</f>
        <v>0</v>
      </c>
      <c r="N264" s="61"/>
      <c r="O264" s="75">
        <f t="shared" si="3"/>
        <v>190740000</v>
      </c>
      <c r="P264" s="75">
        <f t="shared" si="4"/>
        <v>190740000</v>
      </c>
      <c r="Q264" s="64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22"/>
      <c r="B265" s="67"/>
      <c r="C265" s="67"/>
      <c r="D265" s="35" t="s">
        <v>23</v>
      </c>
      <c r="E265" s="12"/>
      <c r="F265" s="13"/>
      <c r="G265" s="22"/>
      <c r="H265" s="22"/>
      <c r="I265" s="22"/>
      <c r="J265" s="22"/>
      <c r="K265" s="22"/>
      <c r="L265" s="26"/>
      <c r="M265" s="22"/>
      <c r="N265" s="61"/>
      <c r="O265" s="75">
        <f t="shared" si="3"/>
        <v>0</v>
      </c>
      <c r="P265" s="75">
        <f t="shared" si="4"/>
        <v>0</v>
      </c>
      <c r="Q265" s="64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22"/>
      <c r="B266" s="67"/>
      <c r="C266" s="67"/>
      <c r="D266" s="47" t="s">
        <v>24</v>
      </c>
      <c r="E266" s="35" t="s">
        <v>128</v>
      </c>
      <c r="F266" s="13"/>
      <c r="G266" s="36">
        <v>88.0</v>
      </c>
      <c r="H266" s="36" t="s">
        <v>233</v>
      </c>
      <c r="I266" s="48">
        <v>110000.0</v>
      </c>
      <c r="J266" s="46">
        <f t="shared" ref="J266:J270" si="104">G266*I266</f>
        <v>9680000</v>
      </c>
      <c r="K266" s="46"/>
      <c r="L266" s="26"/>
      <c r="M266" s="46"/>
      <c r="N266" s="61"/>
      <c r="O266" s="75">
        <f t="shared" si="3"/>
        <v>9680000</v>
      </c>
      <c r="P266" s="75">
        <f t="shared" si="4"/>
        <v>9680000</v>
      </c>
      <c r="Q266" s="64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22"/>
      <c r="B267" s="67"/>
      <c r="C267" s="67"/>
      <c r="D267" s="47" t="s">
        <v>24</v>
      </c>
      <c r="E267" s="35" t="s">
        <v>130</v>
      </c>
      <c r="F267" s="13"/>
      <c r="G267" s="36">
        <v>88.0</v>
      </c>
      <c r="H267" s="36" t="s">
        <v>233</v>
      </c>
      <c r="I267" s="48">
        <v>120000.0</v>
      </c>
      <c r="J267" s="46">
        <f t="shared" si="104"/>
        <v>10560000</v>
      </c>
      <c r="K267" s="46"/>
      <c r="L267" s="26"/>
      <c r="M267" s="46"/>
      <c r="N267" s="61"/>
      <c r="O267" s="75">
        <f t="shared" si="3"/>
        <v>10560000</v>
      </c>
      <c r="P267" s="75">
        <f t="shared" si="4"/>
        <v>10560000</v>
      </c>
      <c r="Q267" s="64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22"/>
      <c r="B268" s="67"/>
      <c r="C268" s="67"/>
      <c r="D268" s="47" t="s">
        <v>24</v>
      </c>
      <c r="E268" s="35" t="s">
        <v>131</v>
      </c>
      <c r="F268" s="13"/>
      <c r="G268" s="36">
        <v>88.0</v>
      </c>
      <c r="H268" s="36" t="s">
        <v>233</v>
      </c>
      <c r="I268" s="48">
        <v>350000.0</v>
      </c>
      <c r="J268" s="46">
        <f t="shared" si="104"/>
        <v>30800000</v>
      </c>
      <c r="K268" s="46"/>
      <c r="L268" s="26"/>
      <c r="M268" s="46"/>
      <c r="N268" s="61"/>
      <c r="O268" s="75">
        <f t="shared" si="3"/>
        <v>30800000</v>
      </c>
      <c r="P268" s="75">
        <f t="shared" si="4"/>
        <v>30800000</v>
      </c>
      <c r="Q268" s="64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22"/>
      <c r="B269" s="67"/>
      <c r="C269" s="67"/>
      <c r="D269" s="47" t="s">
        <v>24</v>
      </c>
      <c r="E269" s="35" t="s">
        <v>132</v>
      </c>
      <c r="F269" s="13"/>
      <c r="G269" s="36">
        <v>44.0</v>
      </c>
      <c r="H269" s="36" t="s">
        <v>233</v>
      </c>
      <c r="I269" s="48">
        <v>175000.0</v>
      </c>
      <c r="J269" s="46">
        <f t="shared" si="104"/>
        <v>7700000</v>
      </c>
      <c r="K269" s="46"/>
      <c r="L269" s="26"/>
      <c r="M269" s="46"/>
      <c r="N269" s="61"/>
      <c r="O269" s="75">
        <f t="shared" si="3"/>
        <v>7700000</v>
      </c>
      <c r="P269" s="75">
        <f t="shared" si="4"/>
        <v>7700000</v>
      </c>
      <c r="Q269" s="64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22"/>
      <c r="B270" s="67"/>
      <c r="C270" s="67"/>
      <c r="D270" s="47" t="s">
        <v>24</v>
      </c>
      <c r="E270" s="35" t="s">
        <v>133</v>
      </c>
      <c r="F270" s="13"/>
      <c r="G270" s="36">
        <v>528.0</v>
      </c>
      <c r="H270" s="36" t="s">
        <v>233</v>
      </c>
      <c r="I270" s="48">
        <v>250000.0</v>
      </c>
      <c r="J270" s="46">
        <f t="shared" si="104"/>
        <v>132000000</v>
      </c>
      <c r="K270" s="46"/>
      <c r="L270" s="26"/>
      <c r="M270" s="46"/>
      <c r="N270" s="61"/>
      <c r="O270" s="75">
        <f t="shared" si="3"/>
        <v>132000000</v>
      </c>
      <c r="P270" s="75">
        <f t="shared" si="4"/>
        <v>132000000</v>
      </c>
      <c r="Q270" s="64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41" t="s">
        <v>134</v>
      </c>
      <c r="B271" s="12"/>
      <c r="C271" s="56"/>
      <c r="D271" s="41" t="s">
        <v>135</v>
      </c>
      <c r="E271" s="12"/>
      <c r="F271" s="13"/>
      <c r="G271" s="22"/>
      <c r="H271" s="22"/>
      <c r="I271" s="22"/>
      <c r="J271" s="43">
        <f t="shared" ref="J271:K271" si="105">J272</f>
        <v>20020000</v>
      </c>
      <c r="K271" s="43">
        <f t="shared" si="105"/>
        <v>0</v>
      </c>
      <c r="L271" s="26"/>
      <c r="M271" s="43">
        <f>M272</f>
        <v>0</v>
      </c>
      <c r="N271" s="61"/>
      <c r="O271" s="75">
        <f t="shared" si="3"/>
        <v>20020000</v>
      </c>
      <c r="P271" s="75">
        <f t="shared" si="4"/>
        <v>20020000</v>
      </c>
      <c r="Q271" s="64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35" t="s">
        <v>68</v>
      </c>
      <c r="B272" s="12"/>
      <c r="C272" s="47"/>
      <c r="D272" s="44" t="s">
        <v>69</v>
      </c>
      <c r="E272" s="12"/>
      <c r="F272" s="13"/>
      <c r="G272" s="22"/>
      <c r="H272" s="22"/>
      <c r="I272" s="22"/>
      <c r="J272" s="46">
        <f t="shared" ref="J272:K272" si="106">SUM(J274:J278)</f>
        <v>20020000</v>
      </c>
      <c r="K272" s="46">
        <f t="shared" si="106"/>
        <v>0</v>
      </c>
      <c r="L272" s="26"/>
      <c r="M272" s="46">
        <f>SUM(M274:M278)</f>
        <v>0</v>
      </c>
      <c r="N272" s="61"/>
      <c r="O272" s="75">
        <f t="shared" si="3"/>
        <v>20020000</v>
      </c>
      <c r="P272" s="75">
        <f t="shared" si="4"/>
        <v>20020000</v>
      </c>
      <c r="Q272" s="64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22"/>
      <c r="B273" s="67"/>
      <c r="C273" s="67"/>
      <c r="D273" s="35" t="s">
        <v>23</v>
      </c>
      <c r="E273" s="12"/>
      <c r="F273" s="13"/>
      <c r="G273" s="22"/>
      <c r="H273" s="22"/>
      <c r="I273" s="22"/>
      <c r="J273" s="22"/>
      <c r="K273" s="22"/>
      <c r="L273" s="26"/>
      <c r="M273" s="22"/>
      <c r="N273" s="61"/>
      <c r="O273" s="75">
        <f t="shared" si="3"/>
        <v>0</v>
      </c>
      <c r="P273" s="75">
        <f t="shared" si="4"/>
        <v>0</v>
      </c>
      <c r="Q273" s="64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22"/>
      <c r="B274" s="67"/>
      <c r="C274" s="67"/>
      <c r="D274" s="47" t="s">
        <v>24</v>
      </c>
      <c r="E274" s="35" t="s">
        <v>183</v>
      </c>
      <c r="F274" s="13"/>
      <c r="G274" s="36">
        <v>150.0</v>
      </c>
      <c r="H274" s="36" t="s">
        <v>95</v>
      </c>
      <c r="I274" s="48">
        <v>75000.0</v>
      </c>
      <c r="J274" s="46">
        <f t="shared" ref="J274:J278" si="107">G274*I274</f>
        <v>11250000</v>
      </c>
      <c r="K274" s="46"/>
      <c r="L274" s="26"/>
      <c r="M274" s="46"/>
      <c r="N274" s="61"/>
      <c r="O274" s="75">
        <f t="shared" si="3"/>
        <v>11250000</v>
      </c>
      <c r="P274" s="75">
        <f t="shared" si="4"/>
        <v>11250000</v>
      </c>
      <c r="Q274" s="64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22"/>
      <c r="B275" s="67"/>
      <c r="C275" s="67"/>
      <c r="D275" s="47" t="s">
        <v>24</v>
      </c>
      <c r="E275" s="35" t="s">
        <v>137</v>
      </c>
      <c r="F275" s="13"/>
      <c r="G275" s="36">
        <v>2.0</v>
      </c>
      <c r="H275" s="36" t="s">
        <v>95</v>
      </c>
      <c r="I275" s="48">
        <v>360000.0</v>
      </c>
      <c r="J275" s="46">
        <f t="shared" si="107"/>
        <v>720000</v>
      </c>
      <c r="K275" s="46"/>
      <c r="L275" s="26"/>
      <c r="M275" s="46"/>
      <c r="N275" s="61"/>
      <c r="O275" s="75">
        <f t="shared" si="3"/>
        <v>720000</v>
      </c>
      <c r="P275" s="75">
        <f t="shared" si="4"/>
        <v>720000</v>
      </c>
      <c r="Q275" s="64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22"/>
      <c r="B276" s="67"/>
      <c r="C276" s="67"/>
      <c r="D276" s="47" t="s">
        <v>24</v>
      </c>
      <c r="E276" s="35" t="s">
        <v>184</v>
      </c>
      <c r="F276" s="13"/>
      <c r="G276" s="36">
        <v>50.0</v>
      </c>
      <c r="H276" s="36" t="s">
        <v>95</v>
      </c>
      <c r="I276" s="48">
        <v>93000.0</v>
      </c>
      <c r="J276" s="46">
        <f t="shared" si="107"/>
        <v>4650000</v>
      </c>
      <c r="K276" s="46"/>
      <c r="L276" s="26"/>
      <c r="M276" s="46"/>
      <c r="N276" s="61"/>
      <c r="O276" s="75">
        <f t="shared" si="3"/>
        <v>4650000</v>
      </c>
      <c r="P276" s="75">
        <f t="shared" si="4"/>
        <v>4650000</v>
      </c>
      <c r="Q276" s="64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22"/>
      <c r="B277" s="67"/>
      <c r="C277" s="67"/>
      <c r="D277" s="47" t="s">
        <v>24</v>
      </c>
      <c r="E277" s="35" t="s">
        <v>185</v>
      </c>
      <c r="F277" s="13"/>
      <c r="G277" s="36">
        <v>50.0</v>
      </c>
      <c r="H277" s="36" t="s">
        <v>95</v>
      </c>
      <c r="I277" s="48">
        <v>53000.0</v>
      </c>
      <c r="J277" s="46">
        <f t="shared" si="107"/>
        <v>2650000</v>
      </c>
      <c r="K277" s="46"/>
      <c r="L277" s="26"/>
      <c r="M277" s="46"/>
      <c r="N277" s="61"/>
      <c r="O277" s="75">
        <f t="shared" si="3"/>
        <v>2650000</v>
      </c>
      <c r="P277" s="75">
        <f t="shared" si="4"/>
        <v>2650000</v>
      </c>
      <c r="Q277" s="64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22"/>
      <c r="B278" s="67"/>
      <c r="C278" s="67"/>
      <c r="D278" s="47" t="s">
        <v>24</v>
      </c>
      <c r="E278" s="35" t="s">
        <v>186</v>
      </c>
      <c r="F278" s="13"/>
      <c r="G278" s="36">
        <v>50.0</v>
      </c>
      <c r="H278" s="36" t="s">
        <v>95</v>
      </c>
      <c r="I278" s="48">
        <v>15000.0</v>
      </c>
      <c r="J278" s="46">
        <f t="shared" si="107"/>
        <v>750000</v>
      </c>
      <c r="K278" s="46"/>
      <c r="L278" s="26"/>
      <c r="M278" s="46"/>
      <c r="N278" s="61"/>
      <c r="O278" s="75">
        <f t="shared" si="3"/>
        <v>750000</v>
      </c>
      <c r="P278" s="75">
        <f t="shared" si="4"/>
        <v>750000</v>
      </c>
      <c r="Q278" s="64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41" t="s">
        <v>141</v>
      </c>
      <c r="B279" s="12"/>
      <c r="C279" s="56"/>
      <c r="D279" s="41" t="s">
        <v>142</v>
      </c>
      <c r="E279" s="12"/>
      <c r="F279" s="13"/>
      <c r="G279" s="22"/>
      <c r="H279" s="22"/>
      <c r="I279" s="22"/>
      <c r="J279" s="43">
        <f t="shared" ref="J279:K279" si="108">J280</f>
        <v>145500000</v>
      </c>
      <c r="K279" s="43">
        <f t="shared" si="108"/>
        <v>0</v>
      </c>
      <c r="L279" s="26"/>
      <c r="M279" s="43">
        <f>M280</f>
        <v>0</v>
      </c>
      <c r="N279" s="61"/>
      <c r="O279" s="75">
        <f t="shared" si="3"/>
        <v>145500000</v>
      </c>
      <c r="P279" s="75">
        <f t="shared" si="4"/>
        <v>145500000</v>
      </c>
      <c r="Q279" s="64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35" t="s">
        <v>68</v>
      </c>
      <c r="B280" s="12"/>
      <c r="C280" s="47"/>
      <c r="D280" s="44" t="s">
        <v>69</v>
      </c>
      <c r="E280" s="12"/>
      <c r="F280" s="13"/>
      <c r="G280" s="22"/>
      <c r="H280" s="22"/>
      <c r="I280" s="22"/>
      <c r="J280" s="46">
        <f t="shared" ref="J280:K280" si="109">SUM(J282:J284)</f>
        <v>145500000</v>
      </c>
      <c r="K280" s="46">
        <f t="shared" si="109"/>
        <v>0</v>
      </c>
      <c r="L280" s="26"/>
      <c r="M280" s="46">
        <f>SUM(M282:M284)</f>
        <v>0</v>
      </c>
      <c r="N280" s="61"/>
      <c r="O280" s="75">
        <f t="shared" si="3"/>
        <v>145500000</v>
      </c>
      <c r="P280" s="75">
        <f t="shared" si="4"/>
        <v>145500000</v>
      </c>
      <c r="Q280" s="64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22"/>
      <c r="B281" s="67"/>
      <c r="C281" s="67"/>
      <c r="D281" s="35" t="s">
        <v>23</v>
      </c>
      <c r="E281" s="12"/>
      <c r="F281" s="13"/>
      <c r="G281" s="22"/>
      <c r="H281" s="22"/>
      <c r="I281" s="22"/>
      <c r="J281" s="22"/>
      <c r="K281" s="22"/>
      <c r="L281" s="26"/>
      <c r="M281" s="22"/>
      <c r="N281" s="61"/>
      <c r="O281" s="75">
        <f t="shared" si="3"/>
        <v>0</v>
      </c>
      <c r="P281" s="75">
        <f t="shared" si="4"/>
        <v>0</v>
      </c>
      <c r="Q281" s="64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22"/>
      <c r="B282" s="67"/>
      <c r="C282" s="67"/>
      <c r="D282" s="47" t="s">
        <v>24</v>
      </c>
      <c r="E282" s="35" t="s">
        <v>187</v>
      </c>
      <c r="F282" s="13"/>
      <c r="G282" s="36">
        <v>50.0</v>
      </c>
      <c r="H282" s="36" t="s">
        <v>95</v>
      </c>
      <c r="I282" s="48">
        <v>2000000.0</v>
      </c>
      <c r="J282" s="46">
        <f t="shared" ref="J282:J284" si="110">G282*I282</f>
        <v>100000000</v>
      </c>
      <c r="K282" s="46"/>
      <c r="L282" s="26"/>
      <c r="M282" s="46"/>
      <c r="N282" s="61"/>
      <c r="O282" s="75">
        <f t="shared" si="3"/>
        <v>100000000</v>
      </c>
      <c r="P282" s="75">
        <f t="shared" si="4"/>
        <v>100000000</v>
      </c>
      <c r="Q282" s="64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22"/>
      <c r="B283" s="67"/>
      <c r="C283" s="67"/>
      <c r="D283" s="47" t="s">
        <v>24</v>
      </c>
      <c r="E283" s="35" t="s">
        <v>188</v>
      </c>
      <c r="F283" s="13"/>
      <c r="G283" s="36">
        <v>50.0</v>
      </c>
      <c r="H283" s="36" t="s">
        <v>95</v>
      </c>
      <c r="I283" s="48">
        <v>750000.0</v>
      </c>
      <c r="J283" s="46">
        <f t="shared" si="110"/>
        <v>37500000</v>
      </c>
      <c r="K283" s="46"/>
      <c r="L283" s="26"/>
      <c r="M283" s="46"/>
      <c r="N283" s="61"/>
      <c r="O283" s="75">
        <f t="shared" si="3"/>
        <v>37500000</v>
      </c>
      <c r="P283" s="75">
        <f t="shared" si="4"/>
        <v>37500000</v>
      </c>
      <c r="Q283" s="64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22"/>
      <c r="B284" s="67"/>
      <c r="C284" s="67"/>
      <c r="D284" s="47" t="s">
        <v>24</v>
      </c>
      <c r="E284" s="35" t="s">
        <v>145</v>
      </c>
      <c r="F284" s="13"/>
      <c r="G284" s="36">
        <v>4.0</v>
      </c>
      <c r="H284" s="36" t="s">
        <v>95</v>
      </c>
      <c r="I284" s="48">
        <v>2000000.0</v>
      </c>
      <c r="J284" s="46">
        <f t="shared" si="110"/>
        <v>8000000</v>
      </c>
      <c r="K284" s="46"/>
      <c r="L284" s="26"/>
      <c r="M284" s="46"/>
      <c r="N284" s="61"/>
      <c r="O284" s="75">
        <f t="shared" si="3"/>
        <v>8000000</v>
      </c>
      <c r="P284" s="75">
        <f t="shared" si="4"/>
        <v>8000000</v>
      </c>
      <c r="Q284" s="64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41" t="s">
        <v>146</v>
      </c>
      <c r="B285" s="12"/>
      <c r="C285" s="56"/>
      <c r="D285" s="41" t="s">
        <v>234</v>
      </c>
      <c r="E285" s="12"/>
      <c r="F285" s="13"/>
      <c r="G285" s="22"/>
      <c r="H285" s="22"/>
      <c r="I285" s="22"/>
      <c r="J285" s="43">
        <f t="shared" ref="J285:K285" si="111">J286+J293</f>
        <v>219800000</v>
      </c>
      <c r="K285" s="43">
        <f t="shared" si="111"/>
        <v>2970000</v>
      </c>
      <c r="L285" s="26"/>
      <c r="M285" s="43">
        <f>M286+M293</f>
        <v>2970000</v>
      </c>
      <c r="N285" s="61"/>
      <c r="O285" s="75">
        <f t="shared" si="3"/>
        <v>216830000</v>
      </c>
      <c r="P285" s="75">
        <f t="shared" si="4"/>
        <v>216830000</v>
      </c>
      <c r="Q285" s="64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35" t="s">
        <v>74</v>
      </c>
      <c r="B286" s="12"/>
      <c r="C286" s="13"/>
      <c r="D286" s="44" t="s">
        <v>75</v>
      </c>
      <c r="E286" s="12"/>
      <c r="F286" s="13"/>
      <c r="G286" s="22"/>
      <c r="H286" s="22"/>
      <c r="I286" s="22"/>
      <c r="J286" s="46">
        <f t="shared" ref="J286:K286" si="112">SUM(J288:J292)</f>
        <v>195800000</v>
      </c>
      <c r="K286" s="46">
        <f t="shared" si="112"/>
        <v>2970000</v>
      </c>
      <c r="L286" s="26"/>
      <c r="M286" s="46">
        <f>SUM(M288:M292)</f>
        <v>2970000</v>
      </c>
      <c r="N286" s="61"/>
      <c r="O286" s="75">
        <f t="shared" si="3"/>
        <v>192830000</v>
      </c>
      <c r="P286" s="75">
        <f t="shared" si="4"/>
        <v>192830000</v>
      </c>
      <c r="Q286" s="64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22"/>
      <c r="B287" s="67"/>
      <c r="C287" s="67"/>
      <c r="D287" s="35" t="s">
        <v>23</v>
      </c>
      <c r="E287" s="12"/>
      <c r="F287" s="13"/>
      <c r="G287" s="22"/>
      <c r="H287" s="22"/>
      <c r="I287" s="22"/>
      <c r="J287" s="22"/>
      <c r="K287" s="22"/>
      <c r="L287" s="26"/>
      <c r="M287" s="22"/>
      <c r="N287" s="61"/>
      <c r="O287" s="75">
        <f t="shared" si="3"/>
        <v>0</v>
      </c>
      <c r="P287" s="75">
        <f t="shared" si="4"/>
        <v>0</v>
      </c>
      <c r="Q287" s="64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22"/>
      <c r="B288" s="67"/>
      <c r="C288" s="67"/>
      <c r="D288" s="47" t="s">
        <v>24</v>
      </c>
      <c r="E288" s="35" t="s">
        <v>235</v>
      </c>
      <c r="F288" s="13"/>
      <c r="G288" s="36">
        <v>25.0</v>
      </c>
      <c r="H288" s="36" t="s">
        <v>26</v>
      </c>
      <c r="I288" s="48">
        <v>875000.0</v>
      </c>
      <c r="J288" s="46">
        <f t="shared" ref="J288:J292" si="113">G288*I288</f>
        <v>21875000</v>
      </c>
      <c r="K288" s="46">
        <v>1000000.0</v>
      </c>
      <c r="L288" s="26"/>
      <c r="M288" s="46">
        <v>1000000.0</v>
      </c>
      <c r="N288" s="61"/>
      <c r="O288" s="75">
        <f t="shared" si="3"/>
        <v>20875000</v>
      </c>
      <c r="P288" s="75">
        <f t="shared" si="4"/>
        <v>20875000</v>
      </c>
      <c r="Q288" s="64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22"/>
      <c r="B289" s="67"/>
      <c r="C289" s="67"/>
      <c r="D289" s="47" t="s">
        <v>24</v>
      </c>
      <c r="E289" s="35" t="s">
        <v>236</v>
      </c>
      <c r="F289" s="13"/>
      <c r="G289" s="36">
        <v>50.0</v>
      </c>
      <c r="H289" s="36" t="s">
        <v>26</v>
      </c>
      <c r="I289" s="48">
        <v>783500.0</v>
      </c>
      <c r="J289" s="46">
        <f t="shared" si="113"/>
        <v>39175000</v>
      </c>
      <c r="K289" s="46">
        <v>1000000.0</v>
      </c>
      <c r="L289" s="26"/>
      <c r="M289" s="46">
        <v>1000000.0</v>
      </c>
      <c r="N289" s="61"/>
      <c r="O289" s="75">
        <f t="shared" si="3"/>
        <v>38175000</v>
      </c>
      <c r="P289" s="75">
        <f t="shared" si="4"/>
        <v>38175000</v>
      </c>
      <c r="Q289" s="64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22"/>
      <c r="B290" s="67"/>
      <c r="C290" s="67"/>
      <c r="D290" s="47" t="s">
        <v>24</v>
      </c>
      <c r="E290" s="35" t="s">
        <v>237</v>
      </c>
      <c r="F290" s="13"/>
      <c r="G290" s="36">
        <v>75.0</v>
      </c>
      <c r="H290" s="36" t="s">
        <v>26</v>
      </c>
      <c r="I290" s="48">
        <v>430000.0</v>
      </c>
      <c r="J290" s="46">
        <f t="shared" si="113"/>
        <v>32250000</v>
      </c>
      <c r="K290" s="46">
        <v>970000.0</v>
      </c>
      <c r="L290" s="26"/>
      <c r="M290" s="46">
        <v>970000.0</v>
      </c>
      <c r="N290" s="61"/>
      <c r="O290" s="75">
        <f t="shared" si="3"/>
        <v>31280000</v>
      </c>
      <c r="P290" s="75">
        <f t="shared" si="4"/>
        <v>31280000</v>
      </c>
      <c r="Q290" s="64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22"/>
      <c r="B291" s="67"/>
      <c r="C291" s="67"/>
      <c r="D291" s="47" t="s">
        <v>24</v>
      </c>
      <c r="E291" s="35" t="s">
        <v>238</v>
      </c>
      <c r="F291" s="13"/>
      <c r="G291" s="36">
        <v>100.0</v>
      </c>
      <c r="H291" s="36" t="s">
        <v>26</v>
      </c>
      <c r="I291" s="48">
        <v>500000.0</v>
      </c>
      <c r="J291" s="46">
        <f t="shared" si="113"/>
        <v>50000000</v>
      </c>
      <c r="K291" s="46"/>
      <c r="L291" s="26"/>
      <c r="M291" s="46"/>
      <c r="N291" s="61"/>
      <c r="O291" s="75">
        <f t="shared" si="3"/>
        <v>50000000</v>
      </c>
      <c r="P291" s="75">
        <f t="shared" si="4"/>
        <v>50000000</v>
      </c>
      <c r="Q291" s="64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22"/>
      <c r="B292" s="67"/>
      <c r="C292" s="67"/>
      <c r="D292" s="47" t="s">
        <v>24</v>
      </c>
      <c r="E292" s="35" t="s">
        <v>239</v>
      </c>
      <c r="F292" s="13"/>
      <c r="G292" s="36">
        <v>150.0</v>
      </c>
      <c r="H292" s="36" t="s">
        <v>26</v>
      </c>
      <c r="I292" s="48">
        <v>350000.0</v>
      </c>
      <c r="J292" s="46">
        <f t="shared" si="113"/>
        <v>52500000</v>
      </c>
      <c r="K292" s="46"/>
      <c r="L292" s="26"/>
      <c r="M292" s="46"/>
      <c r="N292" s="61"/>
      <c r="O292" s="75">
        <f t="shared" si="3"/>
        <v>52500000</v>
      </c>
      <c r="P292" s="75">
        <f t="shared" si="4"/>
        <v>52500000</v>
      </c>
      <c r="Q292" s="64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35" t="s">
        <v>79</v>
      </c>
      <c r="B293" s="12"/>
      <c r="C293" s="13"/>
      <c r="D293" s="44" t="s">
        <v>80</v>
      </c>
      <c r="E293" s="12"/>
      <c r="F293" s="13"/>
      <c r="G293" s="22"/>
      <c r="H293" s="22"/>
      <c r="I293" s="22"/>
      <c r="J293" s="46">
        <f t="shared" ref="J293:K293" si="114">J295</f>
        <v>24000000</v>
      </c>
      <c r="K293" s="46" t="str">
        <f t="shared" si="114"/>
        <v/>
      </c>
      <c r="L293" s="26"/>
      <c r="M293" s="46"/>
      <c r="N293" s="61"/>
      <c r="O293" s="75">
        <f t="shared" si="3"/>
        <v>24000000</v>
      </c>
      <c r="P293" s="75">
        <f t="shared" si="4"/>
        <v>24000000</v>
      </c>
      <c r="Q293" s="64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22"/>
      <c r="B294" s="67"/>
      <c r="C294" s="67"/>
      <c r="D294" s="35" t="s">
        <v>23</v>
      </c>
      <c r="E294" s="12"/>
      <c r="F294" s="13"/>
      <c r="G294" s="22"/>
      <c r="H294" s="22"/>
      <c r="I294" s="22"/>
      <c r="J294" s="22"/>
      <c r="K294" s="22"/>
      <c r="L294" s="26"/>
      <c r="M294" s="22"/>
      <c r="N294" s="61"/>
      <c r="O294" s="75">
        <f t="shared" si="3"/>
        <v>0</v>
      </c>
      <c r="P294" s="75">
        <f t="shared" si="4"/>
        <v>0</v>
      </c>
      <c r="Q294" s="64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22"/>
      <c r="B295" s="67"/>
      <c r="C295" s="67"/>
      <c r="D295" s="47" t="s">
        <v>24</v>
      </c>
      <c r="E295" s="35" t="s">
        <v>240</v>
      </c>
      <c r="F295" s="13"/>
      <c r="G295" s="36">
        <v>160.0</v>
      </c>
      <c r="H295" s="36" t="s">
        <v>26</v>
      </c>
      <c r="I295" s="48">
        <v>150000.0</v>
      </c>
      <c r="J295" s="46">
        <f>G295*I295</f>
        <v>24000000</v>
      </c>
      <c r="K295" s="46"/>
      <c r="L295" s="26"/>
      <c r="M295" s="46">
        <v>7500000.0</v>
      </c>
      <c r="N295" s="61"/>
      <c r="O295" s="75">
        <f t="shared" si="3"/>
        <v>24000000</v>
      </c>
      <c r="P295" s="75">
        <f t="shared" si="4"/>
        <v>16500000</v>
      </c>
      <c r="Q295" s="64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78" t="s">
        <v>18</v>
      </c>
      <c r="B296" s="12"/>
      <c r="C296" s="13"/>
      <c r="D296" s="78" t="s">
        <v>243</v>
      </c>
      <c r="E296" s="12"/>
      <c r="F296" s="13"/>
      <c r="G296" s="82"/>
      <c r="H296" s="82"/>
      <c r="I296" s="83"/>
      <c r="J296" s="84">
        <f t="shared" ref="J296:K296" si="115">J297+J311+J323+J336+J353+J362+J372+J377+J393+J407+J415+J423+J429</f>
        <v>3064496000</v>
      </c>
      <c r="K296" s="84">
        <f t="shared" si="115"/>
        <v>83250000</v>
      </c>
      <c r="L296" s="26"/>
      <c r="M296" s="84">
        <f>M297+M311+M323+M336+M353+M362+M372+M377+M393+M407+M415+M423+M429</f>
        <v>198653500</v>
      </c>
      <c r="N296" s="61"/>
      <c r="O296" s="75">
        <f t="shared" si="3"/>
        <v>2981246000</v>
      </c>
      <c r="P296" s="75">
        <f t="shared" si="4"/>
        <v>2865842500</v>
      </c>
      <c r="Q296" s="64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41" t="s">
        <v>20</v>
      </c>
      <c r="B297" s="12"/>
      <c r="C297" s="13"/>
      <c r="D297" s="41" t="s">
        <v>21</v>
      </c>
      <c r="E297" s="12"/>
      <c r="F297" s="13"/>
      <c r="G297" s="22"/>
      <c r="H297" s="22"/>
      <c r="I297" s="22"/>
      <c r="J297" s="43">
        <f t="shared" ref="J297:K297" si="116">J298+J307</f>
        <v>142640000</v>
      </c>
      <c r="K297" s="43">
        <f t="shared" si="116"/>
        <v>0</v>
      </c>
      <c r="L297" s="26"/>
      <c r="M297" s="43">
        <f>M298+M307</f>
        <v>8950000</v>
      </c>
      <c r="N297" s="61"/>
      <c r="O297" s="75">
        <f t="shared" si="3"/>
        <v>142640000</v>
      </c>
      <c r="P297" s="75">
        <f t="shared" si="4"/>
        <v>133690000</v>
      </c>
      <c r="Q297" s="64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35" t="s">
        <v>40</v>
      </c>
      <c r="B298" s="12"/>
      <c r="C298" s="13"/>
      <c r="D298" s="44" t="s">
        <v>22</v>
      </c>
      <c r="E298" s="12"/>
      <c r="F298" s="13"/>
      <c r="G298" s="22"/>
      <c r="H298" s="22"/>
      <c r="I298" s="22"/>
      <c r="J298" s="46">
        <f t="shared" ref="J298:K298" si="117">SUM(J300:J306)</f>
        <v>130640000</v>
      </c>
      <c r="K298" s="46">
        <f t="shared" si="117"/>
        <v>0</v>
      </c>
      <c r="L298" s="26"/>
      <c r="M298" s="46">
        <f>SUM(M300:M306)</f>
        <v>3450000</v>
      </c>
      <c r="N298" s="61"/>
      <c r="O298" s="75">
        <f t="shared" si="3"/>
        <v>130640000</v>
      </c>
      <c r="P298" s="75">
        <f t="shared" si="4"/>
        <v>127190000</v>
      </c>
      <c r="Q298" s="64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22"/>
      <c r="B299" s="67"/>
      <c r="C299" s="67"/>
      <c r="D299" s="35" t="s">
        <v>23</v>
      </c>
      <c r="E299" s="12"/>
      <c r="F299" s="13"/>
      <c r="G299" s="22"/>
      <c r="H299" s="22"/>
      <c r="I299" s="22"/>
      <c r="J299" s="22"/>
      <c r="K299" s="22"/>
      <c r="L299" s="26"/>
      <c r="M299" s="22"/>
      <c r="N299" s="61"/>
      <c r="O299" s="75">
        <f t="shared" si="3"/>
        <v>0</v>
      </c>
      <c r="P299" s="75">
        <f t="shared" si="4"/>
        <v>0</v>
      </c>
      <c r="Q299" s="64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22"/>
      <c r="B300" s="67"/>
      <c r="C300" s="67"/>
      <c r="D300" s="47" t="s">
        <v>24</v>
      </c>
      <c r="E300" s="35" t="s">
        <v>156</v>
      </c>
      <c r="F300" s="13"/>
      <c r="G300" s="36">
        <v>24.0</v>
      </c>
      <c r="H300" s="36" t="s">
        <v>26</v>
      </c>
      <c r="I300" s="48">
        <v>500000.0</v>
      </c>
      <c r="J300" s="46">
        <f t="shared" ref="J300:J306" si="118">G300*I300</f>
        <v>12000000</v>
      </c>
      <c r="K300" s="46"/>
      <c r="L300" s="26"/>
      <c r="M300" s="46"/>
      <c r="N300" s="61"/>
      <c r="O300" s="75">
        <f t="shared" si="3"/>
        <v>12000000</v>
      </c>
      <c r="P300" s="75">
        <f t="shared" si="4"/>
        <v>12000000</v>
      </c>
      <c r="Q300" s="64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22"/>
      <c r="B301" s="67"/>
      <c r="C301" s="67"/>
      <c r="D301" s="47" t="s">
        <v>24</v>
      </c>
      <c r="E301" s="35" t="s">
        <v>27</v>
      </c>
      <c r="F301" s="13"/>
      <c r="G301" s="36">
        <v>2.0</v>
      </c>
      <c r="H301" s="36" t="s">
        <v>26</v>
      </c>
      <c r="I301" s="48">
        <v>2000000.0</v>
      </c>
      <c r="J301" s="46">
        <f t="shared" si="118"/>
        <v>4000000</v>
      </c>
      <c r="K301" s="46"/>
      <c r="L301" s="26"/>
      <c r="M301" s="46"/>
      <c r="N301" s="61"/>
      <c r="O301" s="75">
        <f t="shared" si="3"/>
        <v>4000000</v>
      </c>
      <c r="P301" s="75">
        <f t="shared" si="4"/>
        <v>4000000</v>
      </c>
      <c r="Q301" s="64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22"/>
      <c r="B302" s="67"/>
      <c r="C302" s="67"/>
      <c r="D302" s="47" t="s">
        <v>24</v>
      </c>
      <c r="E302" s="35" t="s">
        <v>28</v>
      </c>
      <c r="F302" s="13"/>
      <c r="G302" s="36">
        <v>10.0</v>
      </c>
      <c r="H302" s="36" t="s">
        <v>26</v>
      </c>
      <c r="I302" s="48">
        <v>500000.0</v>
      </c>
      <c r="J302" s="46">
        <f t="shared" si="118"/>
        <v>5000000</v>
      </c>
      <c r="K302" s="46"/>
      <c r="L302" s="26"/>
      <c r="M302" s="46"/>
      <c r="N302" s="61"/>
      <c r="O302" s="75">
        <f t="shared" si="3"/>
        <v>5000000</v>
      </c>
      <c r="P302" s="75">
        <f t="shared" si="4"/>
        <v>5000000</v>
      </c>
      <c r="Q302" s="64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22"/>
      <c r="B303" s="67"/>
      <c r="C303" s="67"/>
      <c r="D303" s="47" t="s">
        <v>24</v>
      </c>
      <c r="E303" s="35" t="s">
        <v>157</v>
      </c>
      <c r="F303" s="13"/>
      <c r="G303" s="36">
        <v>200.0</v>
      </c>
      <c r="H303" s="36" t="s">
        <v>26</v>
      </c>
      <c r="I303" s="48">
        <v>25000.0</v>
      </c>
      <c r="J303" s="46">
        <f t="shared" si="118"/>
        <v>5000000</v>
      </c>
      <c r="K303" s="46"/>
      <c r="L303" s="26"/>
      <c r="M303" s="46">
        <v>1450000.0</v>
      </c>
      <c r="N303" s="61"/>
      <c r="O303" s="75">
        <f t="shared" si="3"/>
        <v>5000000</v>
      </c>
      <c r="P303" s="75">
        <f t="shared" si="4"/>
        <v>3550000</v>
      </c>
      <c r="Q303" s="64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22"/>
      <c r="B304" s="67"/>
      <c r="C304" s="67"/>
      <c r="D304" s="47" t="s">
        <v>24</v>
      </c>
      <c r="E304" s="35" t="s">
        <v>31</v>
      </c>
      <c r="F304" s="13"/>
      <c r="G304" s="36">
        <v>320.0</v>
      </c>
      <c r="H304" s="36" t="s">
        <v>26</v>
      </c>
      <c r="I304" s="48">
        <v>53000.0</v>
      </c>
      <c r="J304" s="46">
        <f t="shared" si="118"/>
        <v>16960000</v>
      </c>
      <c r="K304" s="46"/>
      <c r="L304" s="26"/>
      <c r="M304" s="46">
        <v>2000000.0</v>
      </c>
      <c r="N304" s="61"/>
      <c r="O304" s="75">
        <f t="shared" si="3"/>
        <v>16960000</v>
      </c>
      <c r="P304" s="75">
        <f t="shared" si="4"/>
        <v>14960000</v>
      </c>
      <c r="Q304" s="64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22"/>
      <c r="B305" s="67"/>
      <c r="C305" s="67"/>
      <c r="D305" s="47" t="s">
        <v>24</v>
      </c>
      <c r="E305" s="35" t="s">
        <v>32</v>
      </c>
      <c r="F305" s="13"/>
      <c r="G305" s="36">
        <v>320.0</v>
      </c>
      <c r="H305" s="36" t="s">
        <v>26</v>
      </c>
      <c r="I305" s="48">
        <v>24000.0</v>
      </c>
      <c r="J305" s="46">
        <f t="shared" si="118"/>
        <v>7680000</v>
      </c>
      <c r="K305" s="46"/>
      <c r="L305" s="26"/>
      <c r="M305" s="46"/>
      <c r="N305" s="61"/>
      <c r="O305" s="75">
        <f t="shared" si="3"/>
        <v>7680000</v>
      </c>
      <c r="P305" s="75">
        <f t="shared" si="4"/>
        <v>7680000</v>
      </c>
      <c r="Q305" s="64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22"/>
      <c r="B306" s="67"/>
      <c r="C306" s="67"/>
      <c r="D306" s="47" t="s">
        <v>24</v>
      </c>
      <c r="E306" s="35" t="s">
        <v>158</v>
      </c>
      <c r="F306" s="13"/>
      <c r="G306" s="36">
        <v>100.0</v>
      </c>
      <c r="H306" s="36" t="s">
        <v>26</v>
      </c>
      <c r="I306" s="48">
        <v>800000.0</v>
      </c>
      <c r="J306" s="46">
        <f t="shared" si="118"/>
        <v>80000000</v>
      </c>
      <c r="K306" s="46"/>
      <c r="L306" s="26"/>
      <c r="M306" s="46"/>
      <c r="N306" s="61"/>
      <c r="O306" s="75">
        <f t="shared" si="3"/>
        <v>80000000</v>
      </c>
      <c r="P306" s="75">
        <f t="shared" si="4"/>
        <v>80000000</v>
      </c>
      <c r="Q306" s="64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35" t="s">
        <v>58</v>
      </c>
      <c r="B307" s="12"/>
      <c r="C307" s="47"/>
      <c r="D307" s="44" t="s">
        <v>34</v>
      </c>
      <c r="E307" s="12"/>
      <c r="F307" s="13"/>
      <c r="G307" s="22"/>
      <c r="H307" s="22"/>
      <c r="I307" s="22"/>
      <c r="J307" s="46">
        <f t="shared" ref="J307:K307" si="119">SUM(J309:J310)</f>
        <v>12000000</v>
      </c>
      <c r="K307" s="46">
        <f t="shared" si="119"/>
        <v>0</v>
      </c>
      <c r="L307" s="26"/>
      <c r="M307" s="46">
        <f>SUM(M309:M310)</f>
        <v>5500000</v>
      </c>
      <c r="N307" s="61"/>
      <c r="O307" s="75">
        <f t="shared" si="3"/>
        <v>12000000</v>
      </c>
      <c r="P307" s="75">
        <f t="shared" si="4"/>
        <v>6500000</v>
      </c>
      <c r="Q307" s="64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22"/>
      <c r="B308" s="67"/>
      <c r="C308" s="67"/>
      <c r="D308" s="35" t="s">
        <v>23</v>
      </c>
      <c r="E308" s="12"/>
      <c r="F308" s="13"/>
      <c r="G308" s="22"/>
      <c r="H308" s="22"/>
      <c r="I308" s="22"/>
      <c r="J308" s="22"/>
      <c r="K308" s="22"/>
      <c r="L308" s="26"/>
      <c r="M308" s="22"/>
      <c r="N308" s="61"/>
      <c r="O308" s="75">
        <f t="shared" si="3"/>
        <v>0</v>
      </c>
      <c r="P308" s="75">
        <f t="shared" si="4"/>
        <v>0</v>
      </c>
      <c r="Q308" s="64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22"/>
      <c r="B309" s="67"/>
      <c r="C309" s="67"/>
      <c r="D309" s="47" t="s">
        <v>24</v>
      </c>
      <c r="E309" s="35" t="s">
        <v>159</v>
      </c>
      <c r="F309" s="13"/>
      <c r="G309" s="36">
        <v>16.0</v>
      </c>
      <c r="H309" s="36" t="s">
        <v>26</v>
      </c>
      <c r="I309" s="48">
        <v>500000.0</v>
      </c>
      <c r="J309" s="46">
        <f t="shared" ref="J309:J310" si="120">G309*I309</f>
        <v>8000000</v>
      </c>
      <c r="K309" s="46"/>
      <c r="L309" s="26"/>
      <c r="M309" s="46">
        <v>5500000.0</v>
      </c>
      <c r="N309" s="61"/>
      <c r="O309" s="75">
        <f t="shared" si="3"/>
        <v>8000000</v>
      </c>
      <c r="P309" s="75">
        <f t="shared" si="4"/>
        <v>2500000</v>
      </c>
      <c r="Q309" s="64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22"/>
      <c r="B310" s="67"/>
      <c r="C310" s="67"/>
      <c r="D310" s="47" t="s">
        <v>24</v>
      </c>
      <c r="E310" s="35" t="s">
        <v>230</v>
      </c>
      <c r="F310" s="13"/>
      <c r="G310" s="36">
        <v>8.0</v>
      </c>
      <c r="H310" s="36" t="s">
        <v>26</v>
      </c>
      <c r="I310" s="48">
        <v>500000.0</v>
      </c>
      <c r="J310" s="46">
        <f t="shared" si="120"/>
        <v>4000000</v>
      </c>
      <c r="K310" s="46"/>
      <c r="L310" s="26"/>
      <c r="M310" s="46"/>
      <c r="N310" s="61"/>
      <c r="O310" s="75">
        <f t="shared" si="3"/>
        <v>4000000</v>
      </c>
      <c r="P310" s="75">
        <f t="shared" si="4"/>
        <v>4000000</v>
      </c>
      <c r="Q310" s="64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41" t="s">
        <v>37</v>
      </c>
      <c r="B311" s="12"/>
      <c r="C311" s="56"/>
      <c r="D311" s="41" t="s">
        <v>38</v>
      </c>
      <c r="E311" s="12"/>
      <c r="F311" s="13"/>
      <c r="G311" s="22"/>
      <c r="H311" s="22"/>
      <c r="I311" s="22"/>
      <c r="J311" s="43">
        <f t="shared" ref="J311:K311" si="121">J312+J317+J320</f>
        <v>24400000</v>
      </c>
      <c r="K311" s="43">
        <f t="shared" si="121"/>
        <v>0</v>
      </c>
      <c r="L311" s="26"/>
      <c r="M311" s="43">
        <f>M312+M317+M320</f>
        <v>0</v>
      </c>
      <c r="N311" s="61"/>
      <c r="O311" s="75">
        <f t="shared" si="3"/>
        <v>24400000</v>
      </c>
      <c r="P311" s="75">
        <f t="shared" si="4"/>
        <v>24400000</v>
      </c>
      <c r="Q311" s="64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35" t="s">
        <v>40</v>
      </c>
      <c r="B312" s="12"/>
      <c r="C312" s="47"/>
      <c r="D312" s="44" t="s">
        <v>22</v>
      </c>
      <c r="E312" s="12"/>
      <c r="F312" s="13"/>
      <c r="G312" s="22"/>
      <c r="H312" s="22"/>
      <c r="I312" s="22"/>
      <c r="J312" s="46">
        <f t="shared" ref="J312:K312" si="122">SUM(J314:J316)</f>
        <v>6400000</v>
      </c>
      <c r="K312" s="46">
        <f t="shared" si="122"/>
        <v>0</v>
      </c>
      <c r="L312" s="26"/>
      <c r="M312" s="46">
        <f>SUM(M314:M316)</f>
        <v>0</v>
      </c>
      <c r="N312" s="61"/>
      <c r="O312" s="75">
        <f t="shared" si="3"/>
        <v>6400000</v>
      </c>
      <c r="P312" s="75">
        <f t="shared" si="4"/>
        <v>6400000</v>
      </c>
      <c r="Q312" s="64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22"/>
      <c r="B313" s="67"/>
      <c r="C313" s="67"/>
      <c r="D313" s="35" t="s">
        <v>23</v>
      </c>
      <c r="E313" s="12"/>
      <c r="F313" s="13"/>
      <c r="G313" s="22"/>
      <c r="H313" s="22"/>
      <c r="I313" s="22"/>
      <c r="J313" s="22"/>
      <c r="K313" s="22"/>
      <c r="L313" s="26"/>
      <c r="M313" s="22"/>
      <c r="N313" s="61"/>
      <c r="O313" s="75">
        <f t="shared" si="3"/>
        <v>0</v>
      </c>
      <c r="P313" s="75">
        <f t="shared" si="4"/>
        <v>0</v>
      </c>
      <c r="Q313" s="64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22"/>
      <c r="B314" s="67"/>
      <c r="C314" s="67"/>
      <c r="D314" s="47" t="s">
        <v>24</v>
      </c>
      <c r="E314" s="35" t="s">
        <v>160</v>
      </c>
      <c r="F314" s="13"/>
      <c r="G314" s="36">
        <v>100.0</v>
      </c>
      <c r="H314" s="36" t="s">
        <v>26</v>
      </c>
      <c r="I314" s="48">
        <v>53000.0</v>
      </c>
      <c r="J314" s="46">
        <f t="shared" ref="J314:J316" si="123">G314*I314</f>
        <v>5300000</v>
      </c>
      <c r="K314" s="46"/>
      <c r="L314" s="26"/>
      <c r="M314" s="46"/>
      <c r="N314" s="61"/>
      <c r="O314" s="75">
        <f t="shared" si="3"/>
        <v>5300000</v>
      </c>
      <c r="P314" s="75">
        <f t="shared" si="4"/>
        <v>5300000</v>
      </c>
      <c r="Q314" s="64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22"/>
      <c r="B315" s="67"/>
      <c r="C315" s="67"/>
      <c r="D315" s="47" t="s">
        <v>24</v>
      </c>
      <c r="E315" s="35" t="s">
        <v>42</v>
      </c>
      <c r="F315" s="13"/>
      <c r="G315" s="36">
        <v>2.0</v>
      </c>
      <c r="H315" s="36" t="s">
        <v>26</v>
      </c>
      <c r="I315" s="48">
        <v>250000.0</v>
      </c>
      <c r="J315" s="46">
        <f t="shared" si="123"/>
        <v>500000</v>
      </c>
      <c r="K315" s="46"/>
      <c r="L315" s="26"/>
      <c r="M315" s="46"/>
      <c r="N315" s="61"/>
      <c r="O315" s="75">
        <f t="shared" si="3"/>
        <v>500000</v>
      </c>
      <c r="P315" s="75">
        <f t="shared" si="4"/>
        <v>500000</v>
      </c>
      <c r="Q315" s="64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22"/>
      <c r="B316" s="67"/>
      <c r="C316" s="67"/>
      <c r="D316" s="47" t="s">
        <v>24</v>
      </c>
      <c r="E316" s="35" t="s">
        <v>43</v>
      </c>
      <c r="F316" s="13"/>
      <c r="G316" s="36">
        <v>2.0</v>
      </c>
      <c r="H316" s="36" t="s">
        <v>26</v>
      </c>
      <c r="I316" s="48">
        <v>300000.0</v>
      </c>
      <c r="J316" s="46">
        <f t="shared" si="123"/>
        <v>600000</v>
      </c>
      <c r="K316" s="46"/>
      <c r="L316" s="26"/>
      <c r="M316" s="46"/>
      <c r="N316" s="61"/>
      <c r="O316" s="75">
        <f t="shared" si="3"/>
        <v>600000</v>
      </c>
      <c r="P316" s="75">
        <f t="shared" si="4"/>
        <v>600000</v>
      </c>
      <c r="Q316" s="64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35" t="s">
        <v>44</v>
      </c>
      <c r="B317" s="12"/>
      <c r="C317" s="13"/>
      <c r="D317" s="44" t="s">
        <v>45</v>
      </c>
      <c r="E317" s="12"/>
      <c r="F317" s="13"/>
      <c r="G317" s="22"/>
      <c r="H317" s="22"/>
      <c r="I317" s="22"/>
      <c r="J317" s="46">
        <f t="shared" ref="J317:K317" si="124">J319</f>
        <v>2000000</v>
      </c>
      <c r="K317" s="46" t="str">
        <f t="shared" si="124"/>
        <v/>
      </c>
      <c r="L317" s="26"/>
      <c r="M317" s="46" t="str">
        <f>M319</f>
        <v/>
      </c>
      <c r="N317" s="61"/>
      <c r="O317" s="75">
        <f t="shared" si="3"/>
        <v>2000000</v>
      </c>
      <c r="P317" s="75">
        <f t="shared" si="4"/>
        <v>2000000</v>
      </c>
      <c r="Q317" s="64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22"/>
      <c r="B318" s="67"/>
      <c r="C318" s="67"/>
      <c r="D318" s="35" t="s">
        <v>23</v>
      </c>
      <c r="E318" s="12"/>
      <c r="F318" s="13"/>
      <c r="G318" s="22"/>
      <c r="H318" s="22"/>
      <c r="I318" s="22"/>
      <c r="J318" s="22"/>
      <c r="K318" s="22"/>
      <c r="L318" s="26"/>
      <c r="M318" s="22"/>
      <c r="N318" s="61"/>
      <c r="O318" s="75">
        <f t="shared" si="3"/>
        <v>0</v>
      </c>
      <c r="P318" s="75">
        <f t="shared" si="4"/>
        <v>0</v>
      </c>
      <c r="Q318" s="64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22"/>
      <c r="B319" s="67"/>
      <c r="C319" s="67"/>
      <c r="D319" s="47" t="s">
        <v>24</v>
      </c>
      <c r="E319" s="35" t="s">
        <v>161</v>
      </c>
      <c r="F319" s="13"/>
      <c r="G319" s="36">
        <v>4.0</v>
      </c>
      <c r="H319" s="36" t="s">
        <v>26</v>
      </c>
      <c r="I319" s="48">
        <v>500000.0</v>
      </c>
      <c r="J319" s="46">
        <f>G319*I319</f>
        <v>2000000</v>
      </c>
      <c r="K319" s="46"/>
      <c r="L319" s="26"/>
      <c r="M319" s="46"/>
      <c r="N319" s="61"/>
      <c r="O319" s="75">
        <f t="shared" si="3"/>
        <v>2000000</v>
      </c>
      <c r="P319" s="75">
        <f t="shared" si="4"/>
        <v>2000000</v>
      </c>
      <c r="Q319" s="64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35" t="s">
        <v>47</v>
      </c>
      <c r="B320" s="12"/>
      <c r="C320" s="13"/>
      <c r="D320" s="44" t="s">
        <v>48</v>
      </c>
      <c r="E320" s="12"/>
      <c r="F320" s="13"/>
      <c r="G320" s="22"/>
      <c r="H320" s="22"/>
      <c r="I320" s="22"/>
      <c r="J320" s="46">
        <f t="shared" ref="J320:K320" si="125">J322</f>
        <v>16000000</v>
      </c>
      <c r="K320" s="46" t="str">
        <f t="shared" si="125"/>
        <v/>
      </c>
      <c r="L320" s="26"/>
      <c r="M320" s="46" t="str">
        <f>M322</f>
        <v/>
      </c>
      <c r="N320" s="61"/>
      <c r="O320" s="75">
        <f t="shared" si="3"/>
        <v>16000000</v>
      </c>
      <c r="P320" s="75">
        <f t="shared" si="4"/>
        <v>16000000</v>
      </c>
      <c r="Q320" s="64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22"/>
      <c r="B321" s="67"/>
      <c r="C321" s="67"/>
      <c r="D321" s="35" t="s">
        <v>23</v>
      </c>
      <c r="E321" s="12"/>
      <c r="F321" s="13"/>
      <c r="G321" s="22"/>
      <c r="H321" s="22"/>
      <c r="I321" s="22"/>
      <c r="J321" s="22"/>
      <c r="K321" s="22"/>
      <c r="L321" s="26"/>
      <c r="M321" s="22"/>
      <c r="N321" s="61"/>
      <c r="O321" s="75">
        <f t="shared" si="3"/>
        <v>0</v>
      </c>
      <c r="P321" s="75">
        <f t="shared" si="4"/>
        <v>0</v>
      </c>
      <c r="Q321" s="64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22"/>
      <c r="B322" s="67"/>
      <c r="C322" s="67"/>
      <c r="D322" s="47" t="s">
        <v>24</v>
      </c>
      <c r="E322" s="35" t="s">
        <v>162</v>
      </c>
      <c r="F322" s="13"/>
      <c r="G322" s="36">
        <v>4.0</v>
      </c>
      <c r="H322" s="36" t="s">
        <v>26</v>
      </c>
      <c r="I322" s="48">
        <v>4000000.0</v>
      </c>
      <c r="J322" s="46">
        <f>G322*I322</f>
        <v>16000000</v>
      </c>
      <c r="K322" s="46"/>
      <c r="L322" s="26"/>
      <c r="M322" s="46"/>
      <c r="N322" s="61"/>
      <c r="O322" s="75">
        <f t="shared" si="3"/>
        <v>16000000</v>
      </c>
      <c r="P322" s="75">
        <f t="shared" si="4"/>
        <v>16000000</v>
      </c>
      <c r="Q322" s="64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41" t="s">
        <v>50</v>
      </c>
      <c r="B323" s="12"/>
      <c r="C323" s="13"/>
      <c r="D323" s="41" t="s">
        <v>51</v>
      </c>
      <c r="E323" s="12"/>
      <c r="F323" s="13"/>
      <c r="G323" s="22"/>
      <c r="H323" s="22"/>
      <c r="I323" s="22"/>
      <c r="J323" s="43">
        <f t="shared" ref="J323:K323" si="126">J324+J330+J333</f>
        <v>56050000</v>
      </c>
      <c r="K323" s="43">
        <f t="shared" si="126"/>
        <v>0</v>
      </c>
      <c r="L323" s="26"/>
      <c r="M323" s="43">
        <f>M324+M330+M333</f>
        <v>0</v>
      </c>
      <c r="N323" s="61"/>
      <c r="O323" s="75">
        <f t="shared" si="3"/>
        <v>56050000</v>
      </c>
      <c r="P323" s="75">
        <f t="shared" si="4"/>
        <v>56050000</v>
      </c>
      <c r="Q323" s="64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35" t="s">
        <v>40</v>
      </c>
      <c r="B324" s="12"/>
      <c r="C324" s="13"/>
      <c r="D324" s="44" t="s">
        <v>22</v>
      </c>
      <c r="E324" s="12"/>
      <c r="F324" s="13"/>
      <c r="G324" s="22"/>
      <c r="H324" s="22"/>
      <c r="I324" s="22"/>
      <c r="J324" s="46">
        <f t="shared" ref="J324:K324" si="127">SUM(J326:J329)</f>
        <v>38050000</v>
      </c>
      <c r="K324" s="46">
        <f t="shared" si="127"/>
        <v>0</v>
      </c>
      <c r="L324" s="26"/>
      <c r="M324" s="46">
        <f>SUM(M326:M329)</f>
        <v>0</v>
      </c>
      <c r="N324" s="61"/>
      <c r="O324" s="75">
        <f t="shared" si="3"/>
        <v>38050000</v>
      </c>
      <c r="P324" s="75">
        <f t="shared" si="4"/>
        <v>38050000</v>
      </c>
      <c r="Q324" s="64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22"/>
      <c r="B325" s="67"/>
      <c r="C325" s="67"/>
      <c r="D325" s="35" t="s">
        <v>23</v>
      </c>
      <c r="E325" s="12"/>
      <c r="F325" s="13"/>
      <c r="G325" s="22"/>
      <c r="H325" s="22"/>
      <c r="I325" s="22"/>
      <c r="J325" s="22"/>
      <c r="K325" s="22"/>
      <c r="L325" s="26"/>
      <c r="M325" s="22"/>
      <c r="N325" s="61"/>
      <c r="O325" s="75">
        <f t="shared" si="3"/>
        <v>0</v>
      </c>
      <c r="P325" s="75">
        <f t="shared" si="4"/>
        <v>0</v>
      </c>
      <c r="Q325" s="64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22"/>
      <c r="B326" s="67"/>
      <c r="C326" s="67"/>
      <c r="D326" s="47" t="s">
        <v>24</v>
      </c>
      <c r="E326" s="35" t="s">
        <v>163</v>
      </c>
      <c r="F326" s="13"/>
      <c r="G326" s="36">
        <v>100.0</v>
      </c>
      <c r="H326" s="36" t="s">
        <v>26</v>
      </c>
      <c r="I326" s="48">
        <v>53000.0</v>
      </c>
      <c r="J326" s="46">
        <f t="shared" ref="J326:J329" si="128">G326*I326</f>
        <v>5300000</v>
      </c>
      <c r="K326" s="46"/>
      <c r="L326" s="26"/>
      <c r="M326" s="46"/>
      <c r="N326" s="61"/>
      <c r="O326" s="75">
        <f t="shared" si="3"/>
        <v>5300000</v>
      </c>
      <c r="P326" s="75">
        <f t="shared" si="4"/>
        <v>5300000</v>
      </c>
      <c r="Q326" s="64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22"/>
      <c r="B327" s="67"/>
      <c r="C327" s="67"/>
      <c r="D327" s="47" t="s">
        <v>24</v>
      </c>
      <c r="E327" s="35" t="s">
        <v>53</v>
      </c>
      <c r="F327" s="13"/>
      <c r="G327" s="36">
        <v>5.0</v>
      </c>
      <c r="H327" s="36" t="s">
        <v>26</v>
      </c>
      <c r="I327" s="48">
        <v>500000.0</v>
      </c>
      <c r="J327" s="46">
        <f t="shared" si="128"/>
        <v>2500000</v>
      </c>
      <c r="K327" s="46"/>
      <c r="L327" s="26"/>
      <c r="M327" s="46"/>
      <c r="N327" s="61"/>
      <c r="O327" s="75">
        <f t="shared" si="3"/>
        <v>2500000</v>
      </c>
      <c r="P327" s="75">
        <f t="shared" si="4"/>
        <v>2500000</v>
      </c>
      <c r="Q327" s="64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22"/>
      <c r="B328" s="67"/>
      <c r="C328" s="67"/>
      <c r="D328" s="47" t="s">
        <v>24</v>
      </c>
      <c r="E328" s="35" t="s">
        <v>54</v>
      </c>
      <c r="F328" s="13"/>
      <c r="G328" s="36">
        <v>1.0</v>
      </c>
      <c r="H328" s="36" t="s">
        <v>55</v>
      </c>
      <c r="I328" s="48">
        <v>250000.0</v>
      </c>
      <c r="J328" s="46">
        <f t="shared" si="128"/>
        <v>250000</v>
      </c>
      <c r="K328" s="46"/>
      <c r="L328" s="26"/>
      <c r="M328" s="46"/>
      <c r="N328" s="61"/>
      <c r="O328" s="75">
        <f t="shared" si="3"/>
        <v>250000</v>
      </c>
      <c r="P328" s="75">
        <f t="shared" si="4"/>
        <v>250000</v>
      </c>
      <c r="Q328" s="64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22"/>
      <c r="B329" s="67"/>
      <c r="C329" s="67"/>
      <c r="D329" s="47" t="s">
        <v>24</v>
      </c>
      <c r="E329" s="35" t="s">
        <v>164</v>
      </c>
      <c r="F329" s="13"/>
      <c r="G329" s="36">
        <v>100.0</v>
      </c>
      <c r="H329" s="36" t="s">
        <v>26</v>
      </c>
      <c r="I329" s="48">
        <v>300000.0</v>
      </c>
      <c r="J329" s="46">
        <f t="shared" si="128"/>
        <v>30000000</v>
      </c>
      <c r="K329" s="46"/>
      <c r="L329" s="26"/>
      <c r="M329" s="46"/>
      <c r="N329" s="61"/>
      <c r="O329" s="75">
        <f t="shared" si="3"/>
        <v>30000000</v>
      </c>
      <c r="P329" s="75">
        <f t="shared" si="4"/>
        <v>30000000</v>
      </c>
      <c r="Q329" s="64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35" t="s">
        <v>47</v>
      </c>
      <c r="B330" s="12"/>
      <c r="C330" s="47"/>
      <c r="D330" s="44" t="s">
        <v>48</v>
      </c>
      <c r="E330" s="12"/>
      <c r="F330" s="13"/>
      <c r="G330" s="22"/>
      <c r="H330" s="22"/>
      <c r="I330" s="22"/>
      <c r="J330" s="46">
        <f t="shared" ref="J330:K330" si="129">J332</f>
        <v>16000000</v>
      </c>
      <c r="K330" s="46" t="str">
        <f t="shared" si="129"/>
        <v/>
      </c>
      <c r="L330" s="26"/>
      <c r="M330" s="46" t="str">
        <f>M332</f>
        <v/>
      </c>
      <c r="N330" s="61"/>
      <c r="O330" s="75">
        <f t="shared" si="3"/>
        <v>16000000</v>
      </c>
      <c r="P330" s="75">
        <f t="shared" si="4"/>
        <v>16000000</v>
      </c>
      <c r="Q330" s="64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22"/>
      <c r="B331" s="67"/>
      <c r="C331" s="67"/>
      <c r="D331" s="35" t="s">
        <v>23</v>
      </c>
      <c r="E331" s="12"/>
      <c r="F331" s="13"/>
      <c r="G331" s="22"/>
      <c r="H331" s="22"/>
      <c r="I331" s="22"/>
      <c r="J331" s="22"/>
      <c r="K331" s="22"/>
      <c r="L331" s="26"/>
      <c r="M331" s="22"/>
      <c r="N331" s="61"/>
      <c r="O331" s="75">
        <f t="shared" si="3"/>
        <v>0</v>
      </c>
      <c r="P331" s="75">
        <f t="shared" si="4"/>
        <v>0</v>
      </c>
      <c r="Q331" s="64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22"/>
      <c r="B332" s="67"/>
      <c r="C332" s="67"/>
      <c r="D332" s="47" t="s">
        <v>24</v>
      </c>
      <c r="E332" s="35" t="s">
        <v>165</v>
      </c>
      <c r="F332" s="13"/>
      <c r="G332" s="36">
        <v>4.0</v>
      </c>
      <c r="H332" s="36" t="s">
        <v>26</v>
      </c>
      <c r="I332" s="48">
        <v>4000000.0</v>
      </c>
      <c r="J332" s="46">
        <f>G332*I332</f>
        <v>16000000</v>
      </c>
      <c r="K332" s="46"/>
      <c r="L332" s="26"/>
      <c r="M332" s="46"/>
      <c r="N332" s="61"/>
      <c r="O332" s="75">
        <f t="shared" si="3"/>
        <v>16000000</v>
      </c>
      <c r="P332" s="75">
        <f t="shared" si="4"/>
        <v>16000000</v>
      </c>
      <c r="Q332" s="64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35" t="s">
        <v>58</v>
      </c>
      <c r="B333" s="12"/>
      <c r="C333" s="47"/>
      <c r="D333" s="44" t="s">
        <v>34</v>
      </c>
      <c r="E333" s="12"/>
      <c r="F333" s="13"/>
      <c r="G333" s="22"/>
      <c r="H333" s="22"/>
      <c r="I333" s="22"/>
      <c r="J333" s="46">
        <f t="shared" ref="J333:K333" si="130">J335</f>
        <v>2000000</v>
      </c>
      <c r="K333" s="46" t="str">
        <f t="shared" si="130"/>
        <v/>
      </c>
      <c r="L333" s="26"/>
      <c r="M333" s="46" t="str">
        <f>M335</f>
        <v/>
      </c>
      <c r="N333" s="61"/>
      <c r="O333" s="75">
        <f t="shared" si="3"/>
        <v>2000000</v>
      </c>
      <c r="P333" s="75">
        <f t="shared" si="4"/>
        <v>2000000</v>
      </c>
      <c r="Q333" s="64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22"/>
      <c r="B334" s="67"/>
      <c r="C334" s="67"/>
      <c r="D334" s="35" t="s">
        <v>23</v>
      </c>
      <c r="E334" s="12"/>
      <c r="F334" s="13"/>
      <c r="G334" s="22"/>
      <c r="H334" s="22"/>
      <c r="I334" s="22"/>
      <c r="J334" s="22"/>
      <c r="K334" s="22"/>
      <c r="L334" s="26"/>
      <c r="M334" s="22"/>
      <c r="N334" s="61"/>
      <c r="O334" s="75">
        <f t="shared" si="3"/>
        <v>0</v>
      </c>
      <c r="P334" s="75">
        <f t="shared" si="4"/>
        <v>0</v>
      </c>
      <c r="Q334" s="64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22"/>
      <c r="B335" s="67"/>
      <c r="C335" s="67"/>
      <c r="D335" s="47" t="s">
        <v>24</v>
      </c>
      <c r="E335" s="35" t="s">
        <v>59</v>
      </c>
      <c r="F335" s="13"/>
      <c r="G335" s="36">
        <v>4.0</v>
      </c>
      <c r="H335" s="36" t="s">
        <v>26</v>
      </c>
      <c r="I335" s="48">
        <v>500000.0</v>
      </c>
      <c r="J335" s="46">
        <f>G335*I335</f>
        <v>2000000</v>
      </c>
      <c r="K335" s="46"/>
      <c r="L335" s="26"/>
      <c r="M335" s="46"/>
      <c r="N335" s="61"/>
      <c r="O335" s="75">
        <f t="shared" si="3"/>
        <v>2000000</v>
      </c>
      <c r="P335" s="75">
        <f t="shared" si="4"/>
        <v>2000000</v>
      </c>
      <c r="Q335" s="64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41" t="s">
        <v>60</v>
      </c>
      <c r="B336" s="12"/>
      <c r="C336" s="56"/>
      <c r="D336" s="41" t="s">
        <v>61</v>
      </c>
      <c r="E336" s="12"/>
      <c r="F336" s="13"/>
      <c r="G336" s="22"/>
      <c r="H336" s="22"/>
      <c r="I336" s="22"/>
      <c r="J336" s="43">
        <f t="shared" ref="J336:K336" si="131">J337+J340+J344+J347+J350</f>
        <v>220800000</v>
      </c>
      <c r="K336" s="43">
        <f t="shared" si="131"/>
        <v>0</v>
      </c>
      <c r="L336" s="26"/>
      <c r="M336" s="43">
        <f>M337+M340+M344+M347+M350</f>
        <v>0</v>
      </c>
      <c r="N336" s="61"/>
      <c r="O336" s="75">
        <f t="shared" si="3"/>
        <v>220800000</v>
      </c>
      <c r="P336" s="75">
        <f t="shared" si="4"/>
        <v>220800000</v>
      </c>
      <c r="Q336" s="64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35" t="s">
        <v>40</v>
      </c>
      <c r="B337" s="12"/>
      <c r="C337" s="47"/>
      <c r="D337" s="44" t="s">
        <v>22</v>
      </c>
      <c r="E337" s="12"/>
      <c r="F337" s="13"/>
      <c r="G337" s="22"/>
      <c r="H337" s="22"/>
      <c r="I337" s="22"/>
      <c r="J337" s="46">
        <f t="shared" ref="J337:K337" si="132">J339</f>
        <v>31800000</v>
      </c>
      <c r="K337" s="46" t="str">
        <f t="shared" si="132"/>
        <v/>
      </c>
      <c r="L337" s="26"/>
      <c r="M337" s="46" t="str">
        <f>M339</f>
        <v/>
      </c>
      <c r="N337" s="61"/>
      <c r="O337" s="75">
        <f t="shared" si="3"/>
        <v>31800000</v>
      </c>
      <c r="P337" s="75">
        <f t="shared" si="4"/>
        <v>31800000</v>
      </c>
      <c r="Q337" s="64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22"/>
      <c r="B338" s="67"/>
      <c r="C338" s="67"/>
      <c r="D338" s="35" t="s">
        <v>23</v>
      </c>
      <c r="E338" s="12"/>
      <c r="F338" s="13"/>
      <c r="G338" s="22"/>
      <c r="H338" s="22"/>
      <c r="I338" s="22"/>
      <c r="J338" s="22"/>
      <c r="K338" s="22"/>
      <c r="L338" s="26"/>
      <c r="M338" s="22"/>
      <c r="N338" s="61"/>
      <c r="O338" s="75">
        <f t="shared" si="3"/>
        <v>0</v>
      </c>
      <c r="P338" s="75">
        <f t="shared" si="4"/>
        <v>0</v>
      </c>
      <c r="Q338" s="64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22"/>
      <c r="B339" s="67"/>
      <c r="C339" s="67"/>
      <c r="D339" s="47" t="s">
        <v>24</v>
      </c>
      <c r="E339" s="35" t="s">
        <v>166</v>
      </c>
      <c r="F339" s="13"/>
      <c r="G339" s="36">
        <v>600.0</v>
      </c>
      <c r="H339" s="36" t="s">
        <v>26</v>
      </c>
      <c r="I339" s="48">
        <v>53000.0</v>
      </c>
      <c r="J339" s="46">
        <f>G339*I339</f>
        <v>31800000</v>
      </c>
      <c r="K339" s="46"/>
      <c r="L339" s="26"/>
      <c r="M339" s="46"/>
      <c r="N339" s="61"/>
      <c r="O339" s="75">
        <f t="shared" si="3"/>
        <v>31800000</v>
      </c>
      <c r="P339" s="75">
        <f t="shared" si="4"/>
        <v>31800000</v>
      </c>
      <c r="Q339" s="64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35" t="s">
        <v>63</v>
      </c>
      <c r="B340" s="12"/>
      <c r="C340" s="47"/>
      <c r="D340" s="44" t="s">
        <v>64</v>
      </c>
      <c r="E340" s="12"/>
      <c r="F340" s="13"/>
      <c r="G340" s="22"/>
      <c r="H340" s="22"/>
      <c r="I340" s="22"/>
      <c r="J340" s="46">
        <f t="shared" ref="J340:K340" si="133">SUM(J342:J343)</f>
        <v>115000000</v>
      </c>
      <c r="K340" s="46">
        <f t="shared" si="133"/>
        <v>0</v>
      </c>
      <c r="L340" s="26"/>
      <c r="M340" s="46">
        <f>SUM(M342:M343)</f>
        <v>0</v>
      </c>
      <c r="N340" s="61"/>
      <c r="O340" s="75">
        <f t="shared" si="3"/>
        <v>115000000</v>
      </c>
      <c r="P340" s="75">
        <f t="shared" si="4"/>
        <v>115000000</v>
      </c>
      <c r="Q340" s="64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22"/>
      <c r="B341" s="67"/>
      <c r="C341" s="67"/>
      <c r="D341" s="35" t="s">
        <v>23</v>
      </c>
      <c r="E341" s="12"/>
      <c r="F341" s="13"/>
      <c r="G341" s="22"/>
      <c r="H341" s="22"/>
      <c r="I341" s="22"/>
      <c r="J341" s="22"/>
      <c r="K341" s="22"/>
      <c r="L341" s="26"/>
      <c r="M341" s="22"/>
      <c r="N341" s="61"/>
      <c r="O341" s="75">
        <f t="shared" si="3"/>
        <v>0</v>
      </c>
      <c r="P341" s="75">
        <f t="shared" si="4"/>
        <v>0</v>
      </c>
      <c r="Q341" s="64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22"/>
      <c r="B342" s="67"/>
      <c r="C342" s="67"/>
      <c r="D342" s="47" t="s">
        <v>24</v>
      </c>
      <c r="E342" s="35" t="s">
        <v>231</v>
      </c>
      <c r="F342" s="13"/>
      <c r="G342" s="36">
        <v>1.0</v>
      </c>
      <c r="H342" s="36" t="s">
        <v>97</v>
      </c>
      <c r="I342" s="48">
        <v>9.5E7</v>
      </c>
      <c r="J342" s="46">
        <f t="shared" ref="J342:J343" si="134">G342*I342</f>
        <v>95000000</v>
      </c>
      <c r="K342" s="46"/>
      <c r="L342" s="26"/>
      <c r="M342" s="46"/>
      <c r="N342" s="61"/>
      <c r="O342" s="75">
        <f t="shared" si="3"/>
        <v>95000000</v>
      </c>
      <c r="P342" s="75">
        <f t="shared" si="4"/>
        <v>95000000</v>
      </c>
      <c r="Q342" s="64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22"/>
      <c r="B343" s="67"/>
      <c r="C343" s="67"/>
      <c r="D343" s="47" t="s">
        <v>24</v>
      </c>
      <c r="E343" s="35" t="s">
        <v>167</v>
      </c>
      <c r="F343" s="13"/>
      <c r="G343" s="36">
        <v>100.0</v>
      </c>
      <c r="H343" s="36" t="s">
        <v>26</v>
      </c>
      <c r="I343" s="48">
        <v>200000.0</v>
      </c>
      <c r="J343" s="46">
        <f t="shared" si="134"/>
        <v>20000000</v>
      </c>
      <c r="K343" s="46"/>
      <c r="L343" s="26"/>
      <c r="M343" s="46"/>
      <c r="N343" s="61"/>
      <c r="O343" s="75">
        <f t="shared" si="3"/>
        <v>20000000</v>
      </c>
      <c r="P343" s="75">
        <f t="shared" si="4"/>
        <v>20000000</v>
      </c>
      <c r="Q343" s="64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35" t="s">
        <v>68</v>
      </c>
      <c r="B344" s="12"/>
      <c r="C344" s="13"/>
      <c r="D344" s="44" t="s">
        <v>69</v>
      </c>
      <c r="E344" s="12"/>
      <c r="F344" s="13"/>
      <c r="G344" s="22"/>
      <c r="H344" s="22"/>
      <c r="I344" s="22"/>
      <c r="J344" s="46">
        <f t="shared" ref="J344:K344" si="135">J346</f>
        <v>10000000</v>
      </c>
      <c r="K344" s="46" t="str">
        <f t="shared" si="135"/>
        <v/>
      </c>
      <c r="L344" s="26"/>
      <c r="M344" s="46" t="str">
        <f>M346</f>
        <v/>
      </c>
      <c r="N344" s="61"/>
      <c r="O344" s="75">
        <f t="shared" si="3"/>
        <v>10000000</v>
      </c>
      <c r="P344" s="75">
        <f t="shared" si="4"/>
        <v>10000000</v>
      </c>
      <c r="Q344" s="64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22"/>
      <c r="B345" s="67"/>
      <c r="C345" s="67"/>
      <c r="D345" s="35" t="s">
        <v>23</v>
      </c>
      <c r="E345" s="12"/>
      <c r="F345" s="13"/>
      <c r="G345" s="22"/>
      <c r="H345" s="22"/>
      <c r="I345" s="22"/>
      <c r="J345" s="22"/>
      <c r="K345" s="22"/>
      <c r="L345" s="26"/>
      <c r="M345" s="22"/>
      <c r="N345" s="61"/>
      <c r="O345" s="75">
        <f t="shared" si="3"/>
        <v>0</v>
      </c>
      <c r="P345" s="75">
        <f t="shared" si="4"/>
        <v>0</v>
      </c>
      <c r="Q345" s="64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22"/>
      <c r="B346" s="67"/>
      <c r="C346" s="67"/>
      <c r="D346" s="47" t="s">
        <v>24</v>
      </c>
      <c r="E346" s="35" t="s">
        <v>70</v>
      </c>
      <c r="F346" s="13"/>
      <c r="G346" s="36">
        <v>20.0</v>
      </c>
      <c r="H346" s="36" t="s">
        <v>26</v>
      </c>
      <c r="I346" s="48">
        <v>500000.0</v>
      </c>
      <c r="J346" s="46">
        <f>G346*I346</f>
        <v>10000000</v>
      </c>
      <c r="K346" s="46"/>
      <c r="L346" s="26"/>
      <c r="M346" s="46"/>
      <c r="N346" s="61"/>
      <c r="O346" s="75">
        <f t="shared" si="3"/>
        <v>10000000</v>
      </c>
      <c r="P346" s="75">
        <f t="shared" si="4"/>
        <v>10000000</v>
      </c>
      <c r="Q346" s="64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35" t="s">
        <v>47</v>
      </c>
      <c r="B347" s="12"/>
      <c r="C347" s="13"/>
      <c r="D347" s="44" t="s">
        <v>48</v>
      </c>
      <c r="E347" s="12"/>
      <c r="F347" s="13"/>
      <c r="G347" s="22"/>
      <c r="H347" s="22"/>
      <c r="I347" s="22"/>
      <c r="J347" s="46">
        <f t="shared" ref="J347:K347" si="136">J349</f>
        <v>16000000</v>
      </c>
      <c r="K347" s="46" t="str">
        <f t="shared" si="136"/>
        <v/>
      </c>
      <c r="L347" s="26"/>
      <c r="M347" s="46" t="str">
        <f>M349</f>
        <v/>
      </c>
      <c r="N347" s="61"/>
      <c r="O347" s="75">
        <f t="shared" si="3"/>
        <v>16000000</v>
      </c>
      <c r="P347" s="75">
        <f t="shared" si="4"/>
        <v>16000000</v>
      </c>
      <c r="Q347" s="64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22"/>
      <c r="B348" s="67"/>
      <c r="C348" s="67"/>
      <c r="D348" s="35" t="s">
        <v>23</v>
      </c>
      <c r="E348" s="12"/>
      <c r="F348" s="13"/>
      <c r="G348" s="22"/>
      <c r="H348" s="22"/>
      <c r="I348" s="22"/>
      <c r="J348" s="22"/>
      <c r="K348" s="22"/>
      <c r="L348" s="26"/>
      <c r="M348" s="22"/>
      <c r="N348" s="61"/>
      <c r="O348" s="75">
        <f t="shared" si="3"/>
        <v>0</v>
      </c>
      <c r="P348" s="75">
        <f t="shared" si="4"/>
        <v>0</v>
      </c>
      <c r="Q348" s="64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22"/>
      <c r="B349" s="67"/>
      <c r="C349" s="67"/>
      <c r="D349" s="47" t="s">
        <v>24</v>
      </c>
      <c r="E349" s="35" t="s">
        <v>165</v>
      </c>
      <c r="F349" s="13"/>
      <c r="G349" s="36">
        <v>4.0</v>
      </c>
      <c r="H349" s="36" t="s">
        <v>26</v>
      </c>
      <c r="I349" s="48">
        <v>4000000.0</v>
      </c>
      <c r="J349" s="46">
        <f>G349*I349</f>
        <v>16000000</v>
      </c>
      <c r="K349" s="46"/>
      <c r="L349" s="26"/>
      <c r="M349" s="46"/>
      <c r="N349" s="61"/>
      <c r="O349" s="75">
        <f t="shared" si="3"/>
        <v>16000000</v>
      </c>
      <c r="P349" s="75">
        <f t="shared" si="4"/>
        <v>16000000</v>
      </c>
      <c r="Q349" s="64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35" t="s">
        <v>58</v>
      </c>
      <c r="B350" s="12"/>
      <c r="C350" s="13"/>
      <c r="D350" s="44" t="s">
        <v>34</v>
      </c>
      <c r="E350" s="12"/>
      <c r="F350" s="13"/>
      <c r="G350" s="22"/>
      <c r="H350" s="22"/>
      <c r="I350" s="22"/>
      <c r="J350" s="46">
        <f t="shared" ref="J350:K350" si="137">J352</f>
        <v>48000000</v>
      </c>
      <c r="K350" s="46" t="str">
        <f t="shared" si="137"/>
        <v/>
      </c>
      <c r="L350" s="26"/>
      <c r="M350" s="46" t="str">
        <f>M352</f>
        <v/>
      </c>
      <c r="N350" s="61"/>
      <c r="O350" s="75">
        <f t="shared" si="3"/>
        <v>48000000</v>
      </c>
      <c r="P350" s="75">
        <f t="shared" si="4"/>
        <v>48000000</v>
      </c>
      <c r="Q350" s="64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22"/>
      <c r="B351" s="67"/>
      <c r="C351" s="67"/>
      <c r="D351" s="35" t="s">
        <v>23</v>
      </c>
      <c r="E351" s="12"/>
      <c r="F351" s="13"/>
      <c r="G351" s="22"/>
      <c r="H351" s="22"/>
      <c r="I351" s="22"/>
      <c r="J351" s="22"/>
      <c r="K351" s="22"/>
      <c r="L351" s="26"/>
      <c r="M351" s="22"/>
      <c r="N351" s="61"/>
      <c r="O351" s="75">
        <f t="shared" si="3"/>
        <v>0</v>
      </c>
      <c r="P351" s="75">
        <f t="shared" si="4"/>
        <v>0</v>
      </c>
      <c r="Q351" s="64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22"/>
      <c r="B352" s="67"/>
      <c r="C352" s="67"/>
      <c r="D352" s="47" t="s">
        <v>24</v>
      </c>
      <c r="E352" s="35" t="s">
        <v>71</v>
      </c>
      <c r="F352" s="13"/>
      <c r="G352" s="36">
        <v>96.0</v>
      </c>
      <c r="H352" s="36" t="s">
        <v>26</v>
      </c>
      <c r="I352" s="48">
        <v>500000.0</v>
      </c>
      <c r="J352" s="46">
        <f>G352*I352</f>
        <v>48000000</v>
      </c>
      <c r="K352" s="46"/>
      <c r="L352" s="26"/>
      <c r="M352" s="46"/>
      <c r="N352" s="61"/>
      <c r="O352" s="75">
        <f t="shared" si="3"/>
        <v>48000000</v>
      </c>
      <c r="P352" s="75">
        <f t="shared" si="4"/>
        <v>48000000</v>
      </c>
      <c r="Q352" s="64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41" t="s">
        <v>72</v>
      </c>
      <c r="B353" s="12"/>
      <c r="C353" s="13"/>
      <c r="D353" s="41" t="s">
        <v>73</v>
      </c>
      <c r="E353" s="12"/>
      <c r="F353" s="13"/>
      <c r="G353" s="22"/>
      <c r="H353" s="22"/>
      <c r="I353" s="22"/>
      <c r="J353" s="43">
        <f t="shared" ref="J353:K353" si="138">J354+J359</f>
        <v>151200000</v>
      </c>
      <c r="K353" s="43">
        <f t="shared" si="138"/>
        <v>0</v>
      </c>
      <c r="L353" s="26"/>
      <c r="M353" s="43">
        <f>M354+M359</f>
        <v>0</v>
      </c>
      <c r="N353" s="61"/>
      <c r="O353" s="75">
        <f t="shared" si="3"/>
        <v>151200000</v>
      </c>
      <c r="P353" s="75">
        <f t="shared" si="4"/>
        <v>151200000</v>
      </c>
      <c r="Q353" s="64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35" t="s">
        <v>74</v>
      </c>
      <c r="B354" s="12"/>
      <c r="C354" s="13"/>
      <c r="D354" s="44" t="s">
        <v>75</v>
      </c>
      <c r="E354" s="12"/>
      <c r="F354" s="13"/>
      <c r="G354" s="22"/>
      <c r="H354" s="22"/>
      <c r="I354" s="22"/>
      <c r="J354" s="46">
        <f t="shared" ref="J354:K354" si="139">SUM(J356:J358)</f>
        <v>142700000</v>
      </c>
      <c r="K354" s="46">
        <f t="shared" si="139"/>
        <v>0</v>
      </c>
      <c r="L354" s="26"/>
      <c r="M354" s="46">
        <f>SUM(M356:M358)</f>
        <v>0</v>
      </c>
      <c r="N354" s="61"/>
      <c r="O354" s="75">
        <f t="shared" si="3"/>
        <v>142700000</v>
      </c>
      <c r="P354" s="75">
        <f t="shared" si="4"/>
        <v>142700000</v>
      </c>
      <c r="Q354" s="64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22"/>
      <c r="B355" s="67"/>
      <c r="C355" s="67"/>
      <c r="D355" s="35" t="s">
        <v>23</v>
      </c>
      <c r="E355" s="12"/>
      <c r="F355" s="13"/>
      <c r="G355" s="22"/>
      <c r="H355" s="22"/>
      <c r="I355" s="22"/>
      <c r="J355" s="22"/>
      <c r="K355" s="22"/>
      <c r="L355" s="26"/>
      <c r="M355" s="22"/>
      <c r="N355" s="61"/>
      <c r="O355" s="75">
        <f t="shared" si="3"/>
        <v>0</v>
      </c>
      <c r="P355" s="75">
        <f t="shared" si="4"/>
        <v>0</v>
      </c>
      <c r="Q355" s="64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22"/>
      <c r="B356" s="67"/>
      <c r="C356" s="67"/>
      <c r="D356" s="47" t="s">
        <v>24</v>
      </c>
      <c r="E356" s="35" t="s">
        <v>76</v>
      </c>
      <c r="F356" s="13"/>
      <c r="G356" s="36">
        <v>20.0</v>
      </c>
      <c r="H356" s="36" t="s">
        <v>26</v>
      </c>
      <c r="I356" s="48">
        <v>5000000.0</v>
      </c>
      <c r="J356" s="46">
        <f t="shared" ref="J356:J358" si="140">G356*I356</f>
        <v>100000000</v>
      </c>
      <c r="K356" s="46"/>
      <c r="L356" s="26"/>
      <c r="M356" s="46"/>
      <c r="N356" s="61"/>
      <c r="O356" s="75">
        <f t="shared" si="3"/>
        <v>100000000</v>
      </c>
      <c r="P356" s="75">
        <f t="shared" si="4"/>
        <v>100000000</v>
      </c>
      <c r="Q356" s="64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22"/>
      <c r="B357" s="67"/>
      <c r="C357" s="67"/>
      <c r="D357" s="47" t="s">
        <v>24</v>
      </c>
      <c r="E357" s="35" t="s">
        <v>77</v>
      </c>
      <c r="F357" s="13"/>
      <c r="G357" s="36">
        <v>30.0</v>
      </c>
      <c r="H357" s="36" t="s">
        <v>26</v>
      </c>
      <c r="I357" s="48">
        <v>850000.0</v>
      </c>
      <c r="J357" s="46">
        <f t="shared" si="140"/>
        <v>25500000</v>
      </c>
      <c r="K357" s="46"/>
      <c r="L357" s="26"/>
      <c r="M357" s="46"/>
      <c r="N357" s="61"/>
      <c r="O357" s="75">
        <f t="shared" si="3"/>
        <v>25500000</v>
      </c>
      <c r="P357" s="75">
        <f t="shared" si="4"/>
        <v>25500000</v>
      </c>
      <c r="Q357" s="64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22"/>
      <c r="B358" s="67"/>
      <c r="C358" s="67"/>
      <c r="D358" s="47" t="s">
        <v>24</v>
      </c>
      <c r="E358" s="35" t="s">
        <v>78</v>
      </c>
      <c r="F358" s="13"/>
      <c r="G358" s="36">
        <v>40.0</v>
      </c>
      <c r="H358" s="36" t="s">
        <v>26</v>
      </c>
      <c r="I358" s="48">
        <v>430000.0</v>
      </c>
      <c r="J358" s="46">
        <f t="shared" si="140"/>
        <v>17200000</v>
      </c>
      <c r="K358" s="46"/>
      <c r="L358" s="26"/>
      <c r="M358" s="46"/>
      <c r="N358" s="61"/>
      <c r="O358" s="75">
        <f t="shared" si="3"/>
        <v>17200000</v>
      </c>
      <c r="P358" s="75">
        <f t="shared" si="4"/>
        <v>17200000</v>
      </c>
      <c r="Q358" s="64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35" t="s">
        <v>79</v>
      </c>
      <c r="B359" s="12"/>
      <c r="C359" s="47"/>
      <c r="D359" s="44" t="s">
        <v>80</v>
      </c>
      <c r="E359" s="12"/>
      <c r="F359" s="13"/>
      <c r="G359" s="22"/>
      <c r="H359" s="22"/>
      <c r="I359" s="22"/>
      <c r="J359" s="46">
        <f t="shared" ref="J359:K359" si="141">J361</f>
        <v>8500000</v>
      </c>
      <c r="K359" s="46" t="str">
        <f t="shared" si="141"/>
        <v/>
      </c>
      <c r="L359" s="26"/>
      <c r="M359" s="46" t="str">
        <f>M361</f>
        <v/>
      </c>
      <c r="N359" s="61"/>
      <c r="O359" s="75">
        <f t="shared" si="3"/>
        <v>8500000</v>
      </c>
      <c r="P359" s="75">
        <f t="shared" si="4"/>
        <v>8500000</v>
      </c>
      <c r="Q359" s="64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22"/>
      <c r="B360" s="67"/>
      <c r="C360" s="67"/>
      <c r="D360" s="35" t="s">
        <v>23</v>
      </c>
      <c r="E360" s="12"/>
      <c r="F360" s="13"/>
      <c r="G360" s="22"/>
      <c r="H360" s="22"/>
      <c r="I360" s="22"/>
      <c r="J360" s="22"/>
      <c r="K360" s="22"/>
      <c r="L360" s="26"/>
      <c r="M360" s="22"/>
      <c r="N360" s="61"/>
      <c r="O360" s="75">
        <f t="shared" si="3"/>
        <v>0</v>
      </c>
      <c r="P360" s="75">
        <f t="shared" si="4"/>
        <v>0</v>
      </c>
      <c r="Q360" s="64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22"/>
      <c r="B361" s="67"/>
      <c r="C361" s="67"/>
      <c r="D361" s="47" t="s">
        <v>24</v>
      </c>
      <c r="E361" s="35" t="s">
        <v>81</v>
      </c>
      <c r="F361" s="13"/>
      <c r="G361" s="36">
        <v>50.0</v>
      </c>
      <c r="H361" s="36" t="s">
        <v>26</v>
      </c>
      <c r="I361" s="48">
        <v>170000.0</v>
      </c>
      <c r="J361" s="46">
        <f>G361*I361</f>
        <v>8500000</v>
      </c>
      <c r="K361" s="46"/>
      <c r="L361" s="26"/>
      <c r="M361" s="46"/>
      <c r="N361" s="61"/>
      <c r="O361" s="75">
        <f t="shared" si="3"/>
        <v>8500000</v>
      </c>
      <c r="P361" s="75">
        <f t="shared" si="4"/>
        <v>8500000</v>
      </c>
      <c r="Q361" s="64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41" t="s">
        <v>82</v>
      </c>
      <c r="B362" s="12"/>
      <c r="C362" s="56"/>
      <c r="D362" s="41" t="s">
        <v>83</v>
      </c>
      <c r="E362" s="12"/>
      <c r="F362" s="13"/>
      <c r="G362" s="22"/>
      <c r="H362" s="22"/>
      <c r="I362" s="22"/>
      <c r="J362" s="43">
        <f t="shared" ref="J362:K362" si="142">J363+J368</f>
        <v>1434000000</v>
      </c>
      <c r="K362" s="43">
        <f t="shared" si="142"/>
        <v>83250000</v>
      </c>
      <c r="L362" s="26"/>
      <c r="M362" s="43">
        <f>M363+M368</f>
        <v>150750000</v>
      </c>
      <c r="N362" s="61"/>
      <c r="O362" s="75">
        <f t="shared" si="3"/>
        <v>1350750000</v>
      </c>
      <c r="P362" s="75">
        <f t="shared" si="4"/>
        <v>1283250000</v>
      </c>
      <c r="Q362" s="64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35" t="s">
        <v>84</v>
      </c>
      <c r="B363" s="12"/>
      <c r="C363" s="47"/>
      <c r="D363" s="44" t="s">
        <v>85</v>
      </c>
      <c r="E363" s="12"/>
      <c r="F363" s="13"/>
      <c r="G363" s="22"/>
      <c r="H363" s="22"/>
      <c r="I363" s="22"/>
      <c r="J363" s="46">
        <f t="shared" ref="J363:K363" si="143">SUM(J365:J367)</f>
        <v>1320000000</v>
      </c>
      <c r="K363" s="46">
        <f t="shared" si="143"/>
        <v>83250000</v>
      </c>
      <c r="L363" s="26"/>
      <c r="M363" s="46">
        <f>SUM(M365:M367)</f>
        <v>150750000</v>
      </c>
      <c r="N363" s="61"/>
      <c r="O363" s="75">
        <f t="shared" si="3"/>
        <v>1236750000</v>
      </c>
      <c r="P363" s="75">
        <f t="shared" si="4"/>
        <v>1169250000</v>
      </c>
      <c r="Q363" s="64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22"/>
      <c r="B364" s="67"/>
      <c r="C364" s="67"/>
      <c r="D364" s="35" t="s">
        <v>23</v>
      </c>
      <c r="E364" s="12"/>
      <c r="F364" s="13"/>
      <c r="G364" s="22"/>
      <c r="H364" s="22"/>
      <c r="I364" s="22"/>
      <c r="J364" s="22"/>
      <c r="K364" s="22"/>
      <c r="L364" s="26"/>
      <c r="M364" s="22"/>
      <c r="N364" s="61"/>
      <c r="O364" s="75">
        <f t="shared" si="3"/>
        <v>0</v>
      </c>
      <c r="P364" s="75">
        <f t="shared" si="4"/>
        <v>0</v>
      </c>
      <c r="Q364" s="64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22"/>
      <c r="B365" s="67"/>
      <c r="C365" s="67"/>
      <c r="D365" s="47" t="s">
        <v>24</v>
      </c>
      <c r="E365" s="35" t="s">
        <v>168</v>
      </c>
      <c r="F365" s="13"/>
      <c r="G365" s="36">
        <v>54750.0</v>
      </c>
      <c r="H365" s="36" t="s">
        <v>87</v>
      </c>
      <c r="I365" s="48">
        <v>15000.0</v>
      </c>
      <c r="J365" s="46">
        <f t="shared" ref="J365:J367" si="144">G365*I365</f>
        <v>821250000</v>
      </c>
      <c r="K365" s="46">
        <v>6.225E7</v>
      </c>
      <c r="L365" s="26"/>
      <c r="M365" s="46">
        <v>1.0875E8</v>
      </c>
      <c r="N365" s="61"/>
      <c r="O365" s="75">
        <f t="shared" si="3"/>
        <v>759000000</v>
      </c>
      <c r="P365" s="75">
        <f t="shared" si="4"/>
        <v>712500000</v>
      </c>
      <c r="Q365" s="64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22"/>
      <c r="B366" s="67"/>
      <c r="C366" s="67"/>
      <c r="D366" s="47" t="s">
        <v>24</v>
      </c>
      <c r="E366" s="35" t="s">
        <v>88</v>
      </c>
      <c r="F366" s="13"/>
      <c r="G366" s="36">
        <v>9000.0</v>
      </c>
      <c r="H366" s="36" t="s">
        <v>87</v>
      </c>
      <c r="I366" s="48">
        <v>25000.0</v>
      </c>
      <c r="J366" s="46">
        <f t="shared" si="144"/>
        <v>225000000</v>
      </c>
      <c r="K366" s="46"/>
      <c r="L366" s="26"/>
      <c r="M366" s="46"/>
      <c r="N366" s="61"/>
      <c r="O366" s="75">
        <f t="shared" si="3"/>
        <v>225000000</v>
      </c>
      <c r="P366" s="75">
        <f t="shared" si="4"/>
        <v>225000000</v>
      </c>
      <c r="Q366" s="64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22"/>
      <c r="B367" s="67"/>
      <c r="C367" s="67"/>
      <c r="D367" s="47" t="s">
        <v>24</v>
      </c>
      <c r="E367" s="35" t="s">
        <v>169</v>
      </c>
      <c r="F367" s="13"/>
      <c r="G367" s="36">
        <v>36500.0</v>
      </c>
      <c r="H367" s="36" t="s">
        <v>87</v>
      </c>
      <c r="I367" s="48">
        <v>7500.0</v>
      </c>
      <c r="J367" s="46">
        <f t="shared" si="144"/>
        <v>273750000</v>
      </c>
      <c r="K367" s="46">
        <v>2.1E7</v>
      </c>
      <c r="L367" s="26"/>
      <c r="M367" s="46">
        <v>4.2E7</v>
      </c>
      <c r="N367" s="61"/>
      <c r="O367" s="75">
        <f t="shared" si="3"/>
        <v>252750000</v>
      </c>
      <c r="P367" s="75">
        <f t="shared" si="4"/>
        <v>231750000</v>
      </c>
      <c r="Q367" s="64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35" t="s">
        <v>63</v>
      </c>
      <c r="B368" s="12"/>
      <c r="C368" s="47"/>
      <c r="D368" s="44" t="s">
        <v>64</v>
      </c>
      <c r="E368" s="12"/>
      <c r="F368" s="13"/>
      <c r="G368" s="22"/>
      <c r="H368" s="22"/>
      <c r="I368" s="22"/>
      <c r="J368" s="88">
        <f t="shared" ref="J368:N368" si="145">J370+J371</f>
        <v>114000000</v>
      </c>
      <c r="K368" s="88">
        <f t="shared" si="145"/>
        <v>0</v>
      </c>
      <c r="L368" s="88">
        <f t="shared" si="145"/>
        <v>0</v>
      </c>
      <c r="M368" s="88">
        <f t="shared" si="145"/>
        <v>0</v>
      </c>
      <c r="N368" s="88">
        <f t="shared" si="145"/>
        <v>0</v>
      </c>
      <c r="O368" s="75">
        <f t="shared" si="3"/>
        <v>114000000</v>
      </c>
      <c r="P368" s="75">
        <f t="shared" si="4"/>
        <v>114000000</v>
      </c>
      <c r="Q368" s="64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22"/>
      <c r="B369" s="67"/>
      <c r="C369" s="67"/>
      <c r="D369" s="35" t="s">
        <v>23</v>
      </c>
      <c r="E369" s="12"/>
      <c r="F369" s="13"/>
      <c r="G369" s="22"/>
      <c r="H369" s="22"/>
      <c r="I369" s="22"/>
      <c r="J369" s="1"/>
      <c r="K369" s="22"/>
      <c r="L369" s="26"/>
      <c r="M369" s="22"/>
      <c r="N369" s="61"/>
      <c r="O369" s="75">
        <f t="shared" si="3"/>
        <v>0</v>
      </c>
      <c r="P369" s="75">
        <f t="shared" si="4"/>
        <v>0</v>
      </c>
      <c r="Q369" s="64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22"/>
      <c r="B370" s="67"/>
      <c r="C370" s="67"/>
      <c r="D370" s="47" t="s">
        <v>24</v>
      </c>
      <c r="E370" s="35" t="s">
        <v>90</v>
      </c>
      <c r="F370" s="13"/>
      <c r="G370" s="36">
        <v>180.0</v>
      </c>
      <c r="H370" s="36" t="s">
        <v>87</v>
      </c>
      <c r="I370" s="48">
        <v>500000.0</v>
      </c>
      <c r="J370" s="46">
        <f t="shared" ref="J370:J371" si="146">G370*I370</f>
        <v>90000000</v>
      </c>
      <c r="K370" s="46"/>
      <c r="L370" s="26"/>
      <c r="M370" s="46"/>
      <c r="N370" s="61"/>
      <c r="O370" s="75">
        <f t="shared" si="3"/>
        <v>90000000</v>
      </c>
      <c r="P370" s="75">
        <f t="shared" si="4"/>
        <v>90000000</v>
      </c>
      <c r="Q370" s="64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22"/>
      <c r="B371" s="67"/>
      <c r="C371" s="67"/>
      <c r="D371" s="47" t="s">
        <v>24</v>
      </c>
      <c r="E371" s="35" t="s">
        <v>170</v>
      </c>
      <c r="F371" s="13"/>
      <c r="G371" s="36">
        <v>600.0</v>
      </c>
      <c r="H371" s="36" t="s">
        <v>87</v>
      </c>
      <c r="I371" s="48">
        <v>40000.0</v>
      </c>
      <c r="J371" s="46">
        <f t="shared" si="146"/>
        <v>24000000</v>
      </c>
      <c r="K371" s="46"/>
      <c r="L371" s="26"/>
      <c r="M371" s="46"/>
      <c r="N371" s="61"/>
      <c r="O371" s="75">
        <f t="shared" si="3"/>
        <v>24000000</v>
      </c>
      <c r="P371" s="75">
        <f t="shared" si="4"/>
        <v>24000000</v>
      </c>
      <c r="Q371" s="64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41" t="s">
        <v>92</v>
      </c>
      <c r="B372" s="12"/>
      <c r="C372" s="56"/>
      <c r="D372" s="41" t="s">
        <v>93</v>
      </c>
      <c r="E372" s="12"/>
      <c r="F372" s="13"/>
      <c r="G372" s="22"/>
      <c r="H372" s="22"/>
      <c r="I372" s="22"/>
      <c r="J372" s="43">
        <f t="shared" ref="J372:K372" si="147">J373</f>
        <v>41836000</v>
      </c>
      <c r="K372" s="43">
        <f t="shared" si="147"/>
        <v>0</v>
      </c>
      <c r="L372" s="26"/>
      <c r="M372" s="43">
        <f>M373</f>
        <v>2217500</v>
      </c>
      <c r="N372" s="61"/>
      <c r="O372" s="75">
        <f t="shared" si="3"/>
        <v>41836000</v>
      </c>
      <c r="P372" s="75">
        <f t="shared" si="4"/>
        <v>39618500</v>
      </c>
      <c r="Q372" s="64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35" t="s">
        <v>68</v>
      </c>
      <c r="B373" s="12"/>
      <c r="C373" s="47"/>
      <c r="D373" s="44" t="s">
        <v>69</v>
      </c>
      <c r="E373" s="12"/>
      <c r="F373" s="13"/>
      <c r="G373" s="22"/>
      <c r="H373" s="22"/>
      <c r="I373" s="22"/>
      <c r="J373" s="46">
        <f t="shared" ref="J373:K373" si="148">SUM(J375:J376)</f>
        <v>41836000</v>
      </c>
      <c r="K373" s="46">
        <f t="shared" si="148"/>
        <v>0</v>
      </c>
      <c r="L373" s="26"/>
      <c r="M373" s="46">
        <f>SUM(M375:M376)</f>
        <v>2217500</v>
      </c>
      <c r="N373" s="61"/>
      <c r="O373" s="75">
        <f t="shared" si="3"/>
        <v>41836000</v>
      </c>
      <c r="P373" s="75">
        <f t="shared" si="4"/>
        <v>39618500</v>
      </c>
      <c r="Q373" s="64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22"/>
      <c r="B374" s="67"/>
      <c r="C374" s="67"/>
      <c r="D374" s="35" t="s">
        <v>23</v>
      </c>
      <c r="E374" s="12"/>
      <c r="F374" s="13"/>
      <c r="G374" s="22"/>
      <c r="H374" s="22"/>
      <c r="I374" s="22"/>
      <c r="J374" s="22"/>
      <c r="K374" s="22"/>
      <c r="L374" s="26"/>
      <c r="M374" s="22"/>
      <c r="N374" s="61"/>
      <c r="O374" s="75">
        <f t="shared" si="3"/>
        <v>0</v>
      </c>
      <c r="P374" s="75">
        <f t="shared" si="4"/>
        <v>0</v>
      </c>
      <c r="Q374" s="64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22"/>
      <c r="B375" s="67"/>
      <c r="C375" s="67"/>
      <c r="D375" s="47" t="s">
        <v>24</v>
      </c>
      <c r="E375" s="35" t="s">
        <v>94</v>
      </c>
      <c r="F375" s="13"/>
      <c r="G375" s="36">
        <v>12.0</v>
      </c>
      <c r="H375" s="36" t="s">
        <v>95</v>
      </c>
      <c r="I375" s="48">
        <v>2500000.0</v>
      </c>
      <c r="J375" s="46">
        <f t="shared" ref="J375:J376" si="149">G375*I375</f>
        <v>30000000</v>
      </c>
      <c r="K375" s="46"/>
      <c r="L375" s="26"/>
      <c r="M375" s="46">
        <v>2217500.0</v>
      </c>
      <c r="N375" s="61"/>
      <c r="O375" s="75">
        <f t="shared" si="3"/>
        <v>30000000</v>
      </c>
      <c r="P375" s="75">
        <f t="shared" si="4"/>
        <v>27782500</v>
      </c>
      <c r="Q375" s="64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22"/>
      <c r="B376" s="67"/>
      <c r="C376" s="67"/>
      <c r="D376" s="47" t="s">
        <v>24</v>
      </c>
      <c r="E376" s="35" t="s">
        <v>232</v>
      </c>
      <c r="F376" s="13"/>
      <c r="G376" s="36">
        <v>1.0</v>
      </c>
      <c r="H376" s="36" t="s">
        <v>97</v>
      </c>
      <c r="I376" s="48">
        <v>1.1836E7</v>
      </c>
      <c r="J376" s="46">
        <f t="shared" si="149"/>
        <v>11836000</v>
      </c>
      <c r="K376" s="46"/>
      <c r="L376" s="26"/>
      <c r="M376" s="46"/>
      <c r="N376" s="61"/>
      <c r="O376" s="75">
        <f t="shared" si="3"/>
        <v>11836000</v>
      </c>
      <c r="P376" s="75">
        <f t="shared" si="4"/>
        <v>11836000</v>
      </c>
      <c r="Q376" s="64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41" t="s">
        <v>98</v>
      </c>
      <c r="B377" s="12"/>
      <c r="C377" s="56"/>
      <c r="D377" s="41" t="s">
        <v>99</v>
      </c>
      <c r="E377" s="12"/>
      <c r="F377" s="13"/>
      <c r="G377" s="22"/>
      <c r="H377" s="22"/>
      <c r="I377" s="22"/>
      <c r="J377" s="43">
        <f t="shared" ref="J377:K377" si="150">J378+J387</f>
        <v>6760000</v>
      </c>
      <c r="K377" s="43">
        <f t="shared" si="150"/>
        <v>0</v>
      </c>
      <c r="L377" s="26"/>
      <c r="M377" s="43">
        <f>M378+M387</f>
        <v>0</v>
      </c>
      <c r="N377" s="61"/>
      <c r="O377" s="75">
        <f t="shared" si="3"/>
        <v>6760000</v>
      </c>
      <c r="P377" s="75">
        <f t="shared" si="4"/>
        <v>6760000</v>
      </c>
      <c r="Q377" s="64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35" t="s">
        <v>100</v>
      </c>
      <c r="B378" s="12"/>
      <c r="C378" s="47"/>
      <c r="D378" s="44" t="s">
        <v>101</v>
      </c>
      <c r="E378" s="12"/>
      <c r="F378" s="13"/>
      <c r="G378" s="22"/>
      <c r="H378" s="22"/>
      <c r="I378" s="22"/>
      <c r="J378" s="46">
        <f t="shared" ref="J378:K378" si="151">SUM(J380:J386)</f>
        <v>5600000</v>
      </c>
      <c r="K378" s="46">
        <f t="shared" si="151"/>
        <v>0</v>
      </c>
      <c r="L378" s="26"/>
      <c r="M378" s="46">
        <f>SUM(M380:M386)</f>
        <v>0</v>
      </c>
      <c r="N378" s="61"/>
      <c r="O378" s="75">
        <f t="shared" si="3"/>
        <v>5600000</v>
      </c>
      <c r="P378" s="75">
        <f t="shared" si="4"/>
        <v>5600000</v>
      </c>
      <c r="Q378" s="64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22"/>
      <c r="B379" s="67"/>
      <c r="C379" s="67"/>
      <c r="D379" s="35" t="s">
        <v>23</v>
      </c>
      <c r="E379" s="12"/>
      <c r="F379" s="13"/>
      <c r="G379" s="22"/>
      <c r="H379" s="22"/>
      <c r="I379" s="22"/>
      <c r="J379" s="22"/>
      <c r="K379" s="22"/>
      <c r="L379" s="26"/>
      <c r="M379" s="22"/>
      <c r="N379" s="61"/>
      <c r="O379" s="75">
        <f t="shared" si="3"/>
        <v>0</v>
      </c>
      <c r="P379" s="75">
        <f t="shared" si="4"/>
        <v>0</v>
      </c>
      <c r="Q379" s="64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22"/>
      <c r="B380" s="67"/>
      <c r="C380" s="67"/>
      <c r="D380" s="47" t="s">
        <v>24</v>
      </c>
      <c r="E380" s="35" t="s">
        <v>102</v>
      </c>
      <c r="F380" s="13"/>
      <c r="G380" s="36">
        <v>2.0</v>
      </c>
      <c r="H380" s="36" t="s">
        <v>95</v>
      </c>
      <c r="I380" s="48">
        <v>350000.0</v>
      </c>
      <c r="J380" s="46">
        <f t="shared" ref="J380:J386" si="152">G380*I380</f>
        <v>700000</v>
      </c>
      <c r="K380" s="46"/>
      <c r="L380" s="26"/>
      <c r="M380" s="46"/>
      <c r="N380" s="61"/>
      <c r="O380" s="75">
        <f t="shared" si="3"/>
        <v>700000</v>
      </c>
      <c r="P380" s="75">
        <f t="shared" si="4"/>
        <v>700000</v>
      </c>
      <c r="Q380" s="64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22"/>
      <c r="B381" s="67"/>
      <c r="C381" s="67"/>
      <c r="D381" s="47" t="s">
        <v>24</v>
      </c>
      <c r="E381" s="35" t="s">
        <v>103</v>
      </c>
      <c r="F381" s="13"/>
      <c r="G381" s="36">
        <v>2.0</v>
      </c>
      <c r="H381" s="36" t="s">
        <v>95</v>
      </c>
      <c r="I381" s="48">
        <v>225000.0</v>
      </c>
      <c r="J381" s="46">
        <f t="shared" si="152"/>
        <v>450000</v>
      </c>
      <c r="K381" s="46"/>
      <c r="L381" s="26"/>
      <c r="M381" s="46"/>
      <c r="N381" s="61"/>
      <c r="O381" s="75">
        <f t="shared" si="3"/>
        <v>450000</v>
      </c>
      <c r="P381" s="75">
        <f t="shared" si="4"/>
        <v>450000</v>
      </c>
      <c r="Q381" s="64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22"/>
      <c r="B382" s="67"/>
      <c r="C382" s="67"/>
      <c r="D382" s="47" t="s">
        <v>24</v>
      </c>
      <c r="E382" s="35" t="s">
        <v>104</v>
      </c>
      <c r="F382" s="13"/>
      <c r="G382" s="36">
        <v>2.0</v>
      </c>
      <c r="H382" s="36" t="s">
        <v>95</v>
      </c>
      <c r="I382" s="48">
        <v>450000.0</v>
      </c>
      <c r="J382" s="46">
        <f t="shared" si="152"/>
        <v>900000</v>
      </c>
      <c r="K382" s="46"/>
      <c r="L382" s="26"/>
      <c r="M382" s="46"/>
      <c r="N382" s="61"/>
      <c r="O382" s="75">
        <f t="shared" si="3"/>
        <v>900000</v>
      </c>
      <c r="P382" s="75">
        <f t="shared" si="4"/>
        <v>900000</v>
      </c>
      <c r="Q382" s="64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22"/>
      <c r="B383" s="67"/>
      <c r="C383" s="67"/>
      <c r="D383" s="47" t="s">
        <v>24</v>
      </c>
      <c r="E383" s="35" t="s">
        <v>105</v>
      </c>
      <c r="F383" s="13"/>
      <c r="G383" s="36">
        <v>2.0</v>
      </c>
      <c r="H383" s="36" t="s">
        <v>95</v>
      </c>
      <c r="I383" s="48">
        <v>250000.0</v>
      </c>
      <c r="J383" s="46">
        <f t="shared" si="152"/>
        <v>500000</v>
      </c>
      <c r="K383" s="46"/>
      <c r="L383" s="26"/>
      <c r="M383" s="46"/>
      <c r="N383" s="61"/>
      <c r="O383" s="75">
        <f t="shared" si="3"/>
        <v>500000</v>
      </c>
      <c r="P383" s="75">
        <f t="shared" si="4"/>
        <v>500000</v>
      </c>
      <c r="Q383" s="64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22"/>
      <c r="B384" s="67"/>
      <c r="C384" s="67"/>
      <c r="D384" s="47" t="s">
        <v>24</v>
      </c>
      <c r="E384" s="35" t="s">
        <v>106</v>
      </c>
      <c r="F384" s="13"/>
      <c r="G384" s="36">
        <v>2.0</v>
      </c>
      <c r="H384" s="36" t="s">
        <v>95</v>
      </c>
      <c r="I384" s="48">
        <v>100000.0</v>
      </c>
      <c r="J384" s="46">
        <f t="shared" si="152"/>
        <v>200000</v>
      </c>
      <c r="K384" s="46"/>
      <c r="L384" s="26"/>
      <c r="M384" s="46"/>
      <c r="N384" s="61"/>
      <c r="O384" s="75">
        <f t="shared" si="3"/>
        <v>200000</v>
      </c>
      <c r="P384" s="75">
        <f t="shared" si="4"/>
        <v>200000</v>
      </c>
      <c r="Q384" s="64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22"/>
      <c r="B385" s="67"/>
      <c r="C385" s="67"/>
      <c r="D385" s="47" t="s">
        <v>24</v>
      </c>
      <c r="E385" s="35" t="s">
        <v>107</v>
      </c>
      <c r="F385" s="13"/>
      <c r="G385" s="36">
        <v>2.0</v>
      </c>
      <c r="H385" s="36" t="s">
        <v>95</v>
      </c>
      <c r="I385" s="48">
        <v>725000.0</v>
      </c>
      <c r="J385" s="46">
        <f t="shared" si="152"/>
        <v>1450000</v>
      </c>
      <c r="K385" s="46"/>
      <c r="L385" s="26"/>
      <c r="M385" s="46"/>
      <c r="N385" s="61"/>
      <c r="O385" s="75">
        <f t="shared" si="3"/>
        <v>1450000</v>
      </c>
      <c r="P385" s="75">
        <f t="shared" si="4"/>
        <v>1450000</v>
      </c>
      <c r="Q385" s="64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22"/>
      <c r="B386" s="67"/>
      <c r="C386" s="67"/>
      <c r="D386" s="47" t="s">
        <v>24</v>
      </c>
      <c r="E386" s="35" t="s">
        <v>108</v>
      </c>
      <c r="F386" s="13"/>
      <c r="G386" s="36">
        <v>2.0</v>
      </c>
      <c r="H386" s="36" t="s">
        <v>95</v>
      </c>
      <c r="I386" s="48">
        <v>700000.0</v>
      </c>
      <c r="J386" s="46">
        <f t="shared" si="152"/>
        <v>1400000</v>
      </c>
      <c r="K386" s="46"/>
      <c r="L386" s="26"/>
      <c r="M386" s="46"/>
      <c r="N386" s="61"/>
      <c r="O386" s="75">
        <f t="shared" si="3"/>
        <v>1400000</v>
      </c>
      <c r="P386" s="75">
        <f t="shared" si="4"/>
        <v>1400000</v>
      </c>
      <c r="Q386" s="64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35" t="s">
        <v>68</v>
      </c>
      <c r="B387" s="12"/>
      <c r="C387" s="47"/>
      <c r="D387" s="44" t="s">
        <v>69</v>
      </c>
      <c r="E387" s="12"/>
      <c r="F387" s="13"/>
      <c r="G387" s="22"/>
      <c r="H387" s="22"/>
      <c r="I387" s="22"/>
      <c r="J387" s="46">
        <f t="shared" ref="J387:K387" si="153">SUM(J389:J392)</f>
        <v>1160000</v>
      </c>
      <c r="K387" s="46">
        <f t="shared" si="153"/>
        <v>0</v>
      </c>
      <c r="L387" s="26"/>
      <c r="M387" s="46">
        <f>SUM(M389:M392)</f>
        <v>0</v>
      </c>
      <c r="N387" s="61"/>
      <c r="O387" s="75">
        <f t="shared" si="3"/>
        <v>1160000</v>
      </c>
      <c r="P387" s="75">
        <f t="shared" si="4"/>
        <v>1160000</v>
      </c>
      <c r="Q387" s="64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22"/>
      <c r="B388" s="67"/>
      <c r="C388" s="67"/>
      <c r="D388" s="35" t="s">
        <v>23</v>
      </c>
      <c r="E388" s="12"/>
      <c r="F388" s="13"/>
      <c r="G388" s="22"/>
      <c r="H388" s="22"/>
      <c r="I388" s="22"/>
      <c r="J388" s="22"/>
      <c r="K388" s="22"/>
      <c r="L388" s="26"/>
      <c r="M388" s="22"/>
      <c r="N388" s="61"/>
      <c r="O388" s="75">
        <f t="shared" si="3"/>
        <v>0</v>
      </c>
      <c r="P388" s="75">
        <f t="shared" si="4"/>
        <v>0</v>
      </c>
      <c r="Q388" s="64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22"/>
      <c r="B389" s="67"/>
      <c r="C389" s="67"/>
      <c r="D389" s="47" t="s">
        <v>24</v>
      </c>
      <c r="E389" s="35" t="s">
        <v>109</v>
      </c>
      <c r="F389" s="13"/>
      <c r="G389" s="36">
        <v>10.0</v>
      </c>
      <c r="H389" s="36" t="s">
        <v>95</v>
      </c>
      <c r="I389" s="48">
        <v>50000.0</v>
      </c>
      <c r="J389" s="46">
        <f t="shared" ref="J389:J392" si="154">G389*I389</f>
        <v>500000</v>
      </c>
      <c r="K389" s="46"/>
      <c r="L389" s="26"/>
      <c r="M389" s="46"/>
      <c r="N389" s="61"/>
      <c r="O389" s="75">
        <f t="shared" si="3"/>
        <v>500000</v>
      </c>
      <c r="P389" s="75">
        <f t="shared" si="4"/>
        <v>500000</v>
      </c>
      <c r="Q389" s="64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22"/>
      <c r="B390" s="67"/>
      <c r="C390" s="67"/>
      <c r="D390" s="47" t="s">
        <v>24</v>
      </c>
      <c r="E390" s="35" t="s">
        <v>110</v>
      </c>
      <c r="F390" s="13"/>
      <c r="G390" s="36">
        <v>2.0</v>
      </c>
      <c r="H390" s="36" t="s">
        <v>95</v>
      </c>
      <c r="I390" s="48">
        <v>100000.0</v>
      </c>
      <c r="J390" s="46">
        <f t="shared" si="154"/>
        <v>200000</v>
      </c>
      <c r="K390" s="46"/>
      <c r="L390" s="26"/>
      <c r="M390" s="46"/>
      <c r="N390" s="61"/>
      <c r="O390" s="75">
        <f t="shared" si="3"/>
        <v>200000</v>
      </c>
      <c r="P390" s="75">
        <f t="shared" si="4"/>
        <v>200000</v>
      </c>
      <c r="Q390" s="64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22"/>
      <c r="B391" s="67"/>
      <c r="C391" s="67"/>
      <c r="D391" s="47" t="s">
        <v>24</v>
      </c>
      <c r="E391" s="35" t="s">
        <v>111</v>
      </c>
      <c r="F391" s="13"/>
      <c r="G391" s="36">
        <v>2.0</v>
      </c>
      <c r="H391" s="36" t="s">
        <v>95</v>
      </c>
      <c r="I391" s="48">
        <v>200000.0</v>
      </c>
      <c r="J391" s="46">
        <f t="shared" si="154"/>
        <v>400000</v>
      </c>
      <c r="K391" s="46"/>
      <c r="L391" s="26"/>
      <c r="M391" s="46"/>
      <c r="N391" s="61"/>
      <c r="O391" s="75">
        <f t="shared" si="3"/>
        <v>400000</v>
      </c>
      <c r="P391" s="75">
        <f t="shared" si="4"/>
        <v>400000</v>
      </c>
      <c r="Q391" s="64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22"/>
      <c r="B392" s="67"/>
      <c r="C392" s="67"/>
      <c r="D392" s="47" t="s">
        <v>24</v>
      </c>
      <c r="E392" s="35" t="s">
        <v>112</v>
      </c>
      <c r="F392" s="13"/>
      <c r="G392" s="36">
        <v>2.0</v>
      </c>
      <c r="H392" s="36" t="s">
        <v>95</v>
      </c>
      <c r="I392" s="48">
        <v>30000.0</v>
      </c>
      <c r="J392" s="46">
        <f t="shared" si="154"/>
        <v>60000</v>
      </c>
      <c r="K392" s="46"/>
      <c r="L392" s="26"/>
      <c r="M392" s="46"/>
      <c r="N392" s="61"/>
      <c r="O392" s="75">
        <f t="shared" si="3"/>
        <v>60000</v>
      </c>
      <c r="P392" s="75">
        <f t="shared" si="4"/>
        <v>60000</v>
      </c>
      <c r="Q392" s="64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41" t="s">
        <v>113</v>
      </c>
      <c r="B393" s="12"/>
      <c r="C393" s="56"/>
      <c r="D393" s="41" t="s">
        <v>114</v>
      </c>
      <c r="E393" s="12"/>
      <c r="F393" s="13"/>
      <c r="G393" s="22"/>
      <c r="H393" s="22"/>
      <c r="I393" s="22"/>
      <c r="J393" s="43">
        <f t="shared" ref="J393:K393" si="155">J394</f>
        <v>410750000</v>
      </c>
      <c r="K393" s="43">
        <f t="shared" si="155"/>
        <v>0</v>
      </c>
      <c r="L393" s="26"/>
      <c r="M393" s="43">
        <f>M394</f>
        <v>29236000</v>
      </c>
      <c r="N393" s="61"/>
      <c r="O393" s="75">
        <f t="shared" si="3"/>
        <v>410750000</v>
      </c>
      <c r="P393" s="75">
        <f t="shared" si="4"/>
        <v>381514000</v>
      </c>
      <c r="Q393" s="64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35" t="s">
        <v>68</v>
      </c>
      <c r="B394" s="12"/>
      <c r="C394" s="47"/>
      <c r="D394" s="44" t="s">
        <v>69</v>
      </c>
      <c r="E394" s="12"/>
      <c r="F394" s="13"/>
      <c r="G394" s="22"/>
      <c r="H394" s="22"/>
      <c r="I394" s="22"/>
      <c r="J394" s="46">
        <f t="shared" ref="J394:K394" si="156">SUM(J396:J406)</f>
        <v>410750000</v>
      </c>
      <c r="K394" s="46">
        <f t="shared" si="156"/>
        <v>0</v>
      </c>
      <c r="L394" s="26"/>
      <c r="M394" s="46">
        <f>SUM(M396:M406)</f>
        <v>29236000</v>
      </c>
      <c r="N394" s="61"/>
      <c r="O394" s="75">
        <f t="shared" si="3"/>
        <v>410750000</v>
      </c>
      <c r="P394" s="75">
        <f t="shared" si="4"/>
        <v>381514000</v>
      </c>
      <c r="Q394" s="64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22"/>
      <c r="B395" s="67"/>
      <c r="C395" s="67"/>
      <c r="D395" s="35" t="s">
        <v>23</v>
      </c>
      <c r="E395" s="12"/>
      <c r="F395" s="13"/>
      <c r="G395" s="22"/>
      <c r="H395" s="22"/>
      <c r="I395" s="22"/>
      <c r="J395" s="22"/>
      <c r="K395" s="22"/>
      <c r="L395" s="26"/>
      <c r="M395" s="22"/>
      <c r="N395" s="61"/>
      <c r="O395" s="75">
        <f t="shared" si="3"/>
        <v>0</v>
      </c>
      <c r="P395" s="75">
        <f t="shared" si="4"/>
        <v>0</v>
      </c>
      <c r="Q395" s="64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22"/>
      <c r="B396" s="67"/>
      <c r="C396" s="67"/>
      <c r="D396" s="47" t="s">
        <v>24</v>
      </c>
      <c r="E396" s="35" t="s">
        <v>172</v>
      </c>
      <c r="F396" s="13"/>
      <c r="G396" s="36">
        <v>100.0</v>
      </c>
      <c r="H396" s="36" t="s">
        <v>95</v>
      </c>
      <c r="I396" s="48">
        <v>110000.0</v>
      </c>
      <c r="J396" s="46">
        <f t="shared" ref="J396:J406" si="157">G396*I396</f>
        <v>11000000</v>
      </c>
      <c r="K396" s="46"/>
      <c r="L396" s="26"/>
      <c r="M396" s="46"/>
      <c r="N396" s="61"/>
      <c r="O396" s="75">
        <f t="shared" si="3"/>
        <v>11000000</v>
      </c>
      <c r="P396" s="75">
        <f t="shared" si="4"/>
        <v>11000000</v>
      </c>
      <c r="Q396" s="64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22"/>
      <c r="B397" s="67"/>
      <c r="C397" s="67"/>
      <c r="D397" s="47" t="s">
        <v>24</v>
      </c>
      <c r="E397" s="35" t="s">
        <v>173</v>
      </c>
      <c r="F397" s="13"/>
      <c r="G397" s="36">
        <v>100.0</v>
      </c>
      <c r="H397" s="36" t="s">
        <v>95</v>
      </c>
      <c r="I397" s="48">
        <v>120000.0</v>
      </c>
      <c r="J397" s="46">
        <f t="shared" si="157"/>
        <v>12000000</v>
      </c>
      <c r="K397" s="46"/>
      <c r="L397" s="26"/>
      <c r="M397" s="46"/>
      <c r="N397" s="61"/>
      <c r="O397" s="75">
        <f t="shared" si="3"/>
        <v>12000000</v>
      </c>
      <c r="P397" s="75">
        <f t="shared" si="4"/>
        <v>12000000</v>
      </c>
      <c r="Q397" s="64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22"/>
      <c r="B398" s="67"/>
      <c r="C398" s="67"/>
      <c r="D398" s="47" t="s">
        <v>24</v>
      </c>
      <c r="E398" s="35" t="s">
        <v>174</v>
      </c>
      <c r="F398" s="13"/>
      <c r="G398" s="36">
        <v>100.0</v>
      </c>
      <c r="H398" s="36" t="s">
        <v>95</v>
      </c>
      <c r="I398" s="48">
        <v>150000.0</v>
      </c>
      <c r="J398" s="46">
        <f t="shared" si="157"/>
        <v>15000000</v>
      </c>
      <c r="K398" s="46"/>
      <c r="L398" s="26"/>
      <c r="M398" s="46"/>
      <c r="N398" s="61"/>
      <c r="O398" s="75">
        <f t="shared" si="3"/>
        <v>15000000</v>
      </c>
      <c r="P398" s="75">
        <f t="shared" si="4"/>
        <v>15000000</v>
      </c>
      <c r="Q398" s="64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22"/>
      <c r="B399" s="67"/>
      <c r="C399" s="67"/>
      <c r="D399" s="47" t="s">
        <v>24</v>
      </c>
      <c r="E399" s="35" t="s">
        <v>175</v>
      </c>
      <c r="F399" s="13"/>
      <c r="G399" s="36">
        <v>100.0</v>
      </c>
      <c r="H399" s="36" t="s">
        <v>95</v>
      </c>
      <c r="I399" s="48">
        <v>100000.0</v>
      </c>
      <c r="J399" s="46">
        <f t="shared" si="157"/>
        <v>10000000</v>
      </c>
      <c r="K399" s="46"/>
      <c r="L399" s="26"/>
      <c r="M399" s="46"/>
      <c r="N399" s="61"/>
      <c r="O399" s="75">
        <f t="shared" si="3"/>
        <v>10000000</v>
      </c>
      <c r="P399" s="75">
        <f t="shared" si="4"/>
        <v>10000000</v>
      </c>
      <c r="Q399" s="64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22"/>
      <c r="B400" s="67"/>
      <c r="C400" s="67"/>
      <c r="D400" s="47" t="s">
        <v>24</v>
      </c>
      <c r="E400" s="35" t="s">
        <v>176</v>
      </c>
      <c r="F400" s="13"/>
      <c r="G400" s="36">
        <v>100.0</v>
      </c>
      <c r="H400" s="36" t="s">
        <v>95</v>
      </c>
      <c r="I400" s="48">
        <v>350000.0</v>
      </c>
      <c r="J400" s="46">
        <f t="shared" si="157"/>
        <v>35000000</v>
      </c>
      <c r="K400" s="46"/>
      <c r="L400" s="26"/>
      <c r="M400" s="46">
        <v>1.3726E7</v>
      </c>
      <c r="N400" s="61"/>
      <c r="O400" s="75">
        <f t="shared" si="3"/>
        <v>35000000</v>
      </c>
      <c r="P400" s="75">
        <f t="shared" si="4"/>
        <v>21274000</v>
      </c>
      <c r="Q400" s="64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22"/>
      <c r="B401" s="67"/>
      <c r="C401" s="67"/>
      <c r="D401" s="47" t="s">
        <v>24</v>
      </c>
      <c r="E401" s="35" t="s">
        <v>177</v>
      </c>
      <c r="F401" s="13"/>
      <c r="G401" s="36">
        <v>50.0</v>
      </c>
      <c r="H401" s="36" t="s">
        <v>95</v>
      </c>
      <c r="I401" s="48">
        <v>175000.0</v>
      </c>
      <c r="J401" s="46">
        <f t="shared" si="157"/>
        <v>8750000</v>
      </c>
      <c r="K401" s="46"/>
      <c r="L401" s="26"/>
      <c r="M401" s="46"/>
      <c r="N401" s="61"/>
      <c r="O401" s="75">
        <f t="shared" si="3"/>
        <v>8750000</v>
      </c>
      <c r="P401" s="75">
        <f t="shared" si="4"/>
        <v>8750000</v>
      </c>
      <c r="Q401" s="64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22"/>
      <c r="B402" s="67"/>
      <c r="C402" s="67"/>
      <c r="D402" s="47" t="s">
        <v>24</v>
      </c>
      <c r="E402" s="35" t="s">
        <v>178</v>
      </c>
      <c r="F402" s="13"/>
      <c r="G402" s="36">
        <v>350.0</v>
      </c>
      <c r="H402" s="36" t="s">
        <v>95</v>
      </c>
      <c r="I402" s="48">
        <v>150000.0</v>
      </c>
      <c r="J402" s="46">
        <f t="shared" si="157"/>
        <v>52500000</v>
      </c>
      <c r="K402" s="46"/>
      <c r="L402" s="26"/>
      <c r="M402" s="46"/>
      <c r="N402" s="61"/>
      <c r="O402" s="75">
        <f t="shared" si="3"/>
        <v>52500000</v>
      </c>
      <c r="P402" s="75">
        <f t="shared" si="4"/>
        <v>52500000</v>
      </c>
      <c r="Q402" s="64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22"/>
      <c r="B403" s="67"/>
      <c r="C403" s="67"/>
      <c r="D403" s="47" t="s">
        <v>24</v>
      </c>
      <c r="E403" s="35" t="s">
        <v>179</v>
      </c>
      <c r="F403" s="13"/>
      <c r="G403" s="36">
        <v>350.0</v>
      </c>
      <c r="H403" s="36" t="s">
        <v>95</v>
      </c>
      <c r="I403" s="48">
        <v>200000.0</v>
      </c>
      <c r="J403" s="46">
        <f t="shared" si="157"/>
        <v>70000000</v>
      </c>
      <c r="K403" s="46"/>
      <c r="L403" s="26"/>
      <c r="M403" s="46"/>
      <c r="N403" s="61"/>
      <c r="O403" s="75">
        <f t="shared" si="3"/>
        <v>70000000</v>
      </c>
      <c r="P403" s="75">
        <f t="shared" si="4"/>
        <v>70000000</v>
      </c>
      <c r="Q403" s="64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22"/>
      <c r="B404" s="67"/>
      <c r="C404" s="67"/>
      <c r="D404" s="47" t="s">
        <v>24</v>
      </c>
      <c r="E404" s="35" t="s">
        <v>180</v>
      </c>
      <c r="F404" s="13"/>
      <c r="G404" s="36">
        <v>600.0</v>
      </c>
      <c r="H404" s="36" t="s">
        <v>95</v>
      </c>
      <c r="I404" s="48">
        <v>250000.0</v>
      </c>
      <c r="J404" s="46">
        <f t="shared" si="157"/>
        <v>150000000</v>
      </c>
      <c r="K404" s="46"/>
      <c r="L404" s="26"/>
      <c r="M404" s="46">
        <v>1.486375E7</v>
      </c>
      <c r="N404" s="61"/>
      <c r="O404" s="75">
        <f t="shared" si="3"/>
        <v>150000000</v>
      </c>
      <c r="P404" s="75">
        <f t="shared" si="4"/>
        <v>135136250</v>
      </c>
      <c r="Q404" s="64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22"/>
      <c r="B405" s="67"/>
      <c r="C405" s="67"/>
      <c r="D405" s="47" t="s">
        <v>24</v>
      </c>
      <c r="E405" s="35" t="s">
        <v>181</v>
      </c>
      <c r="F405" s="13"/>
      <c r="G405" s="36">
        <v>360.0</v>
      </c>
      <c r="H405" s="36" t="s">
        <v>95</v>
      </c>
      <c r="I405" s="48">
        <v>100000.0</v>
      </c>
      <c r="J405" s="46">
        <f t="shared" si="157"/>
        <v>36000000</v>
      </c>
      <c r="K405" s="46"/>
      <c r="L405" s="26"/>
      <c r="M405" s="46">
        <v>646250.0</v>
      </c>
      <c r="N405" s="61"/>
      <c r="O405" s="75">
        <f t="shared" si="3"/>
        <v>36000000</v>
      </c>
      <c r="P405" s="75">
        <f t="shared" si="4"/>
        <v>35353750</v>
      </c>
      <c r="Q405" s="64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22"/>
      <c r="B406" s="67"/>
      <c r="C406" s="67"/>
      <c r="D406" s="47" t="s">
        <v>24</v>
      </c>
      <c r="E406" s="35" t="s">
        <v>182</v>
      </c>
      <c r="F406" s="13"/>
      <c r="G406" s="36">
        <v>210.0</v>
      </c>
      <c r="H406" s="36" t="s">
        <v>95</v>
      </c>
      <c r="I406" s="48">
        <v>50000.0</v>
      </c>
      <c r="J406" s="46">
        <f t="shared" si="157"/>
        <v>10500000</v>
      </c>
      <c r="K406" s="46"/>
      <c r="L406" s="26"/>
      <c r="M406" s="46"/>
      <c r="N406" s="61"/>
      <c r="O406" s="75">
        <f t="shared" si="3"/>
        <v>10500000</v>
      </c>
      <c r="P406" s="75">
        <f t="shared" si="4"/>
        <v>10500000</v>
      </c>
      <c r="Q406" s="64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41" t="s">
        <v>126</v>
      </c>
      <c r="B407" s="12"/>
      <c r="C407" s="56"/>
      <c r="D407" s="41" t="s">
        <v>127</v>
      </c>
      <c r="E407" s="12"/>
      <c r="F407" s="13"/>
      <c r="G407" s="22"/>
      <c r="H407" s="22"/>
      <c r="I407" s="22"/>
      <c r="J407" s="43">
        <f t="shared" ref="J407:K407" si="158">J408</f>
        <v>190740000</v>
      </c>
      <c r="K407" s="43">
        <f t="shared" si="158"/>
        <v>0</v>
      </c>
      <c r="L407" s="26"/>
      <c r="M407" s="43">
        <f>M408</f>
        <v>0</v>
      </c>
      <c r="N407" s="61"/>
      <c r="O407" s="75">
        <f t="shared" si="3"/>
        <v>190740000</v>
      </c>
      <c r="P407" s="75">
        <f t="shared" si="4"/>
        <v>190740000</v>
      </c>
      <c r="Q407" s="64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35" t="s">
        <v>68</v>
      </c>
      <c r="B408" s="12"/>
      <c r="C408" s="47"/>
      <c r="D408" s="44" t="s">
        <v>69</v>
      </c>
      <c r="E408" s="12"/>
      <c r="F408" s="13"/>
      <c r="G408" s="22"/>
      <c r="H408" s="22"/>
      <c r="I408" s="22"/>
      <c r="J408" s="46">
        <f t="shared" ref="J408:K408" si="159">SUM(J410:J414)</f>
        <v>190740000</v>
      </c>
      <c r="K408" s="46">
        <f t="shared" si="159"/>
        <v>0</v>
      </c>
      <c r="L408" s="26"/>
      <c r="M408" s="46">
        <f>SUM(M410:M414)</f>
        <v>0</v>
      </c>
      <c r="N408" s="61"/>
      <c r="O408" s="75">
        <f t="shared" si="3"/>
        <v>190740000</v>
      </c>
      <c r="P408" s="75">
        <f t="shared" si="4"/>
        <v>190740000</v>
      </c>
      <c r="Q408" s="64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22"/>
      <c r="B409" s="67"/>
      <c r="C409" s="67"/>
      <c r="D409" s="35" t="s">
        <v>23</v>
      </c>
      <c r="E409" s="12"/>
      <c r="F409" s="13"/>
      <c r="G409" s="22"/>
      <c r="H409" s="22"/>
      <c r="I409" s="22"/>
      <c r="J409" s="22"/>
      <c r="K409" s="22"/>
      <c r="L409" s="26"/>
      <c r="M409" s="22"/>
      <c r="N409" s="61"/>
      <c r="O409" s="75">
        <f t="shared" si="3"/>
        <v>0</v>
      </c>
      <c r="P409" s="75">
        <f t="shared" si="4"/>
        <v>0</v>
      </c>
      <c r="Q409" s="64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22"/>
      <c r="B410" s="67"/>
      <c r="C410" s="67"/>
      <c r="D410" s="47" t="s">
        <v>24</v>
      </c>
      <c r="E410" s="35" t="s">
        <v>128</v>
      </c>
      <c r="F410" s="13"/>
      <c r="G410" s="36">
        <v>88.0</v>
      </c>
      <c r="H410" s="36" t="s">
        <v>233</v>
      </c>
      <c r="I410" s="48">
        <v>110000.0</v>
      </c>
      <c r="J410" s="46">
        <f t="shared" ref="J410:J414" si="160">G410*I410</f>
        <v>9680000</v>
      </c>
      <c r="K410" s="46"/>
      <c r="L410" s="26"/>
      <c r="M410" s="46"/>
      <c r="N410" s="61"/>
      <c r="O410" s="75">
        <f t="shared" si="3"/>
        <v>9680000</v>
      </c>
      <c r="P410" s="75">
        <f t="shared" si="4"/>
        <v>9680000</v>
      </c>
      <c r="Q410" s="64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22"/>
      <c r="B411" s="67"/>
      <c r="C411" s="67"/>
      <c r="D411" s="47" t="s">
        <v>24</v>
      </c>
      <c r="E411" s="35" t="s">
        <v>130</v>
      </c>
      <c r="F411" s="13"/>
      <c r="G411" s="36">
        <v>88.0</v>
      </c>
      <c r="H411" s="36" t="s">
        <v>233</v>
      </c>
      <c r="I411" s="48">
        <v>120000.0</v>
      </c>
      <c r="J411" s="46">
        <f t="shared" si="160"/>
        <v>10560000</v>
      </c>
      <c r="K411" s="46"/>
      <c r="L411" s="26"/>
      <c r="M411" s="46"/>
      <c r="N411" s="61"/>
      <c r="O411" s="75">
        <f t="shared" si="3"/>
        <v>10560000</v>
      </c>
      <c r="P411" s="75">
        <f t="shared" si="4"/>
        <v>10560000</v>
      </c>
      <c r="Q411" s="64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22"/>
      <c r="B412" s="67"/>
      <c r="C412" s="67"/>
      <c r="D412" s="47" t="s">
        <v>24</v>
      </c>
      <c r="E412" s="35" t="s">
        <v>131</v>
      </c>
      <c r="F412" s="13"/>
      <c r="G412" s="36">
        <v>88.0</v>
      </c>
      <c r="H412" s="36" t="s">
        <v>233</v>
      </c>
      <c r="I412" s="48">
        <v>350000.0</v>
      </c>
      <c r="J412" s="46">
        <f t="shared" si="160"/>
        <v>30800000</v>
      </c>
      <c r="K412" s="46"/>
      <c r="L412" s="26"/>
      <c r="M412" s="46"/>
      <c r="N412" s="61"/>
      <c r="O412" s="75">
        <f t="shared" si="3"/>
        <v>30800000</v>
      </c>
      <c r="P412" s="75">
        <f t="shared" si="4"/>
        <v>30800000</v>
      </c>
      <c r="Q412" s="64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22"/>
      <c r="B413" s="67"/>
      <c r="C413" s="67"/>
      <c r="D413" s="47" t="s">
        <v>24</v>
      </c>
      <c r="E413" s="35" t="s">
        <v>132</v>
      </c>
      <c r="F413" s="13"/>
      <c r="G413" s="36">
        <v>44.0</v>
      </c>
      <c r="H413" s="36" t="s">
        <v>233</v>
      </c>
      <c r="I413" s="48">
        <v>175000.0</v>
      </c>
      <c r="J413" s="46">
        <f t="shared" si="160"/>
        <v>7700000</v>
      </c>
      <c r="K413" s="46"/>
      <c r="L413" s="26"/>
      <c r="M413" s="46"/>
      <c r="N413" s="61"/>
      <c r="O413" s="75">
        <f t="shared" si="3"/>
        <v>7700000</v>
      </c>
      <c r="P413" s="75">
        <f t="shared" si="4"/>
        <v>7700000</v>
      </c>
      <c r="Q413" s="64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22"/>
      <c r="B414" s="67"/>
      <c r="C414" s="67"/>
      <c r="D414" s="47" t="s">
        <v>24</v>
      </c>
      <c r="E414" s="35" t="s">
        <v>133</v>
      </c>
      <c r="F414" s="13"/>
      <c r="G414" s="36">
        <v>528.0</v>
      </c>
      <c r="H414" s="36" t="s">
        <v>233</v>
      </c>
      <c r="I414" s="48">
        <v>250000.0</v>
      </c>
      <c r="J414" s="46">
        <f t="shared" si="160"/>
        <v>132000000</v>
      </c>
      <c r="K414" s="46"/>
      <c r="L414" s="26"/>
      <c r="M414" s="46"/>
      <c r="N414" s="61"/>
      <c r="O414" s="75">
        <f t="shared" si="3"/>
        <v>132000000</v>
      </c>
      <c r="P414" s="75">
        <f t="shared" si="4"/>
        <v>132000000</v>
      </c>
      <c r="Q414" s="64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41" t="s">
        <v>134</v>
      </c>
      <c r="B415" s="12"/>
      <c r="C415" s="56"/>
      <c r="D415" s="41" t="s">
        <v>135</v>
      </c>
      <c r="E415" s="12"/>
      <c r="F415" s="13"/>
      <c r="G415" s="22"/>
      <c r="H415" s="22"/>
      <c r="I415" s="22"/>
      <c r="J415" s="43">
        <f t="shared" ref="J415:K415" si="161">J416</f>
        <v>20020000</v>
      </c>
      <c r="K415" s="43">
        <f t="shared" si="161"/>
        <v>0</v>
      </c>
      <c r="L415" s="26"/>
      <c r="M415" s="43">
        <f>M416</f>
        <v>0</v>
      </c>
      <c r="N415" s="61"/>
      <c r="O415" s="75">
        <f t="shared" si="3"/>
        <v>20020000</v>
      </c>
      <c r="P415" s="75">
        <f t="shared" si="4"/>
        <v>20020000</v>
      </c>
      <c r="Q415" s="64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35" t="s">
        <v>68</v>
      </c>
      <c r="B416" s="12"/>
      <c r="C416" s="47"/>
      <c r="D416" s="44" t="s">
        <v>69</v>
      </c>
      <c r="E416" s="12"/>
      <c r="F416" s="13"/>
      <c r="G416" s="22"/>
      <c r="H416" s="22"/>
      <c r="I416" s="22"/>
      <c r="J416" s="46">
        <f t="shared" ref="J416:K416" si="162">SUM(J418:J422)</f>
        <v>20020000</v>
      </c>
      <c r="K416" s="46">
        <f t="shared" si="162"/>
        <v>0</v>
      </c>
      <c r="L416" s="26"/>
      <c r="M416" s="46">
        <f>SUM(M418:M422)</f>
        <v>0</v>
      </c>
      <c r="N416" s="61"/>
      <c r="O416" s="75">
        <f t="shared" si="3"/>
        <v>20020000</v>
      </c>
      <c r="P416" s="75">
        <f t="shared" si="4"/>
        <v>20020000</v>
      </c>
      <c r="Q416" s="64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22"/>
      <c r="B417" s="67"/>
      <c r="C417" s="67"/>
      <c r="D417" s="35" t="s">
        <v>23</v>
      </c>
      <c r="E417" s="12"/>
      <c r="F417" s="13"/>
      <c r="G417" s="22"/>
      <c r="H417" s="22"/>
      <c r="I417" s="22"/>
      <c r="J417" s="22"/>
      <c r="K417" s="22"/>
      <c r="L417" s="26"/>
      <c r="M417" s="22"/>
      <c r="N417" s="61"/>
      <c r="O417" s="75">
        <f t="shared" si="3"/>
        <v>0</v>
      </c>
      <c r="P417" s="75">
        <f t="shared" si="4"/>
        <v>0</v>
      </c>
      <c r="Q417" s="64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22"/>
      <c r="B418" s="67"/>
      <c r="C418" s="67"/>
      <c r="D418" s="47" t="s">
        <v>24</v>
      </c>
      <c r="E418" s="35" t="s">
        <v>183</v>
      </c>
      <c r="F418" s="13"/>
      <c r="G418" s="36">
        <v>150.0</v>
      </c>
      <c r="H418" s="36" t="s">
        <v>95</v>
      </c>
      <c r="I418" s="48">
        <v>75000.0</v>
      </c>
      <c r="J418" s="46">
        <f t="shared" ref="J418:J422" si="163">G418*I418</f>
        <v>11250000</v>
      </c>
      <c r="K418" s="46"/>
      <c r="L418" s="26"/>
      <c r="M418" s="46"/>
      <c r="N418" s="61"/>
      <c r="O418" s="75">
        <f t="shared" si="3"/>
        <v>11250000</v>
      </c>
      <c r="P418" s="75">
        <f t="shared" si="4"/>
        <v>11250000</v>
      </c>
      <c r="Q418" s="64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22"/>
      <c r="B419" s="67"/>
      <c r="C419" s="67"/>
      <c r="D419" s="47" t="s">
        <v>24</v>
      </c>
      <c r="E419" s="35" t="s">
        <v>137</v>
      </c>
      <c r="F419" s="13"/>
      <c r="G419" s="36">
        <v>2.0</v>
      </c>
      <c r="H419" s="36" t="s">
        <v>95</v>
      </c>
      <c r="I419" s="48">
        <v>360000.0</v>
      </c>
      <c r="J419" s="46">
        <f t="shared" si="163"/>
        <v>720000</v>
      </c>
      <c r="K419" s="46"/>
      <c r="L419" s="26"/>
      <c r="M419" s="46"/>
      <c r="N419" s="61"/>
      <c r="O419" s="75">
        <f t="shared" si="3"/>
        <v>720000</v>
      </c>
      <c r="P419" s="75">
        <f t="shared" si="4"/>
        <v>720000</v>
      </c>
      <c r="Q419" s="64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22"/>
      <c r="B420" s="67"/>
      <c r="C420" s="67"/>
      <c r="D420" s="47" t="s">
        <v>24</v>
      </c>
      <c r="E420" s="35" t="s">
        <v>184</v>
      </c>
      <c r="F420" s="13"/>
      <c r="G420" s="36">
        <v>50.0</v>
      </c>
      <c r="H420" s="36" t="s">
        <v>95</v>
      </c>
      <c r="I420" s="48">
        <v>93000.0</v>
      </c>
      <c r="J420" s="46">
        <f t="shared" si="163"/>
        <v>4650000</v>
      </c>
      <c r="K420" s="46"/>
      <c r="L420" s="26"/>
      <c r="M420" s="46"/>
      <c r="N420" s="61"/>
      <c r="O420" s="75">
        <f t="shared" si="3"/>
        <v>4650000</v>
      </c>
      <c r="P420" s="75">
        <f t="shared" si="4"/>
        <v>4650000</v>
      </c>
      <c r="Q420" s="64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22"/>
      <c r="B421" s="67"/>
      <c r="C421" s="67"/>
      <c r="D421" s="47" t="s">
        <v>24</v>
      </c>
      <c r="E421" s="35" t="s">
        <v>185</v>
      </c>
      <c r="F421" s="13"/>
      <c r="G421" s="36">
        <v>50.0</v>
      </c>
      <c r="H421" s="36" t="s">
        <v>95</v>
      </c>
      <c r="I421" s="48">
        <v>53000.0</v>
      </c>
      <c r="J421" s="46">
        <f t="shared" si="163"/>
        <v>2650000</v>
      </c>
      <c r="K421" s="46"/>
      <c r="L421" s="26"/>
      <c r="M421" s="46"/>
      <c r="N421" s="61"/>
      <c r="O421" s="75">
        <f t="shared" si="3"/>
        <v>2650000</v>
      </c>
      <c r="P421" s="75">
        <f t="shared" si="4"/>
        <v>2650000</v>
      </c>
      <c r="Q421" s="64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22"/>
      <c r="B422" s="67"/>
      <c r="C422" s="67"/>
      <c r="D422" s="47" t="s">
        <v>24</v>
      </c>
      <c r="E422" s="35" t="s">
        <v>186</v>
      </c>
      <c r="F422" s="13"/>
      <c r="G422" s="36">
        <v>50.0</v>
      </c>
      <c r="H422" s="36" t="s">
        <v>95</v>
      </c>
      <c r="I422" s="48">
        <v>15000.0</v>
      </c>
      <c r="J422" s="46">
        <f t="shared" si="163"/>
        <v>750000</v>
      </c>
      <c r="K422" s="46"/>
      <c r="L422" s="26"/>
      <c r="M422" s="46"/>
      <c r="N422" s="61"/>
      <c r="O422" s="75">
        <f t="shared" si="3"/>
        <v>750000</v>
      </c>
      <c r="P422" s="75">
        <f t="shared" si="4"/>
        <v>750000</v>
      </c>
      <c r="Q422" s="64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41" t="s">
        <v>141</v>
      </c>
      <c r="B423" s="12"/>
      <c r="C423" s="56"/>
      <c r="D423" s="41" t="s">
        <v>142</v>
      </c>
      <c r="E423" s="12"/>
      <c r="F423" s="13"/>
      <c r="G423" s="22"/>
      <c r="H423" s="22"/>
      <c r="I423" s="22"/>
      <c r="J423" s="43">
        <f t="shared" ref="J423:K423" si="164">J424</f>
        <v>145500000</v>
      </c>
      <c r="K423" s="43">
        <f t="shared" si="164"/>
        <v>0</v>
      </c>
      <c r="L423" s="26"/>
      <c r="M423" s="43">
        <f>M424</f>
        <v>0</v>
      </c>
      <c r="N423" s="61"/>
      <c r="O423" s="75">
        <f t="shared" si="3"/>
        <v>145500000</v>
      </c>
      <c r="P423" s="75">
        <f t="shared" si="4"/>
        <v>145500000</v>
      </c>
      <c r="Q423" s="64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35" t="s">
        <v>68</v>
      </c>
      <c r="B424" s="12"/>
      <c r="C424" s="47"/>
      <c r="D424" s="44" t="s">
        <v>69</v>
      </c>
      <c r="E424" s="12"/>
      <c r="F424" s="13"/>
      <c r="G424" s="22"/>
      <c r="H424" s="22"/>
      <c r="I424" s="22"/>
      <c r="J424" s="46">
        <f t="shared" ref="J424:K424" si="165">SUM(J426:J428)</f>
        <v>145500000</v>
      </c>
      <c r="K424" s="46">
        <f t="shared" si="165"/>
        <v>0</v>
      </c>
      <c r="L424" s="26"/>
      <c r="M424" s="46">
        <f>SUM(M426:M428)</f>
        <v>0</v>
      </c>
      <c r="N424" s="61"/>
      <c r="O424" s="75">
        <f t="shared" si="3"/>
        <v>145500000</v>
      </c>
      <c r="P424" s="75">
        <f t="shared" si="4"/>
        <v>145500000</v>
      </c>
      <c r="Q424" s="64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22"/>
      <c r="B425" s="67"/>
      <c r="C425" s="67"/>
      <c r="D425" s="35" t="s">
        <v>23</v>
      </c>
      <c r="E425" s="12"/>
      <c r="F425" s="13"/>
      <c r="G425" s="22"/>
      <c r="H425" s="22"/>
      <c r="I425" s="22"/>
      <c r="J425" s="22"/>
      <c r="K425" s="22"/>
      <c r="L425" s="26"/>
      <c r="M425" s="22"/>
      <c r="N425" s="61"/>
      <c r="O425" s="75">
        <f t="shared" si="3"/>
        <v>0</v>
      </c>
      <c r="P425" s="75">
        <f t="shared" si="4"/>
        <v>0</v>
      </c>
      <c r="Q425" s="64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22"/>
      <c r="B426" s="67"/>
      <c r="C426" s="67"/>
      <c r="D426" s="47" t="s">
        <v>24</v>
      </c>
      <c r="E426" s="35" t="s">
        <v>187</v>
      </c>
      <c r="F426" s="13"/>
      <c r="G426" s="36">
        <v>50.0</v>
      </c>
      <c r="H426" s="36" t="s">
        <v>95</v>
      </c>
      <c r="I426" s="48">
        <v>2000000.0</v>
      </c>
      <c r="J426" s="46">
        <f t="shared" ref="J426:J428" si="166">G426*I426</f>
        <v>100000000</v>
      </c>
      <c r="K426" s="46"/>
      <c r="L426" s="26"/>
      <c r="M426" s="46"/>
      <c r="N426" s="61"/>
      <c r="O426" s="75">
        <f t="shared" si="3"/>
        <v>100000000</v>
      </c>
      <c r="P426" s="75">
        <f t="shared" si="4"/>
        <v>100000000</v>
      </c>
      <c r="Q426" s="64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22"/>
      <c r="B427" s="67"/>
      <c r="C427" s="67"/>
      <c r="D427" s="47" t="s">
        <v>24</v>
      </c>
      <c r="E427" s="35" t="s">
        <v>188</v>
      </c>
      <c r="F427" s="13"/>
      <c r="G427" s="36">
        <v>50.0</v>
      </c>
      <c r="H427" s="36" t="s">
        <v>95</v>
      </c>
      <c r="I427" s="48">
        <v>750000.0</v>
      </c>
      <c r="J427" s="46">
        <f t="shared" si="166"/>
        <v>37500000</v>
      </c>
      <c r="K427" s="46"/>
      <c r="L427" s="26"/>
      <c r="M427" s="46"/>
      <c r="N427" s="61"/>
      <c r="O427" s="75">
        <f t="shared" si="3"/>
        <v>37500000</v>
      </c>
      <c r="P427" s="75">
        <f t="shared" si="4"/>
        <v>37500000</v>
      </c>
      <c r="Q427" s="64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22"/>
      <c r="B428" s="67"/>
      <c r="C428" s="67"/>
      <c r="D428" s="47" t="s">
        <v>24</v>
      </c>
      <c r="E428" s="35" t="s">
        <v>145</v>
      </c>
      <c r="F428" s="13"/>
      <c r="G428" s="36">
        <v>4.0</v>
      </c>
      <c r="H428" s="36" t="s">
        <v>95</v>
      </c>
      <c r="I428" s="48">
        <v>2000000.0</v>
      </c>
      <c r="J428" s="46">
        <f t="shared" si="166"/>
        <v>8000000</v>
      </c>
      <c r="K428" s="46"/>
      <c r="L428" s="26"/>
      <c r="M428" s="46"/>
      <c r="N428" s="61"/>
      <c r="O428" s="75">
        <f t="shared" si="3"/>
        <v>8000000</v>
      </c>
      <c r="P428" s="75">
        <f t="shared" si="4"/>
        <v>8000000</v>
      </c>
      <c r="Q428" s="64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41" t="s">
        <v>146</v>
      </c>
      <c r="B429" s="12"/>
      <c r="C429" s="56"/>
      <c r="D429" s="41" t="s">
        <v>234</v>
      </c>
      <c r="E429" s="12"/>
      <c r="F429" s="13"/>
      <c r="G429" s="22"/>
      <c r="H429" s="22"/>
      <c r="I429" s="22"/>
      <c r="J429" s="43">
        <f t="shared" ref="J429:K429" si="167">J430+J437</f>
        <v>219800000</v>
      </c>
      <c r="K429" s="43">
        <f t="shared" si="167"/>
        <v>0</v>
      </c>
      <c r="L429" s="26"/>
      <c r="M429" s="43">
        <f>M430+M437</f>
        <v>7500000</v>
      </c>
      <c r="N429" s="61"/>
      <c r="O429" s="75">
        <f t="shared" si="3"/>
        <v>219800000</v>
      </c>
      <c r="P429" s="75">
        <f t="shared" si="4"/>
        <v>212300000</v>
      </c>
      <c r="Q429" s="64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35" t="s">
        <v>74</v>
      </c>
      <c r="B430" s="12"/>
      <c r="C430" s="13"/>
      <c r="D430" s="44" t="s">
        <v>75</v>
      </c>
      <c r="E430" s="12"/>
      <c r="F430" s="13"/>
      <c r="G430" s="22"/>
      <c r="H430" s="22"/>
      <c r="I430" s="22"/>
      <c r="J430" s="46">
        <f t="shared" ref="J430:K430" si="168">SUM(J432:J436)</f>
        <v>195800000</v>
      </c>
      <c r="K430" s="46">
        <f t="shared" si="168"/>
        <v>0</v>
      </c>
      <c r="L430" s="26"/>
      <c r="M430" s="46">
        <f>SUM(M432:M436)</f>
        <v>0</v>
      </c>
      <c r="N430" s="61"/>
      <c r="O430" s="75">
        <f t="shared" si="3"/>
        <v>195800000</v>
      </c>
      <c r="P430" s="75">
        <f t="shared" si="4"/>
        <v>195800000</v>
      </c>
      <c r="Q430" s="64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22"/>
      <c r="B431" s="67"/>
      <c r="C431" s="67"/>
      <c r="D431" s="35" t="s">
        <v>23</v>
      </c>
      <c r="E431" s="12"/>
      <c r="F431" s="13"/>
      <c r="G431" s="22"/>
      <c r="H431" s="22"/>
      <c r="I431" s="22"/>
      <c r="J431" s="22"/>
      <c r="K431" s="22"/>
      <c r="L431" s="26"/>
      <c r="M431" s="22"/>
      <c r="N431" s="61"/>
      <c r="O431" s="75">
        <f t="shared" si="3"/>
        <v>0</v>
      </c>
      <c r="P431" s="75">
        <f t="shared" si="4"/>
        <v>0</v>
      </c>
      <c r="Q431" s="64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22"/>
      <c r="B432" s="67"/>
      <c r="C432" s="67"/>
      <c r="D432" s="47" t="s">
        <v>24</v>
      </c>
      <c r="E432" s="35" t="s">
        <v>235</v>
      </c>
      <c r="F432" s="13"/>
      <c r="G432" s="36">
        <v>25.0</v>
      </c>
      <c r="H432" s="36" t="s">
        <v>26</v>
      </c>
      <c r="I432" s="48">
        <v>875000.0</v>
      </c>
      <c r="J432" s="46">
        <f t="shared" ref="J432:J436" si="169">G432*I432</f>
        <v>21875000</v>
      </c>
      <c r="K432" s="46"/>
      <c r="L432" s="26"/>
      <c r="M432" s="46"/>
      <c r="N432" s="61"/>
      <c r="O432" s="75">
        <f t="shared" si="3"/>
        <v>21875000</v>
      </c>
      <c r="P432" s="75">
        <f t="shared" si="4"/>
        <v>21875000</v>
      </c>
      <c r="Q432" s="64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22"/>
      <c r="B433" s="67"/>
      <c r="C433" s="67"/>
      <c r="D433" s="47" t="s">
        <v>24</v>
      </c>
      <c r="E433" s="35" t="s">
        <v>236</v>
      </c>
      <c r="F433" s="13"/>
      <c r="G433" s="36">
        <v>50.0</v>
      </c>
      <c r="H433" s="36" t="s">
        <v>26</v>
      </c>
      <c r="I433" s="48">
        <v>783500.0</v>
      </c>
      <c r="J433" s="46">
        <f t="shared" si="169"/>
        <v>39175000</v>
      </c>
      <c r="K433" s="46"/>
      <c r="L433" s="26"/>
      <c r="M433" s="46"/>
      <c r="N433" s="61"/>
      <c r="O433" s="75">
        <f t="shared" si="3"/>
        <v>39175000</v>
      </c>
      <c r="P433" s="75">
        <f t="shared" si="4"/>
        <v>39175000</v>
      </c>
      <c r="Q433" s="64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22"/>
      <c r="B434" s="67"/>
      <c r="C434" s="67"/>
      <c r="D434" s="47" t="s">
        <v>24</v>
      </c>
      <c r="E434" s="35" t="s">
        <v>237</v>
      </c>
      <c r="F434" s="13"/>
      <c r="G434" s="36">
        <v>75.0</v>
      </c>
      <c r="H434" s="36" t="s">
        <v>26</v>
      </c>
      <c r="I434" s="48">
        <v>430000.0</v>
      </c>
      <c r="J434" s="46">
        <f t="shared" si="169"/>
        <v>32250000</v>
      </c>
      <c r="K434" s="46"/>
      <c r="L434" s="26"/>
      <c r="M434" s="46"/>
      <c r="N434" s="61"/>
      <c r="O434" s="75">
        <f t="shared" si="3"/>
        <v>32250000</v>
      </c>
      <c r="P434" s="75">
        <f t="shared" si="4"/>
        <v>32250000</v>
      </c>
      <c r="Q434" s="64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22"/>
      <c r="B435" s="67"/>
      <c r="C435" s="67"/>
      <c r="D435" s="47" t="s">
        <v>24</v>
      </c>
      <c r="E435" s="35" t="s">
        <v>238</v>
      </c>
      <c r="F435" s="13"/>
      <c r="G435" s="36">
        <v>100.0</v>
      </c>
      <c r="H435" s="36" t="s">
        <v>26</v>
      </c>
      <c r="I435" s="48">
        <v>500000.0</v>
      </c>
      <c r="J435" s="46">
        <f t="shared" si="169"/>
        <v>50000000</v>
      </c>
      <c r="K435" s="46"/>
      <c r="L435" s="26"/>
      <c r="M435" s="46"/>
      <c r="N435" s="61"/>
      <c r="O435" s="75">
        <f t="shared" si="3"/>
        <v>50000000</v>
      </c>
      <c r="P435" s="75">
        <f t="shared" si="4"/>
        <v>50000000</v>
      </c>
      <c r="Q435" s="64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22"/>
      <c r="B436" s="67"/>
      <c r="C436" s="67"/>
      <c r="D436" s="47" t="s">
        <v>24</v>
      </c>
      <c r="E436" s="35" t="s">
        <v>239</v>
      </c>
      <c r="F436" s="13"/>
      <c r="G436" s="36">
        <v>150.0</v>
      </c>
      <c r="H436" s="36" t="s">
        <v>26</v>
      </c>
      <c r="I436" s="48">
        <v>350000.0</v>
      </c>
      <c r="J436" s="46">
        <f t="shared" si="169"/>
        <v>52500000</v>
      </c>
      <c r="K436" s="46"/>
      <c r="L436" s="26"/>
      <c r="M436" s="46"/>
      <c r="N436" s="61"/>
      <c r="O436" s="75">
        <f t="shared" si="3"/>
        <v>52500000</v>
      </c>
      <c r="P436" s="75">
        <f t="shared" si="4"/>
        <v>52500000</v>
      </c>
      <c r="Q436" s="64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35" t="s">
        <v>79</v>
      </c>
      <c r="B437" s="12"/>
      <c r="C437" s="13"/>
      <c r="D437" s="44" t="s">
        <v>80</v>
      </c>
      <c r="E437" s="12"/>
      <c r="F437" s="13"/>
      <c r="G437" s="22"/>
      <c r="H437" s="22"/>
      <c r="I437" s="22"/>
      <c r="J437" s="46">
        <f t="shared" ref="J437:K437" si="170">J439</f>
        <v>24000000</v>
      </c>
      <c r="K437" s="46" t="str">
        <f t="shared" si="170"/>
        <v/>
      </c>
      <c r="L437" s="26"/>
      <c r="M437" s="46">
        <f>M439</f>
        <v>7500000</v>
      </c>
      <c r="N437" s="61"/>
      <c r="O437" s="75">
        <f t="shared" si="3"/>
        <v>24000000</v>
      </c>
      <c r="P437" s="75">
        <f t="shared" si="4"/>
        <v>16500000</v>
      </c>
      <c r="Q437" s="64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22"/>
      <c r="B438" s="67"/>
      <c r="C438" s="67"/>
      <c r="D438" s="35" t="s">
        <v>23</v>
      </c>
      <c r="E438" s="12"/>
      <c r="F438" s="13"/>
      <c r="G438" s="22"/>
      <c r="H438" s="22"/>
      <c r="I438" s="22"/>
      <c r="J438" s="22"/>
      <c r="K438" s="22"/>
      <c r="L438" s="26"/>
      <c r="M438" s="22"/>
      <c r="N438" s="61"/>
      <c r="O438" s="75">
        <f t="shared" si="3"/>
        <v>0</v>
      </c>
      <c r="P438" s="75">
        <f t="shared" si="4"/>
        <v>0</v>
      </c>
      <c r="Q438" s="64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22"/>
      <c r="B439" s="67"/>
      <c r="C439" s="67"/>
      <c r="D439" s="47" t="s">
        <v>24</v>
      </c>
      <c r="E439" s="35" t="s">
        <v>240</v>
      </c>
      <c r="F439" s="13"/>
      <c r="G439" s="36">
        <v>160.0</v>
      </c>
      <c r="H439" s="36" t="s">
        <v>26</v>
      </c>
      <c r="I439" s="48">
        <v>150000.0</v>
      </c>
      <c r="J439" s="46">
        <f>G439*I439</f>
        <v>24000000</v>
      </c>
      <c r="K439" s="46"/>
      <c r="L439" s="26"/>
      <c r="M439" s="46">
        <v>7500000.0</v>
      </c>
      <c r="N439" s="61"/>
      <c r="O439" s="75">
        <f t="shared" si="3"/>
        <v>24000000</v>
      </c>
      <c r="P439" s="75">
        <f t="shared" si="4"/>
        <v>16500000</v>
      </c>
      <c r="Q439" s="64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78" t="s">
        <v>244</v>
      </c>
      <c r="B440" s="12"/>
      <c r="C440" s="13"/>
      <c r="D440" s="78" t="s">
        <v>245</v>
      </c>
      <c r="E440" s="12"/>
      <c r="F440" s="13"/>
      <c r="G440" s="82"/>
      <c r="H440" s="82"/>
      <c r="I440" s="83"/>
      <c r="J440" s="84">
        <f t="shared" ref="J440:K440" si="171">J441+J455+J467+J480+J497+J506+J516+J521+J537+J551+J559+J567+J573</f>
        <v>4068871000</v>
      </c>
      <c r="K440" s="84">
        <f t="shared" si="171"/>
        <v>209098300</v>
      </c>
      <c r="L440" s="26"/>
      <c r="M440" s="84">
        <f>M441+M455+M467+M480+M497+M506+M516+M521+M537+M551+M559+M567+M573</f>
        <v>291470438</v>
      </c>
      <c r="N440" s="61"/>
      <c r="O440" s="75">
        <f t="shared" si="3"/>
        <v>3859772700</v>
      </c>
      <c r="P440" s="75">
        <f t="shared" si="4"/>
        <v>3777400562</v>
      </c>
      <c r="Q440" s="64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41" t="s">
        <v>20</v>
      </c>
      <c r="B441" s="12"/>
      <c r="C441" s="13"/>
      <c r="D441" s="41" t="s">
        <v>21</v>
      </c>
      <c r="E441" s="12"/>
      <c r="F441" s="13"/>
      <c r="G441" s="22"/>
      <c r="H441" s="22"/>
      <c r="I441" s="22"/>
      <c r="J441" s="43">
        <f t="shared" ref="J441:K441" si="172">J442+J451</f>
        <v>195140000</v>
      </c>
      <c r="K441" s="43">
        <f t="shared" si="172"/>
        <v>0</v>
      </c>
      <c r="L441" s="26"/>
      <c r="M441" s="43">
        <f>M442+M451</f>
        <v>12357450</v>
      </c>
      <c r="N441" s="61"/>
      <c r="O441" s="75">
        <f t="shared" si="3"/>
        <v>195140000</v>
      </c>
      <c r="P441" s="75">
        <f t="shared" si="4"/>
        <v>182782550</v>
      </c>
      <c r="Q441" s="64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35" t="s">
        <v>40</v>
      </c>
      <c r="B442" s="12"/>
      <c r="C442" s="13"/>
      <c r="D442" s="44" t="s">
        <v>22</v>
      </c>
      <c r="E442" s="12"/>
      <c r="F442" s="13"/>
      <c r="G442" s="22"/>
      <c r="H442" s="22"/>
      <c r="I442" s="22"/>
      <c r="J442" s="46">
        <f t="shared" ref="J442:K442" si="173">SUM(J444:J450)</f>
        <v>179140000</v>
      </c>
      <c r="K442" s="46">
        <f t="shared" si="173"/>
        <v>0</v>
      </c>
      <c r="L442" s="26"/>
      <c r="M442" s="46">
        <f>SUM(M444:M450)</f>
        <v>8857450</v>
      </c>
      <c r="N442" s="61"/>
      <c r="O442" s="75">
        <f t="shared" si="3"/>
        <v>179140000</v>
      </c>
      <c r="P442" s="75">
        <f t="shared" si="4"/>
        <v>170282550</v>
      </c>
      <c r="Q442" s="64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22"/>
      <c r="B443" s="67"/>
      <c r="C443" s="67"/>
      <c r="D443" s="35" t="s">
        <v>23</v>
      </c>
      <c r="E443" s="12"/>
      <c r="F443" s="13"/>
      <c r="G443" s="22"/>
      <c r="H443" s="22"/>
      <c r="I443" s="22"/>
      <c r="J443" s="22"/>
      <c r="K443" s="22"/>
      <c r="L443" s="26"/>
      <c r="M443" s="22"/>
      <c r="N443" s="61"/>
      <c r="O443" s="75">
        <f t="shared" si="3"/>
        <v>0</v>
      </c>
      <c r="P443" s="75">
        <f t="shared" si="4"/>
        <v>0</v>
      </c>
      <c r="Q443" s="64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22"/>
      <c r="B444" s="67"/>
      <c r="C444" s="67"/>
      <c r="D444" s="47" t="s">
        <v>24</v>
      </c>
      <c r="E444" s="35" t="s">
        <v>246</v>
      </c>
      <c r="F444" s="13"/>
      <c r="G444" s="36">
        <v>36.0</v>
      </c>
      <c r="H444" s="36" t="s">
        <v>26</v>
      </c>
      <c r="I444" s="48">
        <v>500000.0</v>
      </c>
      <c r="J444" s="46">
        <f t="shared" ref="J444:J450" si="174">G444*I444</f>
        <v>18000000</v>
      </c>
      <c r="K444" s="46"/>
      <c r="L444" s="26"/>
      <c r="M444" s="46"/>
      <c r="N444" s="61"/>
      <c r="O444" s="75">
        <f t="shared" si="3"/>
        <v>18000000</v>
      </c>
      <c r="P444" s="75">
        <f t="shared" si="4"/>
        <v>18000000</v>
      </c>
      <c r="Q444" s="64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22"/>
      <c r="B445" s="67"/>
      <c r="C445" s="67"/>
      <c r="D445" s="47" t="s">
        <v>24</v>
      </c>
      <c r="E445" s="35" t="s">
        <v>27</v>
      </c>
      <c r="F445" s="13"/>
      <c r="G445" s="36">
        <v>2.0</v>
      </c>
      <c r="H445" s="36" t="s">
        <v>26</v>
      </c>
      <c r="I445" s="48">
        <v>2000000.0</v>
      </c>
      <c r="J445" s="46">
        <f t="shared" si="174"/>
        <v>4000000</v>
      </c>
      <c r="K445" s="46"/>
      <c r="L445" s="26"/>
      <c r="M445" s="46"/>
      <c r="N445" s="61"/>
      <c r="O445" s="75">
        <f t="shared" si="3"/>
        <v>4000000</v>
      </c>
      <c r="P445" s="75">
        <f t="shared" si="4"/>
        <v>4000000</v>
      </c>
      <c r="Q445" s="64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22"/>
      <c r="B446" s="67"/>
      <c r="C446" s="67"/>
      <c r="D446" s="47" t="s">
        <v>24</v>
      </c>
      <c r="E446" s="35" t="s">
        <v>28</v>
      </c>
      <c r="F446" s="13"/>
      <c r="G446" s="36">
        <v>10.0</v>
      </c>
      <c r="H446" s="36" t="s">
        <v>26</v>
      </c>
      <c r="I446" s="48">
        <v>500000.0</v>
      </c>
      <c r="J446" s="46">
        <f t="shared" si="174"/>
        <v>5000000</v>
      </c>
      <c r="K446" s="46"/>
      <c r="L446" s="26"/>
      <c r="M446" s="46"/>
      <c r="N446" s="61"/>
      <c r="O446" s="75">
        <f t="shared" si="3"/>
        <v>5000000</v>
      </c>
      <c r="P446" s="75">
        <f t="shared" si="4"/>
        <v>5000000</v>
      </c>
      <c r="Q446" s="64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22"/>
      <c r="B447" s="67"/>
      <c r="C447" s="67"/>
      <c r="D447" s="47" t="s">
        <v>24</v>
      </c>
      <c r="E447" s="35" t="s">
        <v>247</v>
      </c>
      <c r="F447" s="13"/>
      <c r="G447" s="36">
        <v>300.0</v>
      </c>
      <c r="H447" s="36" t="s">
        <v>26</v>
      </c>
      <c r="I447" s="48">
        <v>25000.0</v>
      </c>
      <c r="J447" s="46">
        <f t="shared" si="174"/>
        <v>7500000</v>
      </c>
      <c r="K447" s="46"/>
      <c r="L447" s="26"/>
      <c r="M447" s="46"/>
      <c r="N447" s="61"/>
      <c r="O447" s="75">
        <f t="shared" si="3"/>
        <v>7500000</v>
      </c>
      <c r="P447" s="75">
        <f t="shared" si="4"/>
        <v>7500000</v>
      </c>
      <c r="Q447" s="64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22"/>
      <c r="B448" s="67"/>
      <c r="C448" s="67"/>
      <c r="D448" s="47" t="s">
        <v>24</v>
      </c>
      <c r="E448" s="35" t="s">
        <v>31</v>
      </c>
      <c r="F448" s="13"/>
      <c r="G448" s="36">
        <v>320.0</v>
      </c>
      <c r="H448" s="36" t="s">
        <v>26</v>
      </c>
      <c r="I448" s="48">
        <v>53000.0</v>
      </c>
      <c r="J448" s="46">
        <f t="shared" si="174"/>
        <v>16960000</v>
      </c>
      <c r="K448" s="46"/>
      <c r="L448" s="26"/>
      <c r="M448" s="46">
        <v>2940000.0</v>
      </c>
      <c r="N448" s="61"/>
      <c r="O448" s="75">
        <f t="shared" si="3"/>
        <v>16960000</v>
      </c>
      <c r="P448" s="75">
        <f t="shared" si="4"/>
        <v>14020000</v>
      </c>
      <c r="Q448" s="64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22"/>
      <c r="B449" s="67"/>
      <c r="C449" s="67"/>
      <c r="D449" s="47" t="s">
        <v>24</v>
      </c>
      <c r="E449" s="35" t="s">
        <v>32</v>
      </c>
      <c r="F449" s="13"/>
      <c r="G449" s="36">
        <v>320.0</v>
      </c>
      <c r="H449" s="36" t="s">
        <v>26</v>
      </c>
      <c r="I449" s="48">
        <v>24000.0</v>
      </c>
      <c r="J449" s="46">
        <f t="shared" si="174"/>
        <v>7680000</v>
      </c>
      <c r="K449" s="46"/>
      <c r="L449" s="26"/>
      <c r="M449" s="46">
        <v>1380000.0</v>
      </c>
      <c r="N449" s="61"/>
      <c r="O449" s="75">
        <f t="shared" si="3"/>
        <v>7680000</v>
      </c>
      <c r="P449" s="75">
        <f t="shared" si="4"/>
        <v>6300000</v>
      </c>
      <c r="Q449" s="64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22"/>
      <c r="B450" s="67"/>
      <c r="C450" s="67"/>
      <c r="D450" s="47" t="s">
        <v>24</v>
      </c>
      <c r="E450" s="35" t="s">
        <v>248</v>
      </c>
      <c r="F450" s="13"/>
      <c r="G450" s="36">
        <v>150.0</v>
      </c>
      <c r="H450" s="36" t="s">
        <v>26</v>
      </c>
      <c r="I450" s="48">
        <v>800000.0</v>
      </c>
      <c r="J450" s="46">
        <f t="shared" si="174"/>
        <v>120000000</v>
      </c>
      <c r="K450" s="46"/>
      <c r="L450" s="26"/>
      <c r="M450" s="46">
        <v>4537450.0</v>
      </c>
      <c r="N450" s="61"/>
      <c r="O450" s="75">
        <f t="shared" si="3"/>
        <v>120000000</v>
      </c>
      <c r="P450" s="75">
        <f t="shared" si="4"/>
        <v>115462550</v>
      </c>
      <c r="Q450" s="64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35" t="s">
        <v>58</v>
      </c>
      <c r="B451" s="12"/>
      <c r="C451" s="47"/>
      <c r="D451" s="44" t="s">
        <v>34</v>
      </c>
      <c r="E451" s="12"/>
      <c r="F451" s="13"/>
      <c r="G451" s="22"/>
      <c r="H451" s="22"/>
      <c r="I451" s="22"/>
      <c r="J451" s="46">
        <f t="shared" ref="J451:K451" si="175">SUM(J453:J454)</f>
        <v>16000000</v>
      </c>
      <c r="K451" s="46">
        <f t="shared" si="175"/>
        <v>0</v>
      </c>
      <c r="L451" s="26"/>
      <c r="M451" s="46">
        <f>SUM(M453:M454)</f>
        <v>3500000</v>
      </c>
      <c r="N451" s="61"/>
      <c r="O451" s="75">
        <f t="shared" si="3"/>
        <v>16000000</v>
      </c>
      <c r="P451" s="75">
        <f t="shared" si="4"/>
        <v>12500000</v>
      </c>
      <c r="Q451" s="64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22"/>
      <c r="B452" s="67"/>
      <c r="C452" s="67"/>
      <c r="D452" s="35" t="s">
        <v>23</v>
      </c>
      <c r="E452" s="12"/>
      <c r="F452" s="13"/>
      <c r="G452" s="22"/>
      <c r="H452" s="22"/>
      <c r="I452" s="22"/>
      <c r="J452" s="22"/>
      <c r="K452" s="22"/>
      <c r="L452" s="26"/>
      <c r="M452" s="22"/>
      <c r="N452" s="61"/>
      <c r="O452" s="75">
        <f t="shared" si="3"/>
        <v>0</v>
      </c>
      <c r="P452" s="75">
        <f t="shared" si="4"/>
        <v>0</v>
      </c>
      <c r="Q452" s="64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22"/>
      <c r="B453" s="67"/>
      <c r="C453" s="67"/>
      <c r="D453" s="47" t="s">
        <v>24</v>
      </c>
      <c r="E453" s="35" t="s">
        <v>249</v>
      </c>
      <c r="F453" s="13"/>
      <c r="G453" s="36">
        <v>24.0</v>
      </c>
      <c r="H453" s="36" t="s">
        <v>26</v>
      </c>
      <c r="I453" s="48">
        <v>500000.0</v>
      </c>
      <c r="J453" s="46">
        <f t="shared" ref="J453:J454" si="176">G453*I453</f>
        <v>12000000</v>
      </c>
      <c r="K453" s="46"/>
      <c r="L453" s="26"/>
      <c r="M453" s="46"/>
      <c r="N453" s="61"/>
      <c r="O453" s="75">
        <f t="shared" si="3"/>
        <v>12000000</v>
      </c>
      <c r="P453" s="75">
        <f t="shared" si="4"/>
        <v>12000000</v>
      </c>
      <c r="Q453" s="64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22"/>
      <c r="B454" s="67"/>
      <c r="C454" s="67"/>
      <c r="D454" s="47" t="s">
        <v>24</v>
      </c>
      <c r="E454" s="35" t="s">
        <v>250</v>
      </c>
      <c r="F454" s="13"/>
      <c r="G454" s="36">
        <v>8.0</v>
      </c>
      <c r="H454" s="36" t="s">
        <v>26</v>
      </c>
      <c r="I454" s="48">
        <v>500000.0</v>
      </c>
      <c r="J454" s="46">
        <f t="shared" si="176"/>
        <v>4000000</v>
      </c>
      <c r="K454" s="46"/>
      <c r="L454" s="26"/>
      <c r="M454" s="46">
        <v>3500000.0</v>
      </c>
      <c r="N454" s="61"/>
      <c r="O454" s="75">
        <f t="shared" si="3"/>
        <v>4000000</v>
      </c>
      <c r="P454" s="75">
        <f t="shared" si="4"/>
        <v>500000</v>
      </c>
      <c r="Q454" s="64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41" t="s">
        <v>37</v>
      </c>
      <c r="B455" s="12"/>
      <c r="C455" s="56"/>
      <c r="D455" s="41" t="s">
        <v>38</v>
      </c>
      <c r="E455" s="12"/>
      <c r="F455" s="13"/>
      <c r="G455" s="22"/>
      <c r="H455" s="22"/>
      <c r="I455" s="22"/>
      <c r="J455" s="43">
        <f t="shared" ref="J455:K455" si="177">J456+J461+J464</f>
        <v>35050000</v>
      </c>
      <c r="K455" s="43">
        <f t="shared" si="177"/>
        <v>0</v>
      </c>
      <c r="L455" s="26"/>
      <c r="M455" s="43">
        <f>M456+M461+M464</f>
        <v>0</v>
      </c>
      <c r="N455" s="61"/>
      <c r="O455" s="75">
        <f t="shared" si="3"/>
        <v>35050000</v>
      </c>
      <c r="P455" s="75">
        <f t="shared" si="4"/>
        <v>35050000</v>
      </c>
      <c r="Q455" s="64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35" t="s">
        <v>40</v>
      </c>
      <c r="B456" s="12"/>
      <c r="C456" s="47"/>
      <c r="D456" s="44" t="s">
        <v>22</v>
      </c>
      <c r="E456" s="12"/>
      <c r="F456" s="13"/>
      <c r="G456" s="22"/>
      <c r="H456" s="22"/>
      <c r="I456" s="22"/>
      <c r="J456" s="46">
        <f t="shared" ref="J456:K456" si="178">SUM(J458:J460)</f>
        <v>9050000</v>
      </c>
      <c r="K456" s="46">
        <f t="shared" si="178"/>
        <v>0</v>
      </c>
      <c r="L456" s="26"/>
      <c r="M456" s="46">
        <f>SUM(M458:M460)</f>
        <v>0</v>
      </c>
      <c r="N456" s="61"/>
      <c r="O456" s="75">
        <f t="shared" si="3"/>
        <v>9050000</v>
      </c>
      <c r="P456" s="75">
        <f t="shared" si="4"/>
        <v>9050000</v>
      </c>
      <c r="Q456" s="64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22"/>
      <c r="B457" s="67"/>
      <c r="C457" s="67"/>
      <c r="D457" s="35" t="s">
        <v>23</v>
      </c>
      <c r="E457" s="12"/>
      <c r="F457" s="13"/>
      <c r="G457" s="22"/>
      <c r="H457" s="22"/>
      <c r="I457" s="22"/>
      <c r="J457" s="22"/>
      <c r="K457" s="22"/>
      <c r="L457" s="26"/>
      <c r="M457" s="22"/>
      <c r="N457" s="61"/>
      <c r="O457" s="75">
        <f t="shared" si="3"/>
        <v>0</v>
      </c>
      <c r="P457" s="75">
        <f t="shared" si="4"/>
        <v>0</v>
      </c>
      <c r="Q457" s="64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22"/>
      <c r="B458" s="67"/>
      <c r="C458" s="67"/>
      <c r="D458" s="47" t="s">
        <v>24</v>
      </c>
      <c r="E458" s="35" t="s">
        <v>251</v>
      </c>
      <c r="F458" s="13"/>
      <c r="G458" s="36">
        <v>150.0</v>
      </c>
      <c r="H458" s="36" t="s">
        <v>26</v>
      </c>
      <c r="I458" s="48">
        <v>53000.0</v>
      </c>
      <c r="J458" s="46">
        <f t="shared" ref="J458:J460" si="179">G458*I458</f>
        <v>7950000</v>
      </c>
      <c r="K458" s="46"/>
      <c r="L458" s="26"/>
      <c r="M458" s="46"/>
      <c r="N458" s="61"/>
      <c r="O458" s="75">
        <f t="shared" si="3"/>
        <v>7950000</v>
      </c>
      <c r="P458" s="75">
        <f t="shared" si="4"/>
        <v>7950000</v>
      </c>
      <c r="Q458" s="64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22"/>
      <c r="B459" s="67"/>
      <c r="C459" s="67"/>
      <c r="D459" s="47" t="s">
        <v>24</v>
      </c>
      <c r="E459" s="35" t="s">
        <v>42</v>
      </c>
      <c r="F459" s="13"/>
      <c r="G459" s="36">
        <v>2.0</v>
      </c>
      <c r="H459" s="36" t="s">
        <v>26</v>
      </c>
      <c r="I459" s="48">
        <v>250000.0</v>
      </c>
      <c r="J459" s="46">
        <f t="shared" si="179"/>
        <v>500000</v>
      </c>
      <c r="K459" s="46"/>
      <c r="L459" s="26"/>
      <c r="M459" s="46"/>
      <c r="N459" s="61"/>
      <c r="O459" s="75">
        <f t="shared" si="3"/>
        <v>500000</v>
      </c>
      <c r="P459" s="75">
        <f t="shared" si="4"/>
        <v>500000</v>
      </c>
      <c r="Q459" s="64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22"/>
      <c r="B460" s="67"/>
      <c r="C460" s="67"/>
      <c r="D460" s="47" t="s">
        <v>24</v>
      </c>
      <c r="E460" s="35" t="s">
        <v>43</v>
      </c>
      <c r="F460" s="13"/>
      <c r="G460" s="36">
        <v>2.0</v>
      </c>
      <c r="H460" s="36" t="s">
        <v>26</v>
      </c>
      <c r="I460" s="48">
        <v>300000.0</v>
      </c>
      <c r="J460" s="46">
        <f t="shared" si="179"/>
        <v>600000</v>
      </c>
      <c r="K460" s="46"/>
      <c r="L460" s="26"/>
      <c r="M460" s="46"/>
      <c r="N460" s="61"/>
      <c r="O460" s="75">
        <f t="shared" si="3"/>
        <v>600000</v>
      </c>
      <c r="P460" s="75">
        <f t="shared" si="4"/>
        <v>600000</v>
      </c>
      <c r="Q460" s="64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35" t="s">
        <v>44</v>
      </c>
      <c r="B461" s="12"/>
      <c r="C461" s="13"/>
      <c r="D461" s="44" t="s">
        <v>45</v>
      </c>
      <c r="E461" s="12"/>
      <c r="F461" s="13"/>
      <c r="G461" s="22"/>
      <c r="H461" s="22"/>
      <c r="I461" s="22"/>
      <c r="J461" s="46">
        <f t="shared" ref="J461:K461" si="180">J463</f>
        <v>2000000</v>
      </c>
      <c r="K461" s="46" t="str">
        <f t="shared" si="180"/>
        <v/>
      </c>
      <c r="L461" s="26"/>
      <c r="M461" s="46" t="str">
        <f>M463</f>
        <v/>
      </c>
      <c r="N461" s="61"/>
      <c r="O461" s="75">
        <f t="shared" si="3"/>
        <v>2000000</v>
      </c>
      <c r="P461" s="75">
        <f t="shared" si="4"/>
        <v>2000000</v>
      </c>
      <c r="Q461" s="64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22"/>
      <c r="B462" s="67"/>
      <c r="C462" s="67"/>
      <c r="D462" s="35" t="s">
        <v>23</v>
      </c>
      <c r="E462" s="12"/>
      <c r="F462" s="13"/>
      <c r="G462" s="22"/>
      <c r="H462" s="22"/>
      <c r="I462" s="22"/>
      <c r="J462" s="22"/>
      <c r="K462" s="22"/>
      <c r="L462" s="26"/>
      <c r="M462" s="22"/>
      <c r="N462" s="61"/>
      <c r="O462" s="75">
        <f t="shared" si="3"/>
        <v>0</v>
      </c>
      <c r="P462" s="75">
        <f t="shared" si="4"/>
        <v>0</v>
      </c>
      <c r="Q462" s="64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22"/>
      <c r="B463" s="67"/>
      <c r="C463" s="67"/>
      <c r="D463" s="47" t="s">
        <v>24</v>
      </c>
      <c r="E463" s="35" t="s">
        <v>161</v>
      </c>
      <c r="F463" s="13"/>
      <c r="G463" s="36">
        <v>4.0</v>
      </c>
      <c r="H463" s="36" t="s">
        <v>26</v>
      </c>
      <c r="I463" s="48">
        <v>500000.0</v>
      </c>
      <c r="J463" s="46">
        <f>G463*I463</f>
        <v>2000000</v>
      </c>
      <c r="K463" s="46"/>
      <c r="L463" s="26"/>
      <c r="M463" s="46"/>
      <c r="N463" s="61"/>
      <c r="O463" s="75">
        <f t="shared" si="3"/>
        <v>2000000</v>
      </c>
      <c r="P463" s="75">
        <f t="shared" si="4"/>
        <v>2000000</v>
      </c>
      <c r="Q463" s="64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35" t="s">
        <v>47</v>
      </c>
      <c r="B464" s="12"/>
      <c r="C464" s="13"/>
      <c r="D464" s="44" t="s">
        <v>48</v>
      </c>
      <c r="E464" s="12"/>
      <c r="F464" s="13"/>
      <c r="G464" s="22"/>
      <c r="H464" s="22"/>
      <c r="I464" s="22"/>
      <c r="J464" s="46">
        <f t="shared" ref="J464:K464" si="181">J466</f>
        <v>24000000</v>
      </c>
      <c r="K464" s="46" t="str">
        <f t="shared" si="181"/>
        <v/>
      </c>
      <c r="L464" s="26"/>
      <c r="M464" s="46" t="str">
        <f>M466</f>
        <v/>
      </c>
      <c r="N464" s="61"/>
      <c r="O464" s="75">
        <f t="shared" si="3"/>
        <v>24000000</v>
      </c>
      <c r="P464" s="75">
        <f t="shared" si="4"/>
        <v>24000000</v>
      </c>
      <c r="Q464" s="64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22"/>
      <c r="B465" s="67"/>
      <c r="C465" s="67"/>
      <c r="D465" s="35" t="s">
        <v>23</v>
      </c>
      <c r="E465" s="12"/>
      <c r="F465" s="13"/>
      <c r="G465" s="22"/>
      <c r="H465" s="22"/>
      <c r="I465" s="22"/>
      <c r="J465" s="22"/>
      <c r="K465" s="22"/>
      <c r="L465" s="26"/>
      <c r="M465" s="22"/>
      <c r="N465" s="61"/>
      <c r="O465" s="75">
        <f t="shared" si="3"/>
        <v>0</v>
      </c>
      <c r="P465" s="75">
        <f t="shared" si="4"/>
        <v>0</v>
      </c>
      <c r="Q465" s="64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22"/>
      <c r="B466" s="67"/>
      <c r="C466" s="67"/>
      <c r="D466" s="47" t="s">
        <v>24</v>
      </c>
      <c r="E466" s="35" t="s">
        <v>252</v>
      </c>
      <c r="F466" s="13"/>
      <c r="G466" s="36">
        <v>6.0</v>
      </c>
      <c r="H466" s="36" t="s">
        <v>26</v>
      </c>
      <c r="I466" s="48">
        <v>4000000.0</v>
      </c>
      <c r="J466" s="46">
        <f>G466*I466</f>
        <v>24000000</v>
      </c>
      <c r="K466" s="46"/>
      <c r="L466" s="26"/>
      <c r="M466" s="46"/>
      <c r="N466" s="61"/>
      <c r="O466" s="75">
        <f t="shared" si="3"/>
        <v>24000000</v>
      </c>
      <c r="P466" s="75">
        <f t="shared" si="4"/>
        <v>24000000</v>
      </c>
      <c r="Q466" s="64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41" t="s">
        <v>50</v>
      </c>
      <c r="B467" s="12"/>
      <c r="C467" s="13"/>
      <c r="D467" s="41" t="s">
        <v>51</v>
      </c>
      <c r="E467" s="12"/>
      <c r="F467" s="13"/>
      <c r="G467" s="22"/>
      <c r="H467" s="22"/>
      <c r="I467" s="22"/>
      <c r="J467" s="43">
        <f t="shared" ref="J467:K467" si="182">J468+J474+J477</f>
        <v>81700000</v>
      </c>
      <c r="K467" s="43">
        <f t="shared" si="182"/>
        <v>0</v>
      </c>
      <c r="L467" s="26"/>
      <c r="M467" s="43">
        <f>M468+M474+M477</f>
        <v>0</v>
      </c>
      <c r="N467" s="61"/>
      <c r="O467" s="75">
        <f t="shared" si="3"/>
        <v>81700000</v>
      </c>
      <c r="P467" s="75">
        <f t="shared" si="4"/>
        <v>81700000</v>
      </c>
      <c r="Q467" s="64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35" t="s">
        <v>40</v>
      </c>
      <c r="B468" s="12"/>
      <c r="C468" s="13"/>
      <c r="D468" s="44" t="s">
        <v>22</v>
      </c>
      <c r="E468" s="12"/>
      <c r="F468" s="13"/>
      <c r="G468" s="22"/>
      <c r="H468" s="22"/>
      <c r="I468" s="22"/>
      <c r="J468" s="46">
        <f t="shared" ref="J468:K468" si="183">SUM(J470:J473)</f>
        <v>55700000</v>
      </c>
      <c r="K468" s="46">
        <f t="shared" si="183"/>
        <v>0</v>
      </c>
      <c r="L468" s="26"/>
      <c r="M468" s="46">
        <f>SUM(M470:M473)</f>
        <v>0</v>
      </c>
      <c r="N468" s="61"/>
      <c r="O468" s="75">
        <f t="shared" si="3"/>
        <v>55700000</v>
      </c>
      <c r="P468" s="75">
        <f t="shared" si="4"/>
        <v>55700000</v>
      </c>
      <c r="Q468" s="64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22"/>
      <c r="B469" s="67"/>
      <c r="C469" s="67"/>
      <c r="D469" s="35" t="s">
        <v>23</v>
      </c>
      <c r="E469" s="12"/>
      <c r="F469" s="13"/>
      <c r="G469" s="22"/>
      <c r="H469" s="22"/>
      <c r="I469" s="22"/>
      <c r="J469" s="22"/>
      <c r="K469" s="22"/>
      <c r="L469" s="26"/>
      <c r="M469" s="22"/>
      <c r="N469" s="61"/>
      <c r="O469" s="75">
        <f t="shared" si="3"/>
        <v>0</v>
      </c>
      <c r="P469" s="75">
        <f t="shared" si="4"/>
        <v>0</v>
      </c>
      <c r="Q469" s="64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22"/>
      <c r="B470" s="67"/>
      <c r="C470" s="67"/>
      <c r="D470" s="47" t="s">
        <v>24</v>
      </c>
      <c r="E470" s="35" t="s">
        <v>253</v>
      </c>
      <c r="F470" s="13"/>
      <c r="G470" s="36">
        <v>150.0</v>
      </c>
      <c r="H470" s="36" t="s">
        <v>26</v>
      </c>
      <c r="I470" s="48">
        <v>53000.0</v>
      </c>
      <c r="J470" s="46">
        <f t="shared" ref="J470:J473" si="184">G470*I470</f>
        <v>7950000</v>
      </c>
      <c r="K470" s="46"/>
      <c r="L470" s="26"/>
      <c r="M470" s="46"/>
      <c r="N470" s="61"/>
      <c r="O470" s="75">
        <f t="shared" si="3"/>
        <v>7950000</v>
      </c>
      <c r="P470" s="75">
        <f t="shared" si="4"/>
        <v>7950000</v>
      </c>
      <c r="Q470" s="64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22"/>
      <c r="B471" s="67"/>
      <c r="C471" s="67"/>
      <c r="D471" s="47" t="s">
        <v>24</v>
      </c>
      <c r="E471" s="35" t="s">
        <v>53</v>
      </c>
      <c r="F471" s="13"/>
      <c r="G471" s="36">
        <v>5.0</v>
      </c>
      <c r="H471" s="36" t="s">
        <v>26</v>
      </c>
      <c r="I471" s="48">
        <v>500000.0</v>
      </c>
      <c r="J471" s="46">
        <f t="shared" si="184"/>
        <v>2500000</v>
      </c>
      <c r="K471" s="46"/>
      <c r="L471" s="26"/>
      <c r="M471" s="46"/>
      <c r="N471" s="61"/>
      <c r="O471" s="75">
        <f t="shared" si="3"/>
        <v>2500000</v>
      </c>
      <c r="P471" s="75">
        <f t="shared" si="4"/>
        <v>2500000</v>
      </c>
      <c r="Q471" s="64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22"/>
      <c r="B472" s="67"/>
      <c r="C472" s="67"/>
      <c r="D472" s="47" t="s">
        <v>24</v>
      </c>
      <c r="E472" s="35" t="s">
        <v>54</v>
      </c>
      <c r="F472" s="13"/>
      <c r="G472" s="36">
        <v>1.0</v>
      </c>
      <c r="H472" s="36" t="s">
        <v>55</v>
      </c>
      <c r="I472" s="48">
        <v>250000.0</v>
      </c>
      <c r="J472" s="46">
        <f t="shared" si="184"/>
        <v>250000</v>
      </c>
      <c r="K472" s="46"/>
      <c r="L472" s="26"/>
      <c r="M472" s="46"/>
      <c r="N472" s="61"/>
      <c r="O472" s="75">
        <f t="shared" si="3"/>
        <v>250000</v>
      </c>
      <c r="P472" s="75">
        <f t="shared" si="4"/>
        <v>250000</v>
      </c>
      <c r="Q472" s="64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22"/>
      <c r="B473" s="67"/>
      <c r="C473" s="67"/>
      <c r="D473" s="47" t="s">
        <v>24</v>
      </c>
      <c r="E473" s="35" t="s">
        <v>254</v>
      </c>
      <c r="F473" s="13"/>
      <c r="G473" s="36">
        <v>150.0</v>
      </c>
      <c r="H473" s="36" t="s">
        <v>26</v>
      </c>
      <c r="I473" s="48">
        <v>300000.0</v>
      </c>
      <c r="J473" s="46">
        <f t="shared" si="184"/>
        <v>45000000</v>
      </c>
      <c r="K473" s="46"/>
      <c r="L473" s="26"/>
      <c r="M473" s="46"/>
      <c r="N473" s="61"/>
      <c r="O473" s="75">
        <f t="shared" si="3"/>
        <v>45000000</v>
      </c>
      <c r="P473" s="75">
        <f t="shared" si="4"/>
        <v>45000000</v>
      </c>
      <c r="Q473" s="64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35" t="s">
        <v>47</v>
      </c>
      <c r="B474" s="12"/>
      <c r="C474" s="47"/>
      <c r="D474" s="44" t="s">
        <v>48</v>
      </c>
      <c r="E474" s="12"/>
      <c r="F474" s="13"/>
      <c r="G474" s="22"/>
      <c r="H474" s="22"/>
      <c r="I474" s="22"/>
      <c r="J474" s="46">
        <f t="shared" ref="J474:K474" si="185">J476</f>
        <v>24000000</v>
      </c>
      <c r="K474" s="46" t="str">
        <f t="shared" si="185"/>
        <v/>
      </c>
      <c r="L474" s="26"/>
      <c r="M474" s="46" t="str">
        <f>M476</f>
        <v/>
      </c>
      <c r="N474" s="61"/>
      <c r="O474" s="75">
        <f t="shared" si="3"/>
        <v>24000000</v>
      </c>
      <c r="P474" s="75">
        <f t="shared" si="4"/>
        <v>24000000</v>
      </c>
      <c r="Q474" s="64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22"/>
      <c r="B475" s="67"/>
      <c r="C475" s="67"/>
      <c r="D475" s="35" t="s">
        <v>23</v>
      </c>
      <c r="E475" s="12"/>
      <c r="F475" s="13"/>
      <c r="G475" s="22"/>
      <c r="H475" s="22"/>
      <c r="I475" s="22"/>
      <c r="J475" s="22"/>
      <c r="K475" s="22"/>
      <c r="L475" s="26"/>
      <c r="M475" s="22"/>
      <c r="N475" s="61"/>
      <c r="O475" s="75">
        <f t="shared" si="3"/>
        <v>0</v>
      </c>
      <c r="P475" s="75">
        <f t="shared" si="4"/>
        <v>0</v>
      </c>
      <c r="Q475" s="64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22"/>
      <c r="B476" s="67"/>
      <c r="C476" s="67"/>
      <c r="D476" s="47" t="s">
        <v>24</v>
      </c>
      <c r="E476" s="35" t="s">
        <v>255</v>
      </c>
      <c r="F476" s="13"/>
      <c r="G476" s="36">
        <v>6.0</v>
      </c>
      <c r="H476" s="36" t="s">
        <v>26</v>
      </c>
      <c r="I476" s="48">
        <v>4000000.0</v>
      </c>
      <c r="J476" s="46">
        <f>G476*I476</f>
        <v>24000000</v>
      </c>
      <c r="K476" s="46"/>
      <c r="L476" s="26"/>
      <c r="M476" s="46"/>
      <c r="N476" s="61"/>
      <c r="O476" s="75">
        <f t="shared" si="3"/>
        <v>24000000</v>
      </c>
      <c r="P476" s="75">
        <f t="shared" si="4"/>
        <v>24000000</v>
      </c>
      <c r="Q476" s="64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35" t="s">
        <v>58</v>
      </c>
      <c r="B477" s="12"/>
      <c r="C477" s="47"/>
      <c r="D477" s="44" t="s">
        <v>34</v>
      </c>
      <c r="E477" s="12"/>
      <c r="F477" s="13"/>
      <c r="G477" s="22"/>
      <c r="H477" s="22"/>
      <c r="I477" s="22"/>
      <c r="J477" s="46">
        <f t="shared" ref="J477:K477" si="186">J479</f>
        <v>2000000</v>
      </c>
      <c r="K477" s="46" t="str">
        <f t="shared" si="186"/>
        <v/>
      </c>
      <c r="L477" s="26"/>
      <c r="M477" s="46" t="str">
        <f>M479</f>
        <v/>
      </c>
      <c r="N477" s="61"/>
      <c r="O477" s="75">
        <f t="shared" si="3"/>
        <v>2000000</v>
      </c>
      <c r="P477" s="75">
        <f t="shared" si="4"/>
        <v>2000000</v>
      </c>
      <c r="Q477" s="64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22"/>
      <c r="B478" s="67"/>
      <c r="C478" s="67"/>
      <c r="D478" s="35" t="s">
        <v>23</v>
      </c>
      <c r="E478" s="12"/>
      <c r="F478" s="13"/>
      <c r="G478" s="22"/>
      <c r="H478" s="22"/>
      <c r="I478" s="22"/>
      <c r="J478" s="22"/>
      <c r="K478" s="22"/>
      <c r="L478" s="26"/>
      <c r="M478" s="22"/>
      <c r="N478" s="61"/>
      <c r="O478" s="75">
        <f t="shared" si="3"/>
        <v>0</v>
      </c>
      <c r="P478" s="75">
        <f t="shared" si="4"/>
        <v>0</v>
      </c>
      <c r="Q478" s="64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22"/>
      <c r="B479" s="67"/>
      <c r="C479" s="67"/>
      <c r="D479" s="47" t="s">
        <v>24</v>
      </c>
      <c r="E479" s="35" t="s">
        <v>59</v>
      </c>
      <c r="F479" s="13"/>
      <c r="G479" s="36">
        <v>4.0</v>
      </c>
      <c r="H479" s="36" t="s">
        <v>26</v>
      </c>
      <c r="I479" s="48">
        <v>500000.0</v>
      </c>
      <c r="J479" s="46">
        <f>G479*I479</f>
        <v>2000000</v>
      </c>
      <c r="K479" s="46"/>
      <c r="L479" s="26"/>
      <c r="M479" s="46"/>
      <c r="N479" s="61"/>
      <c r="O479" s="75">
        <f t="shared" si="3"/>
        <v>2000000</v>
      </c>
      <c r="P479" s="75">
        <f t="shared" si="4"/>
        <v>2000000</v>
      </c>
      <c r="Q479" s="64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41" t="s">
        <v>60</v>
      </c>
      <c r="B480" s="12"/>
      <c r="C480" s="56"/>
      <c r="D480" s="41" t="s">
        <v>61</v>
      </c>
      <c r="E480" s="12"/>
      <c r="F480" s="13"/>
      <c r="G480" s="22"/>
      <c r="H480" s="22"/>
      <c r="I480" s="22"/>
      <c r="J480" s="43">
        <f t="shared" ref="J480:K480" si="187">J481+J484+J488+J491+J494</f>
        <v>254700000</v>
      </c>
      <c r="K480" s="43">
        <f t="shared" si="187"/>
        <v>0</v>
      </c>
      <c r="L480" s="26"/>
      <c r="M480" s="43">
        <f>M481+M484+M488+M491+M494</f>
        <v>0</v>
      </c>
      <c r="N480" s="61"/>
      <c r="O480" s="75">
        <f t="shared" si="3"/>
        <v>254700000</v>
      </c>
      <c r="P480" s="75">
        <f t="shared" si="4"/>
        <v>254700000</v>
      </c>
      <c r="Q480" s="64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35" t="s">
        <v>40</v>
      </c>
      <c r="B481" s="12"/>
      <c r="C481" s="47"/>
      <c r="D481" s="44" t="s">
        <v>22</v>
      </c>
      <c r="E481" s="12"/>
      <c r="F481" s="13"/>
      <c r="G481" s="22"/>
      <c r="H481" s="22"/>
      <c r="I481" s="22"/>
      <c r="J481" s="46">
        <f t="shared" ref="J481:K481" si="188">J483</f>
        <v>47700000</v>
      </c>
      <c r="K481" s="46" t="str">
        <f t="shared" si="188"/>
        <v/>
      </c>
      <c r="L481" s="26"/>
      <c r="M481" s="46" t="str">
        <f>M483</f>
        <v/>
      </c>
      <c r="N481" s="61"/>
      <c r="O481" s="75">
        <f t="shared" si="3"/>
        <v>47700000</v>
      </c>
      <c r="P481" s="75">
        <f t="shared" si="4"/>
        <v>47700000</v>
      </c>
      <c r="Q481" s="64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22"/>
      <c r="B482" s="67"/>
      <c r="C482" s="67"/>
      <c r="D482" s="35" t="s">
        <v>23</v>
      </c>
      <c r="E482" s="12"/>
      <c r="F482" s="13"/>
      <c r="G482" s="22"/>
      <c r="H482" s="22"/>
      <c r="I482" s="22"/>
      <c r="J482" s="22"/>
      <c r="K482" s="22"/>
      <c r="L482" s="26"/>
      <c r="M482" s="22"/>
      <c r="N482" s="61"/>
      <c r="O482" s="75">
        <f t="shared" si="3"/>
        <v>0</v>
      </c>
      <c r="P482" s="75">
        <f t="shared" si="4"/>
        <v>0</v>
      </c>
      <c r="Q482" s="64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22"/>
      <c r="B483" s="67"/>
      <c r="C483" s="67"/>
      <c r="D483" s="47" t="s">
        <v>24</v>
      </c>
      <c r="E483" s="35" t="s">
        <v>256</v>
      </c>
      <c r="F483" s="13"/>
      <c r="G483" s="36">
        <v>900.0</v>
      </c>
      <c r="H483" s="36" t="s">
        <v>26</v>
      </c>
      <c r="I483" s="48">
        <v>53000.0</v>
      </c>
      <c r="J483" s="46">
        <f>G483*I483</f>
        <v>47700000</v>
      </c>
      <c r="K483" s="46"/>
      <c r="L483" s="26"/>
      <c r="M483" s="46"/>
      <c r="N483" s="61"/>
      <c r="O483" s="75">
        <f t="shared" si="3"/>
        <v>47700000</v>
      </c>
      <c r="P483" s="75">
        <f t="shared" si="4"/>
        <v>47700000</v>
      </c>
      <c r="Q483" s="64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35" t="s">
        <v>63</v>
      </c>
      <c r="B484" s="12"/>
      <c r="C484" s="47"/>
      <c r="D484" s="44" t="s">
        <v>64</v>
      </c>
      <c r="E484" s="12"/>
      <c r="F484" s="13"/>
      <c r="G484" s="22"/>
      <c r="H484" s="22"/>
      <c r="I484" s="22"/>
      <c r="J484" s="46">
        <f t="shared" ref="J484:K484" si="189">SUM(J486:J487)</f>
        <v>125000000</v>
      </c>
      <c r="K484" s="46">
        <f t="shared" si="189"/>
        <v>0</v>
      </c>
      <c r="L484" s="26"/>
      <c r="M484" s="46">
        <f>SUM(M486:M487)</f>
        <v>0</v>
      </c>
      <c r="N484" s="61"/>
      <c r="O484" s="75">
        <f t="shared" si="3"/>
        <v>125000000</v>
      </c>
      <c r="P484" s="75">
        <f t="shared" si="4"/>
        <v>125000000</v>
      </c>
      <c r="Q484" s="64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22"/>
      <c r="B485" s="67"/>
      <c r="C485" s="67"/>
      <c r="D485" s="35" t="s">
        <v>23</v>
      </c>
      <c r="E485" s="12"/>
      <c r="F485" s="13"/>
      <c r="G485" s="22"/>
      <c r="H485" s="22"/>
      <c r="I485" s="22"/>
      <c r="J485" s="22"/>
      <c r="K485" s="22"/>
      <c r="L485" s="26"/>
      <c r="M485" s="22"/>
      <c r="N485" s="61"/>
      <c r="O485" s="75">
        <f t="shared" si="3"/>
        <v>0</v>
      </c>
      <c r="P485" s="75">
        <f t="shared" si="4"/>
        <v>0</v>
      </c>
      <c r="Q485" s="64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22"/>
      <c r="B486" s="67"/>
      <c r="C486" s="67"/>
      <c r="D486" s="47" t="s">
        <v>24</v>
      </c>
      <c r="E486" s="35" t="s">
        <v>257</v>
      </c>
      <c r="F486" s="13"/>
      <c r="G486" s="36">
        <v>1.0</v>
      </c>
      <c r="H486" s="36" t="s">
        <v>97</v>
      </c>
      <c r="I486" s="48">
        <v>9.5E7</v>
      </c>
      <c r="J486" s="46">
        <f t="shared" ref="J486:J487" si="190">G486*I486</f>
        <v>95000000</v>
      </c>
      <c r="K486" s="46"/>
      <c r="L486" s="26"/>
      <c r="M486" s="46"/>
      <c r="N486" s="61"/>
      <c r="O486" s="75">
        <f t="shared" si="3"/>
        <v>95000000</v>
      </c>
      <c r="P486" s="75">
        <f t="shared" si="4"/>
        <v>95000000</v>
      </c>
      <c r="Q486" s="64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22"/>
      <c r="B487" s="67"/>
      <c r="C487" s="67"/>
      <c r="D487" s="47" t="s">
        <v>24</v>
      </c>
      <c r="E487" s="35" t="s">
        <v>258</v>
      </c>
      <c r="F487" s="13"/>
      <c r="G487" s="36">
        <v>150.0</v>
      </c>
      <c r="H487" s="36" t="s">
        <v>26</v>
      </c>
      <c r="I487" s="48">
        <v>200000.0</v>
      </c>
      <c r="J487" s="46">
        <f t="shared" si="190"/>
        <v>30000000</v>
      </c>
      <c r="K487" s="46"/>
      <c r="L487" s="26"/>
      <c r="M487" s="46"/>
      <c r="N487" s="61"/>
      <c r="O487" s="75">
        <f t="shared" si="3"/>
        <v>30000000</v>
      </c>
      <c r="P487" s="75">
        <f t="shared" si="4"/>
        <v>30000000</v>
      </c>
      <c r="Q487" s="64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35" t="s">
        <v>68</v>
      </c>
      <c r="B488" s="12"/>
      <c r="C488" s="13"/>
      <c r="D488" s="44" t="s">
        <v>69</v>
      </c>
      <c r="E488" s="12"/>
      <c r="F488" s="13"/>
      <c r="G488" s="22"/>
      <c r="H488" s="22"/>
      <c r="I488" s="22"/>
      <c r="J488" s="46">
        <f t="shared" ref="J488:K488" si="191">J490</f>
        <v>10000000</v>
      </c>
      <c r="K488" s="46" t="str">
        <f t="shared" si="191"/>
        <v/>
      </c>
      <c r="L488" s="26"/>
      <c r="M488" s="46" t="str">
        <f>M490</f>
        <v/>
      </c>
      <c r="N488" s="61"/>
      <c r="O488" s="75">
        <f t="shared" si="3"/>
        <v>10000000</v>
      </c>
      <c r="P488" s="75">
        <f t="shared" si="4"/>
        <v>10000000</v>
      </c>
      <c r="Q488" s="64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22"/>
      <c r="B489" s="67"/>
      <c r="C489" s="67"/>
      <c r="D489" s="35" t="s">
        <v>23</v>
      </c>
      <c r="E489" s="12"/>
      <c r="F489" s="13"/>
      <c r="G489" s="22"/>
      <c r="H489" s="22"/>
      <c r="I489" s="22"/>
      <c r="J489" s="22"/>
      <c r="K489" s="22"/>
      <c r="L489" s="26"/>
      <c r="M489" s="22"/>
      <c r="N489" s="61"/>
      <c r="O489" s="75">
        <f t="shared" si="3"/>
        <v>0</v>
      </c>
      <c r="P489" s="75">
        <f t="shared" si="4"/>
        <v>0</v>
      </c>
      <c r="Q489" s="64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22"/>
      <c r="B490" s="67"/>
      <c r="C490" s="67"/>
      <c r="D490" s="47" t="s">
        <v>24</v>
      </c>
      <c r="E490" s="35" t="s">
        <v>70</v>
      </c>
      <c r="F490" s="13"/>
      <c r="G490" s="36">
        <v>20.0</v>
      </c>
      <c r="H490" s="36" t="s">
        <v>26</v>
      </c>
      <c r="I490" s="48">
        <v>500000.0</v>
      </c>
      <c r="J490" s="46">
        <f>G490*I490</f>
        <v>10000000</v>
      </c>
      <c r="K490" s="46"/>
      <c r="L490" s="26"/>
      <c r="M490" s="46"/>
      <c r="N490" s="61"/>
      <c r="O490" s="75">
        <f t="shared" si="3"/>
        <v>10000000</v>
      </c>
      <c r="P490" s="75">
        <f t="shared" si="4"/>
        <v>10000000</v>
      </c>
      <c r="Q490" s="64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35" t="s">
        <v>47</v>
      </c>
      <c r="B491" s="12"/>
      <c r="C491" s="13"/>
      <c r="D491" s="44" t="s">
        <v>48</v>
      </c>
      <c r="E491" s="12"/>
      <c r="F491" s="13"/>
      <c r="G491" s="22"/>
      <c r="H491" s="22"/>
      <c r="I491" s="22"/>
      <c r="J491" s="46">
        <f t="shared" ref="J491:K491" si="192">J493</f>
        <v>24000000</v>
      </c>
      <c r="K491" s="46" t="str">
        <f t="shared" si="192"/>
        <v/>
      </c>
      <c r="L491" s="26"/>
      <c r="M491" s="46" t="str">
        <f>M493</f>
        <v/>
      </c>
      <c r="N491" s="61"/>
      <c r="O491" s="75">
        <f t="shared" si="3"/>
        <v>24000000</v>
      </c>
      <c r="P491" s="75">
        <f t="shared" si="4"/>
        <v>24000000</v>
      </c>
      <c r="Q491" s="64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22"/>
      <c r="B492" s="67"/>
      <c r="C492" s="67"/>
      <c r="D492" s="35" t="s">
        <v>23</v>
      </c>
      <c r="E492" s="12"/>
      <c r="F492" s="13"/>
      <c r="G492" s="22"/>
      <c r="H492" s="22"/>
      <c r="I492" s="22"/>
      <c r="J492" s="22"/>
      <c r="K492" s="22"/>
      <c r="L492" s="26"/>
      <c r="M492" s="22"/>
      <c r="N492" s="61"/>
      <c r="O492" s="75">
        <f t="shared" si="3"/>
        <v>0</v>
      </c>
      <c r="P492" s="75">
        <f t="shared" si="4"/>
        <v>0</v>
      </c>
      <c r="Q492" s="64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22"/>
      <c r="B493" s="67"/>
      <c r="C493" s="67"/>
      <c r="D493" s="47" t="s">
        <v>24</v>
      </c>
      <c r="E493" s="35" t="s">
        <v>255</v>
      </c>
      <c r="F493" s="13"/>
      <c r="G493" s="36">
        <v>6.0</v>
      </c>
      <c r="H493" s="36" t="s">
        <v>26</v>
      </c>
      <c r="I493" s="48">
        <v>4000000.0</v>
      </c>
      <c r="J493" s="46">
        <f>G493*I493</f>
        <v>24000000</v>
      </c>
      <c r="K493" s="46"/>
      <c r="L493" s="26"/>
      <c r="M493" s="46"/>
      <c r="N493" s="61"/>
      <c r="O493" s="75">
        <f t="shared" si="3"/>
        <v>24000000</v>
      </c>
      <c r="P493" s="75">
        <f t="shared" si="4"/>
        <v>24000000</v>
      </c>
      <c r="Q493" s="64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35" t="s">
        <v>58</v>
      </c>
      <c r="B494" s="12"/>
      <c r="C494" s="13"/>
      <c r="D494" s="44" t="s">
        <v>34</v>
      </c>
      <c r="E494" s="12"/>
      <c r="F494" s="13"/>
      <c r="G494" s="22"/>
      <c r="H494" s="22"/>
      <c r="I494" s="22"/>
      <c r="J494" s="46">
        <f t="shared" ref="J494:K494" si="193">J496</f>
        <v>48000000</v>
      </c>
      <c r="K494" s="46" t="str">
        <f t="shared" si="193"/>
        <v/>
      </c>
      <c r="L494" s="26"/>
      <c r="M494" s="46" t="str">
        <f>M496</f>
        <v/>
      </c>
      <c r="N494" s="61"/>
      <c r="O494" s="75">
        <f t="shared" si="3"/>
        <v>48000000</v>
      </c>
      <c r="P494" s="75">
        <f t="shared" si="4"/>
        <v>48000000</v>
      </c>
      <c r="Q494" s="64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22"/>
      <c r="B495" s="67"/>
      <c r="C495" s="67"/>
      <c r="D495" s="35" t="s">
        <v>23</v>
      </c>
      <c r="E495" s="12"/>
      <c r="F495" s="13"/>
      <c r="G495" s="22"/>
      <c r="H495" s="22"/>
      <c r="I495" s="22"/>
      <c r="J495" s="22"/>
      <c r="K495" s="22"/>
      <c r="L495" s="26"/>
      <c r="M495" s="22"/>
      <c r="N495" s="61"/>
      <c r="O495" s="75">
        <f t="shared" si="3"/>
        <v>0</v>
      </c>
      <c r="P495" s="75">
        <f t="shared" si="4"/>
        <v>0</v>
      </c>
      <c r="Q495" s="64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22"/>
      <c r="B496" s="67"/>
      <c r="C496" s="67"/>
      <c r="D496" s="47" t="s">
        <v>24</v>
      </c>
      <c r="E496" s="35" t="s">
        <v>71</v>
      </c>
      <c r="F496" s="13"/>
      <c r="G496" s="36">
        <v>96.0</v>
      </c>
      <c r="H496" s="36" t="s">
        <v>26</v>
      </c>
      <c r="I496" s="48">
        <v>500000.0</v>
      </c>
      <c r="J496" s="46">
        <f>G496*I496</f>
        <v>48000000</v>
      </c>
      <c r="K496" s="46"/>
      <c r="L496" s="26"/>
      <c r="M496" s="46"/>
      <c r="N496" s="61"/>
      <c r="O496" s="75">
        <f t="shared" si="3"/>
        <v>48000000</v>
      </c>
      <c r="P496" s="75">
        <f t="shared" si="4"/>
        <v>48000000</v>
      </c>
      <c r="Q496" s="64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41" t="s">
        <v>72</v>
      </c>
      <c r="B497" s="12"/>
      <c r="C497" s="13"/>
      <c r="D497" s="41" t="s">
        <v>73</v>
      </c>
      <c r="E497" s="12"/>
      <c r="F497" s="13"/>
      <c r="G497" s="22"/>
      <c r="H497" s="22"/>
      <c r="I497" s="22"/>
      <c r="J497" s="43">
        <f t="shared" ref="J497:K497" si="194">J498+J503</f>
        <v>151200000</v>
      </c>
      <c r="K497" s="43">
        <f t="shared" si="194"/>
        <v>19764800</v>
      </c>
      <c r="L497" s="26"/>
      <c r="M497" s="43">
        <f>M498+M503</f>
        <v>19764800</v>
      </c>
      <c r="N497" s="61"/>
      <c r="O497" s="75">
        <f t="shared" si="3"/>
        <v>131435200</v>
      </c>
      <c r="P497" s="75">
        <f t="shared" si="4"/>
        <v>131435200</v>
      </c>
      <c r="Q497" s="64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35" t="s">
        <v>74</v>
      </c>
      <c r="B498" s="12"/>
      <c r="C498" s="13"/>
      <c r="D498" s="44" t="s">
        <v>75</v>
      </c>
      <c r="E498" s="12"/>
      <c r="F498" s="13"/>
      <c r="G498" s="22"/>
      <c r="H498" s="22"/>
      <c r="I498" s="22"/>
      <c r="J498" s="46">
        <f t="shared" ref="J498:K498" si="195">SUM(J500:J502)</f>
        <v>142700000</v>
      </c>
      <c r="K498" s="46">
        <f t="shared" si="195"/>
        <v>19764800</v>
      </c>
      <c r="L498" s="26"/>
      <c r="M498" s="46">
        <f>SUM(M500:M502)</f>
        <v>19764800</v>
      </c>
      <c r="N498" s="61"/>
      <c r="O498" s="75">
        <f t="shared" si="3"/>
        <v>122935200</v>
      </c>
      <c r="P498" s="75">
        <f t="shared" si="4"/>
        <v>122935200</v>
      </c>
      <c r="Q498" s="64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22"/>
      <c r="B499" s="67"/>
      <c r="C499" s="67"/>
      <c r="D499" s="35" t="s">
        <v>23</v>
      </c>
      <c r="E499" s="12"/>
      <c r="F499" s="13"/>
      <c r="G499" s="22"/>
      <c r="H499" s="22"/>
      <c r="I499" s="22"/>
      <c r="J499" s="22"/>
      <c r="K499" s="22"/>
      <c r="L499" s="26"/>
      <c r="M499" s="22"/>
      <c r="N499" s="61"/>
      <c r="O499" s="75">
        <f t="shared" si="3"/>
        <v>0</v>
      </c>
      <c r="P499" s="75">
        <f t="shared" si="4"/>
        <v>0</v>
      </c>
      <c r="Q499" s="64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22"/>
      <c r="B500" s="67"/>
      <c r="C500" s="67"/>
      <c r="D500" s="47" t="s">
        <v>24</v>
      </c>
      <c r="E500" s="35" t="s">
        <v>76</v>
      </c>
      <c r="F500" s="13"/>
      <c r="G500" s="36">
        <v>20.0</v>
      </c>
      <c r="H500" s="36" t="s">
        <v>26</v>
      </c>
      <c r="I500" s="48">
        <v>5000000.0</v>
      </c>
      <c r="J500" s="46">
        <f t="shared" ref="J500:J502" si="196">G500*I500</f>
        <v>100000000</v>
      </c>
      <c r="K500" s="46">
        <v>1.3704E7</v>
      </c>
      <c r="L500" s="26"/>
      <c r="M500" s="46">
        <v>1.3704E7</v>
      </c>
      <c r="N500" s="61"/>
      <c r="O500" s="75">
        <f t="shared" si="3"/>
        <v>86296000</v>
      </c>
      <c r="P500" s="75">
        <f t="shared" si="4"/>
        <v>86296000</v>
      </c>
      <c r="Q500" s="64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22"/>
      <c r="B501" s="67"/>
      <c r="C501" s="67"/>
      <c r="D501" s="47" t="s">
        <v>24</v>
      </c>
      <c r="E501" s="35" t="s">
        <v>77</v>
      </c>
      <c r="F501" s="13"/>
      <c r="G501" s="36">
        <v>30.0</v>
      </c>
      <c r="H501" s="36" t="s">
        <v>26</v>
      </c>
      <c r="I501" s="48">
        <v>850000.0</v>
      </c>
      <c r="J501" s="46">
        <f t="shared" si="196"/>
        <v>25500000</v>
      </c>
      <c r="K501" s="46">
        <v>5860800.0</v>
      </c>
      <c r="L501" s="26"/>
      <c r="M501" s="46">
        <v>5860800.0</v>
      </c>
      <c r="N501" s="61"/>
      <c r="O501" s="75">
        <f t="shared" si="3"/>
        <v>19639200</v>
      </c>
      <c r="P501" s="75">
        <f t="shared" si="4"/>
        <v>19639200</v>
      </c>
      <c r="Q501" s="64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22"/>
      <c r="B502" s="67"/>
      <c r="C502" s="67"/>
      <c r="D502" s="47" t="s">
        <v>24</v>
      </c>
      <c r="E502" s="35" t="s">
        <v>78</v>
      </c>
      <c r="F502" s="13"/>
      <c r="G502" s="36">
        <v>40.0</v>
      </c>
      <c r="H502" s="36" t="s">
        <v>26</v>
      </c>
      <c r="I502" s="48">
        <v>430000.0</v>
      </c>
      <c r="J502" s="46">
        <f t="shared" si="196"/>
        <v>17200000</v>
      </c>
      <c r="K502" s="46">
        <v>200000.0</v>
      </c>
      <c r="L502" s="26"/>
      <c r="M502" s="46">
        <v>200000.0</v>
      </c>
      <c r="N502" s="61"/>
      <c r="O502" s="75">
        <f t="shared" si="3"/>
        <v>17000000</v>
      </c>
      <c r="P502" s="75">
        <f t="shared" si="4"/>
        <v>17000000</v>
      </c>
      <c r="Q502" s="64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35" t="s">
        <v>79</v>
      </c>
      <c r="B503" s="12"/>
      <c r="C503" s="47"/>
      <c r="D503" s="44" t="s">
        <v>80</v>
      </c>
      <c r="E503" s="12"/>
      <c r="F503" s="13"/>
      <c r="G503" s="22"/>
      <c r="H503" s="22"/>
      <c r="I503" s="22"/>
      <c r="J503" s="46">
        <f t="shared" ref="J503:K503" si="197">J505</f>
        <v>8500000</v>
      </c>
      <c r="K503" s="46" t="str">
        <f t="shared" si="197"/>
        <v/>
      </c>
      <c r="L503" s="26"/>
      <c r="M503" s="46" t="str">
        <f>M505</f>
        <v/>
      </c>
      <c r="N503" s="61"/>
      <c r="O503" s="75">
        <f t="shared" si="3"/>
        <v>8500000</v>
      </c>
      <c r="P503" s="75">
        <f t="shared" si="4"/>
        <v>8500000</v>
      </c>
      <c r="Q503" s="64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22"/>
      <c r="B504" s="67"/>
      <c r="C504" s="67"/>
      <c r="D504" s="35" t="s">
        <v>23</v>
      </c>
      <c r="E504" s="12"/>
      <c r="F504" s="13"/>
      <c r="G504" s="22"/>
      <c r="H504" s="22"/>
      <c r="I504" s="22"/>
      <c r="J504" s="22"/>
      <c r="K504" s="22"/>
      <c r="L504" s="26"/>
      <c r="M504" s="22"/>
      <c r="N504" s="61"/>
      <c r="O504" s="75">
        <f t="shared" si="3"/>
        <v>0</v>
      </c>
      <c r="P504" s="75">
        <f t="shared" si="4"/>
        <v>0</v>
      </c>
      <c r="Q504" s="64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22"/>
      <c r="B505" s="67"/>
      <c r="C505" s="67"/>
      <c r="D505" s="47" t="s">
        <v>24</v>
      </c>
      <c r="E505" s="35" t="s">
        <v>81</v>
      </c>
      <c r="F505" s="13"/>
      <c r="G505" s="36">
        <v>50.0</v>
      </c>
      <c r="H505" s="36" t="s">
        <v>26</v>
      </c>
      <c r="I505" s="48">
        <v>170000.0</v>
      </c>
      <c r="J505" s="46">
        <f>G505*I505</f>
        <v>8500000</v>
      </c>
      <c r="K505" s="46"/>
      <c r="L505" s="26"/>
      <c r="M505" s="46"/>
      <c r="N505" s="61"/>
      <c r="O505" s="75">
        <f t="shared" si="3"/>
        <v>8500000</v>
      </c>
      <c r="P505" s="75">
        <f t="shared" si="4"/>
        <v>8500000</v>
      </c>
      <c r="Q505" s="64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41" t="s">
        <v>82</v>
      </c>
      <c r="B506" s="12"/>
      <c r="C506" s="56"/>
      <c r="D506" s="41" t="s">
        <v>83</v>
      </c>
      <c r="E506" s="12"/>
      <c r="F506" s="13"/>
      <c r="G506" s="22"/>
      <c r="H506" s="22"/>
      <c r="I506" s="22"/>
      <c r="J506" s="43">
        <f t="shared" ref="J506:K506" si="198">J507+J512</f>
        <v>1993500000</v>
      </c>
      <c r="K506" s="43">
        <f t="shared" si="198"/>
        <v>189117500</v>
      </c>
      <c r="L506" s="26"/>
      <c r="M506" s="43">
        <f>M507+M512</f>
        <v>224397500</v>
      </c>
      <c r="N506" s="61"/>
      <c r="O506" s="75">
        <f t="shared" si="3"/>
        <v>1804382500</v>
      </c>
      <c r="P506" s="75">
        <f t="shared" si="4"/>
        <v>1769102500</v>
      </c>
      <c r="Q506" s="64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35" t="s">
        <v>84</v>
      </c>
      <c r="B507" s="12"/>
      <c r="C507" s="47"/>
      <c r="D507" s="44" t="s">
        <v>85</v>
      </c>
      <c r="E507" s="12"/>
      <c r="F507" s="13"/>
      <c r="G507" s="22"/>
      <c r="H507" s="22"/>
      <c r="I507" s="22"/>
      <c r="J507" s="46">
        <f t="shared" ref="J507:K507" si="199">SUM(J509:J511)</f>
        <v>1867500000</v>
      </c>
      <c r="K507" s="46">
        <f t="shared" si="199"/>
        <v>189037500</v>
      </c>
      <c r="L507" s="26"/>
      <c r="M507" s="46">
        <f>SUM(M509:M511)</f>
        <v>224317500</v>
      </c>
      <c r="N507" s="61"/>
      <c r="O507" s="75">
        <f t="shared" si="3"/>
        <v>1678462500</v>
      </c>
      <c r="P507" s="75">
        <f t="shared" si="4"/>
        <v>1643182500</v>
      </c>
      <c r="Q507" s="64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22"/>
      <c r="B508" s="67"/>
      <c r="C508" s="67"/>
      <c r="D508" s="35" t="s">
        <v>23</v>
      </c>
      <c r="E508" s="12"/>
      <c r="F508" s="13"/>
      <c r="G508" s="22"/>
      <c r="H508" s="22"/>
      <c r="I508" s="22"/>
      <c r="J508" s="22"/>
      <c r="K508" s="22"/>
      <c r="L508" s="26"/>
      <c r="M508" s="22"/>
      <c r="N508" s="61"/>
      <c r="O508" s="75">
        <f t="shared" si="3"/>
        <v>0</v>
      </c>
      <c r="P508" s="75">
        <f t="shared" si="4"/>
        <v>0</v>
      </c>
      <c r="Q508" s="64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22"/>
      <c r="B509" s="67"/>
      <c r="C509" s="67"/>
      <c r="D509" s="47" t="s">
        <v>24</v>
      </c>
      <c r="E509" s="35" t="s">
        <v>259</v>
      </c>
      <c r="F509" s="13"/>
      <c r="G509" s="36">
        <v>82125.0</v>
      </c>
      <c r="H509" s="36" t="s">
        <v>87</v>
      </c>
      <c r="I509" s="48">
        <v>15000.0</v>
      </c>
      <c r="J509" s="46">
        <f t="shared" ref="J509:J511" si="200">G509*I509</f>
        <v>1231875000</v>
      </c>
      <c r="K509" s="46">
        <v>1.37505E8</v>
      </c>
      <c r="L509" s="26"/>
      <c r="M509" s="46">
        <v>1.605E8</v>
      </c>
      <c r="N509" s="61"/>
      <c r="O509" s="75">
        <f t="shared" si="3"/>
        <v>1094370000</v>
      </c>
      <c r="P509" s="75">
        <f t="shared" si="4"/>
        <v>1071375000</v>
      </c>
      <c r="Q509" s="64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22"/>
      <c r="B510" s="67"/>
      <c r="C510" s="67"/>
      <c r="D510" s="47" t="s">
        <v>24</v>
      </c>
      <c r="E510" s="35" t="s">
        <v>88</v>
      </c>
      <c r="F510" s="13"/>
      <c r="G510" s="36">
        <v>9000.0</v>
      </c>
      <c r="H510" s="36" t="s">
        <v>87</v>
      </c>
      <c r="I510" s="48">
        <v>25000.0</v>
      </c>
      <c r="J510" s="46">
        <f t="shared" si="200"/>
        <v>225000000</v>
      </c>
      <c r="K510" s="46">
        <v>5880000.0</v>
      </c>
      <c r="L510" s="26"/>
      <c r="M510" s="46">
        <v>1.05E7</v>
      </c>
      <c r="N510" s="61"/>
      <c r="O510" s="75">
        <f t="shared" si="3"/>
        <v>219120000</v>
      </c>
      <c r="P510" s="75">
        <f t="shared" si="4"/>
        <v>214500000</v>
      </c>
      <c r="Q510" s="64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22"/>
      <c r="B511" s="67"/>
      <c r="C511" s="67"/>
      <c r="D511" s="47" t="s">
        <v>24</v>
      </c>
      <c r="E511" s="35" t="s">
        <v>260</v>
      </c>
      <c r="F511" s="13"/>
      <c r="G511" s="36">
        <v>54750.0</v>
      </c>
      <c r="H511" s="36" t="s">
        <v>87</v>
      </c>
      <c r="I511" s="48">
        <v>7500.0</v>
      </c>
      <c r="J511" s="46">
        <f t="shared" si="200"/>
        <v>410625000</v>
      </c>
      <c r="K511" s="46">
        <v>4.56525E7</v>
      </c>
      <c r="L511" s="26"/>
      <c r="M511" s="46">
        <v>5.33175E7</v>
      </c>
      <c r="N511" s="61"/>
      <c r="O511" s="75">
        <f t="shared" si="3"/>
        <v>364972500</v>
      </c>
      <c r="P511" s="75">
        <f t="shared" si="4"/>
        <v>357307500</v>
      </c>
      <c r="Q511" s="64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35" t="s">
        <v>63</v>
      </c>
      <c r="B512" s="12"/>
      <c r="C512" s="47"/>
      <c r="D512" s="44" t="s">
        <v>64</v>
      </c>
      <c r="E512" s="12"/>
      <c r="F512" s="13"/>
      <c r="G512" s="22"/>
      <c r="H512" s="22"/>
      <c r="I512" s="22"/>
      <c r="J512" s="88">
        <f t="shared" ref="J512:N512" si="201">J514+J515</f>
        <v>126000000</v>
      </c>
      <c r="K512" s="88">
        <f t="shared" si="201"/>
        <v>80000</v>
      </c>
      <c r="L512" s="88">
        <f t="shared" si="201"/>
        <v>0</v>
      </c>
      <c r="M512" s="88">
        <f t="shared" si="201"/>
        <v>80000</v>
      </c>
      <c r="N512" s="88">
        <f t="shared" si="201"/>
        <v>0</v>
      </c>
      <c r="O512" s="75">
        <f t="shared" si="3"/>
        <v>125920000</v>
      </c>
      <c r="P512" s="75">
        <f t="shared" si="4"/>
        <v>125920000</v>
      </c>
      <c r="Q512" s="64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22"/>
      <c r="B513" s="67"/>
      <c r="C513" s="67"/>
      <c r="D513" s="35" t="s">
        <v>23</v>
      </c>
      <c r="E513" s="12"/>
      <c r="F513" s="13"/>
      <c r="G513" s="22"/>
      <c r="H513" s="22"/>
      <c r="I513" s="22"/>
      <c r="J513" s="22"/>
      <c r="K513" s="22"/>
      <c r="L513" s="26"/>
      <c r="M513" s="22"/>
      <c r="N513" s="61"/>
      <c r="O513" s="75">
        <f t="shared" si="3"/>
        <v>0</v>
      </c>
      <c r="P513" s="75">
        <f t="shared" si="4"/>
        <v>0</v>
      </c>
      <c r="Q513" s="64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22"/>
      <c r="B514" s="67"/>
      <c r="C514" s="67"/>
      <c r="D514" s="47" t="s">
        <v>24</v>
      </c>
      <c r="E514" s="35" t="s">
        <v>90</v>
      </c>
      <c r="F514" s="13"/>
      <c r="G514" s="36">
        <v>180.0</v>
      </c>
      <c r="H514" s="36" t="s">
        <v>87</v>
      </c>
      <c r="I514" s="48">
        <v>500000.0</v>
      </c>
      <c r="J514" s="46">
        <f t="shared" ref="J514:J515" si="202">G514*I514</f>
        <v>90000000</v>
      </c>
      <c r="K514" s="46">
        <v>80000.0</v>
      </c>
      <c r="L514" s="26"/>
      <c r="M514" s="46">
        <v>80000.0</v>
      </c>
      <c r="N514" s="61"/>
      <c r="O514" s="75">
        <f t="shared" si="3"/>
        <v>89920000</v>
      </c>
      <c r="P514" s="75">
        <f t="shared" si="4"/>
        <v>89920000</v>
      </c>
      <c r="Q514" s="64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22"/>
      <c r="B515" s="67"/>
      <c r="C515" s="67"/>
      <c r="D515" s="47" t="s">
        <v>24</v>
      </c>
      <c r="E515" s="35" t="s">
        <v>261</v>
      </c>
      <c r="F515" s="13"/>
      <c r="G515" s="36">
        <v>900.0</v>
      </c>
      <c r="H515" s="36" t="s">
        <v>87</v>
      </c>
      <c r="I515" s="48">
        <v>40000.0</v>
      </c>
      <c r="J515" s="46">
        <f t="shared" si="202"/>
        <v>36000000</v>
      </c>
      <c r="K515" s="46"/>
      <c r="L515" s="26"/>
      <c r="M515" s="46"/>
      <c r="N515" s="61"/>
      <c r="O515" s="75">
        <f t="shared" si="3"/>
        <v>36000000</v>
      </c>
      <c r="P515" s="75">
        <f t="shared" si="4"/>
        <v>36000000</v>
      </c>
      <c r="Q515" s="64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41" t="s">
        <v>92</v>
      </c>
      <c r="B516" s="12"/>
      <c r="C516" s="56"/>
      <c r="D516" s="41" t="s">
        <v>93</v>
      </c>
      <c r="E516" s="12"/>
      <c r="F516" s="13"/>
      <c r="G516" s="22"/>
      <c r="H516" s="22"/>
      <c r="I516" s="22"/>
      <c r="J516" s="43">
        <f t="shared" ref="J516:K516" si="203">J517</f>
        <v>42756000</v>
      </c>
      <c r="K516" s="43">
        <f t="shared" si="203"/>
        <v>216000</v>
      </c>
      <c r="L516" s="26"/>
      <c r="M516" s="43">
        <f>M517</f>
        <v>216000</v>
      </c>
      <c r="N516" s="61"/>
      <c r="O516" s="75">
        <f t="shared" si="3"/>
        <v>42540000</v>
      </c>
      <c r="P516" s="75">
        <f t="shared" si="4"/>
        <v>42540000</v>
      </c>
      <c r="Q516" s="64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35" t="s">
        <v>68</v>
      </c>
      <c r="B517" s="12"/>
      <c r="C517" s="47"/>
      <c r="D517" s="44" t="s">
        <v>69</v>
      </c>
      <c r="E517" s="12"/>
      <c r="F517" s="13"/>
      <c r="G517" s="22"/>
      <c r="H517" s="22"/>
      <c r="I517" s="22"/>
      <c r="J517" s="46">
        <f t="shared" ref="J517:K517" si="204">SUM(J519:J520)</f>
        <v>42756000</v>
      </c>
      <c r="K517" s="46">
        <f t="shared" si="204"/>
        <v>216000</v>
      </c>
      <c r="L517" s="26"/>
      <c r="M517" s="46">
        <f>SUM(M519:M520)</f>
        <v>216000</v>
      </c>
      <c r="N517" s="61"/>
      <c r="O517" s="75">
        <f t="shared" si="3"/>
        <v>42540000</v>
      </c>
      <c r="P517" s="75">
        <f t="shared" si="4"/>
        <v>42540000</v>
      </c>
      <c r="Q517" s="64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22"/>
      <c r="B518" s="67"/>
      <c r="C518" s="67"/>
      <c r="D518" s="35" t="s">
        <v>23</v>
      </c>
      <c r="E518" s="12"/>
      <c r="F518" s="13"/>
      <c r="G518" s="22"/>
      <c r="H518" s="22"/>
      <c r="I518" s="22"/>
      <c r="J518" s="22"/>
      <c r="K518" s="22"/>
      <c r="L518" s="26"/>
      <c r="M518" s="22"/>
      <c r="N518" s="61"/>
      <c r="O518" s="75">
        <f t="shared" si="3"/>
        <v>0</v>
      </c>
      <c r="P518" s="75">
        <f t="shared" si="4"/>
        <v>0</v>
      </c>
      <c r="Q518" s="64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22"/>
      <c r="B519" s="67"/>
      <c r="C519" s="67"/>
      <c r="D519" s="47" t="s">
        <v>24</v>
      </c>
      <c r="E519" s="35" t="s">
        <v>94</v>
      </c>
      <c r="F519" s="13"/>
      <c r="G519" s="36">
        <v>12.0</v>
      </c>
      <c r="H519" s="36" t="s">
        <v>95</v>
      </c>
      <c r="I519" s="48">
        <v>2500000.0</v>
      </c>
      <c r="J519" s="46">
        <f t="shared" ref="J519:J520" si="205">G519*I519</f>
        <v>30000000</v>
      </c>
      <c r="K519" s="46">
        <v>216000.0</v>
      </c>
      <c r="L519" s="26"/>
      <c r="M519" s="46">
        <v>216000.0</v>
      </c>
      <c r="N519" s="61"/>
      <c r="O519" s="75">
        <f t="shared" si="3"/>
        <v>29784000</v>
      </c>
      <c r="P519" s="75">
        <f t="shared" si="4"/>
        <v>29784000</v>
      </c>
      <c r="Q519" s="64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22"/>
      <c r="B520" s="67"/>
      <c r="C520" s="67"/>
      <c r="D520" s="47" t="s">
        <v>24</v>
      </c>
      <c r="E520" s="35" t="s">
        <v>232</v>
      </c>
      <c r="F520" s="13"/>
      <c r="G520" s="36">
        <v>1.0</v>
      </c>
      <c r="H520" s="36" t="s">
        <v>97</v>
      </c>
      <c r="I520" s="48">
        <v>1.2756E7</v>
      </c>
      <c r="J520" s="46">
        <f t="shared" si="205"/>
        <v>12756000</v>
      </c>
      <c r="K520" s="46"/>
      <c r="L520" s="26"/>
      <c r="M520" s="46"/>
      <c r="N520" s="61"/>
      <c r="O520" s="75">
        <f t="shared" si="3"/>
        <v>12756000</v>
      </c>
      <c r="P520" s="75">
        <f t="shared" si="4"/>
        <v>12756000</v>
      </c>
      <c r="Q520" s="64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41" t="s">
        <v>98</v>
      </c>
      <c r="B521" s="12"/>
      <c r="C521" s="56"/>
      <c r="D521" s="41" t="s">
        <v>99</v>
      </c>
      <c r="E521" s="12"/>
      <c r="F521" s="13"/>
      <c r="G521" s="22"/>
      <c r="H521" s="22"/>
      <c r="I521" s="22"/>
      <c r="J521" s="43">
        <f t="shared" ref="J521:K521" si="206">J522+J531</f>
        <v>6760000</v>
      </c>
      <c r="K521" s="43">
        <f t="shared" si="206"/>
        <v>0</v>
      </c>
      <c r="L521" s="26"/>
      <c r="M521" s="43">
        <f>M522+M531</f>
        <v>0</v>
      </c>
      <c r="N521" s="61"/>
      <c r="O521" s="75">
        <f t="shared" si="3"/>
        <v>6760000</v>
      </c>
      <c r="P521" s="75">
        <f t="shared" si="4"/>
        <v>6760000</v>
      </c>
      <c r="Q521" s="64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35" t="s">
        <v>100</v>
      </c>
      <c r="B522" s="12"/>
      <c r="C522" s="47"/>
      <c r="D522" s="44" t="s">
        <v>101</v>
      </c>
      <c r="E522" s="12"/>
      <c r="F522" s="13"/>
      <c r="G522" s="22"/>
      <c r="H522" s="22"/>
      <c r="I522" s="22"/>
      <c r="J522" s="46">
        <f t="shared" ref="J522:K522" si="207">SUM(J524:J530)</f>
        <v>5600000</v>
      </c>
      <c r="K522" s="46">
        <f t="shared" si="207"/>
        <v>0</v>
      </c>
      <c r="L522" s="26"/>
      <c r="M522" s="46">
        <f>SUM(M524:M530)</f>
        <v>0</v>
      </c>
      <c r="N522" s="61"/>
      <c r="O522" s="75">
        <f t="shared" si="3"/>
        <v>5600000</v>
      </c>
      <c r="P522" s="75">
        <f t="shared" si="4"/>
        <v>5600000</v>
      </c>
      <c r="Q522" s="64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22"/>
      <c r="B523" s="67"/>
      <c r="C523" s="67"/>
      <c r="D523" s="35" t="s">
        <v>23</v>
      </c>
      <c r="E523" s="12"/>
      <c r="F523" s="13"/>
      <c r="G523" s="22"/>
      <c r="H523" s="22"/>
      <c r="I523" s="22"/>
      <c r="J523" s="22"/>
      <c r="K523" s="22"/>
      <c r="L523" s="26"/>
      <c r="M523" s="22"/>
      <c r="N523" s="61"/>
      <c r="O523" s="75">
        <f t="shared" si="3"/>
        <v>0</v>
      </c>
      <c r="P523" s="75">
        <f t="shared" si="4"/>
        <v>0</v>
      </c>
      <c r="Q523" s="64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22"/>
      <c r="B524" s="67"/>
      <c r="C524" s="67"/>
      <c r="D524" s="47" t="s">
        <v>24</v>
      </c>
      <c r="E524" s="35" t="s">
        <v>102</v>
      </c>
      <c r="F524" s="13"/>
      <c r="G524" s="36">
        <v>2.0</v>
      </c>
      <c r="H524" s="36" t="s">
        <v>95</v>
      </c>
      <c r="I524" s="48">
        <v>350000.0</v>
      </c>
      <c r="J524" s="46">
        <f t="shared" ref="J524:J530" si="208">G524*I524</f>
        <v>700000</v>
      </c>
      <c r="K524" s="46"/>
      <c r="L524" s="26"/>
      <c r="M524" s="46"/>
      <c r="N524" s="61"/>
      <c r="O524" s="75">
        <f t="shared" si="3"/>
        <v>700000</v>
      </c>
      <c r="P524" s="75">
        <f t="shared" si="4"/>
        <v>700000</v>
      </c>
      <c r="Q524" s="64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22"/>
      <c r="B525" s="67"/>
      <c r="C525" s="67"/>
      <c r="D525" s="47" t="s">
        <v>24</v>
      </c>
      <c r="E525" s="35" t="s">
        <v>103</v>
      </c>
      <c r="F525" s="13"/>
      <c r="G525" s="36">
        <v>2.0</v>
      </c>
      <c r="H525" s="36" t="s">
        <v>95</v>
      </c>
      <c r="I525" s="48">
        <v>225000.0</v>
      </c>
      <c r="J525" s="46">
        <f t="shared" si="208"/>
        <v>450000</v>
      </c>
      <c r="K525" s="46"/>
      <c r="L525" s="26"/>
      <c r="M525" s="46"/>
      <c r="N525" s="61"/>
      <c r="O525" s="75">
        <f t="shared" si="3"/>
        <v>450000</v>
      </c>
      <c r="P525" s="75">
        <f t="shared" si="4"/>
        <v>450000</v>
      </c>
      <c r="Q525" s="64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22"/>
      <c r="B526" s="67"/>
      <c r="C526" s="67"/>
      <c r="D526" s="47" t="s">
        <v>24</v>
      </c>
      <c r="E526" s="35" t="s">
        <v>104</v>
      </c>
      <c r="F526" s="13"/>
      <c r="G526" s="36">
        <v>2.0</v>
      </c>
      <c r="H526" s="36" t="s">
        <v>95</v>
      </c>
      <c r="I526" s="48">
        <v>450000.0</v>
      </c>
      <c r="J526" s="46">
        <f t="shared" si="208"/>
        <v>900000</v>
      </c>
      <c r="K526" s="46"/>
      <c r="L526" s="26"/>
      <c r="M526" s="46"/>
      <c r="N526" s="61"/>
      <c r="O526" s="75">
        <f t="shared" si="3"/>
        <v>900000</v>
      </c>
      <c r="P526" s="75">
        <f t="shared" si="4"/>
        <v>900000</v>
      </c>
      <c r="Q526" s="64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22"/>
      <c r="B527" s="67"/>
      <c r="C527" s="67"/>
      <c r="D527" s="47" t="s">
        <v>24</v>
      </c>
      <c r="E527" s="35" t="s">
        <v>105</v>
      </c>
      <c r="F527" s="13"/>
      <c r="G527" s="36">
        <v>2.0</v>
      </c>
      <c r="H527" s="36" t="s">
        <v>95</v>
      </c>
      <c r="I527" s="48">
        <v>250000.0</v>
      </c>
      <c r="J527" s="46">
        <f t="shared" si="208"/>
        <v>500000</v>
      </c>
      <c r="K527" s="46"/>
      <c r="L527" s="26"/>
      <c r="M527" s="46"/>
      <c r="N527" s="61"/>
      <c r="O527" s="75">
        <f t="shared" si="3"/>
        <v>500000</v>
      </c>
      <c r="P527" s="75">
        <f t="shared" si="4"/>
        <v>500000</v>
      </c>
      <c r="Q527" s="64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22"/>
      <c r="B528" s="67"/>
      <c r="C528" s="67"/>
      <c r="D528" s="47" t="s">
        <v>24</v>
      </c>
      <c r="E528" s="35" t="s">
        <v>106</v>
      </c>
      <c r="F528" s="13"/>
      <c r="G528" s="36">
        <v>2.0</v>
      </c>
      <c r="H528" s="36" t="s">
        <v>95</v>
      </c>
      <c r="I528" s="48">
        <v>100000.0</v>
      </c>
      <c r="J528" s="46">
        <f t="shared" si="208"/>
        <v>200000</v>
      </c>
      <c r="K528" s="46"/>
      <c r="L528" s="26"/>
      <c r="M528" s="46"/>
      <c r="N528" s="61"/>
      <c r="O528" s="75">
        <f t="shared" si="3"/>
        <v>200000</v>
      </c>
      <c r="P528" s="75">
        <f t="shared" si="4"/>
        <v>200000</v>
      </c>
      <c r="Q528" s="64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22"/>
      <c r="B529" s="67"/>
      <c r="C529" s="67"/>
      <c r="D529" s="47" t="s">
        <v>24</v>
      </c>
      <c r="E529" s="35" t="s">
        <v>107</v>
      </c>
      <c r="F529" s="13"/>
      <c r="G529" s="36">
        <v>2.0</v>
      </c>
      <c r="H529" s="36" t="s">
        <v>95</v>
      </c>
      <c r="I529" s="48">
        <v>725000.0</v>
      </c>
      <c r="J529" s="46">
        <f t="shared" si="208"/>
        <v>1450000</v>
      </c>
      <c r="K529" s="46"/>
      <c r="L529" s="26"/>
      <c r="M529" s="46"/>
      <c r="N529" s="61"/>
      <c r="O529" s="75">
        <f t="shared" si="3"/>
        <v>1450000</v>
      </c>
      <c r="P529" s="75">
        <f t="shared" si="4"/>
        <v>1450000</v>
      </c>
      <c r="Q529" s="64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22"/>
      <c r="B530" s="67"/>
      <c r="C530" s="67"/>
      <c r="D530" s="47" t="s">
        <v>24</v>
      </c>
      <c r="E530" s="35" t="s">
        <v>108</v>
      </c>
      <c r="F530" s="13"/>
      <c r="G530" s="36">
        <v>2.0</v>
      </c>
      <c r="H530" s="36" t="s">
        <v>95</v>
      </c>
      <c r="I530" s="48">
        <v>700000.0</v>
      </c>
      <c r="J530" s="46">
        <f t="shared" si="208"/>
        <v>1400000</v>
      </c>
      <c r="K530" s="46"/>
      <c r="L530" s="26"/>
      <c r="M530" s="46"/>
      <c r="N530" s="61"/>
      <c r="O530" s="75">
        <f t="shared" si="3"/>
        <v>1400000</v>
      </c>
      <c r="P530" s="75">
        <f t="shared" si="4"/>
        <v>1400000</v>
      </c>
      <c r="Q530" s="64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35" t="s">
        <v>68</v>
      </c>
      <c r="B531" s="12"/>
      <c r="C531" s="47"/>
      <c r="D531" s="44" t="s">
        <v>69</v>
      </c>
      <c r="E531" s="12"/>
      <c r="F531" s="13"/>
      <c r="G531" s="22"/>
      <c r="H531" s="22"/>
      <c r="I531" s="22"/>
      <c r="J531" s="46">
        <f t="shared" ref="J531:K531" si="209">SUM(J533:J536)</f>
        <v>1160000</v>
      </c>
      <c r="K531" s="46">
        <f t="shared" si="209"/>
        <v>0</v>
      </c>
      <c r="L531" s="26"/>
      <c r="M531" s="46">
        <f>SUM(M533:M536)</f>
        <v>0</v>
      </c>
      <c r="N531" s="61"/>
      <c r="O531" s="75">
        <f t="shared" si="3"/>
        <v>1160000</v>
      </c>
      <c r="P531" s="75">
        <f t="shared" si="4"/>
        <v>1160000</v>
      </c>
      <c r="Q531" s="64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22"/>
      <c r="B532" s="67"/>
      <c r="C532" s="67"/>
      <c r="D532" s="35" t="s">
        <v>23</v>
      </c>
      <c r="E532" s="12"/>
      <c r="F532" s="13"/>
      <c r="G532" s="22"/>
      <c r="H532" s="22"/>
      <c r="I532" s="22"/>
      <c r="J532" s="22"/>
      <c r="K532" s="22"/>
      <c r="L532" s="26"/>
      <c r="M532" s="22"/>
      <c r="N532" s="61"/>
      <c r="O532" s="75">
        <f t="shared" si="3"/>
        <v>0</v>
      </c>
      <c r="P532" s="75">
        <f t="shared" si="4"/>
        <v>0</v>
      </c>
      <c r="Q532" s="64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22"/>
      <c r="B533" s="67"/>
      <c r="C533" s="67"/>
      <c r="D533" s="47" t="s">
        <v>24</v>
      </c>
      <c r="E533" s="35" t="s">
        <v>109</v>
      </c>
      <c r="F533" s="13"/>
      <c r="G533" s="36">
        <v>10.0</v>
      </c>
      <c r="H533" s="36" t="s">
        <v>95</v>
      </c>
      <c r="I533" s="48">
        <v>50000.0</v>
      </c>
      <c r="J533" s="46">
        <f t="shared" ref="J533:J536" si="210">G533*I533</f>
        <v>500000</v>
      </c>
      <c r="K533" s="46"/>
      <c r="L533" s="26"/>
      <c r="M533" s="46"/>
      <c r="N533" s="61"/>
      <c r="O533" s="75">
        <f t="shared" si="3"/>
        <v>500000</v>
      </c>
      <c r="P533" s="75">
        <f t="shared" si="4"/>
        <v>500000</v>
      </c>
      <c r="Q533" s="64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22"/>
      <c r="B534" s="67"/>
      <c r="C534" s="67"/>
      <c r="D534" s="47" t="s">
        <v>24</v>
      </c>
      <c r="E534" s="35" t="s">
        <v>110</v>
      </c>
      <c r="F534" s="13"/>
      <c r="G534" s="36">
        <v>2.0</v>
      </c>
      <c r="H534" s="36" t="s">
        <v>95</v>
      </c>
      <c r="I534" s="48">
        <v>100000.0</v>
      </c>
      <c r="J534" s="46">
        <f t="shared" si="210"/>
        <v>200000</v>
      </c>
      <c r="K534" s="46"/>
      <c r="L534" s="26"/>
      <c r="M534" s="46"/>
      <c r="N534" s="61"/>
      <c r="O534" s="75">
        <f t="shared" si="3"/>
        <v>200000</v>
      </c>
      <c r="P534" s="75">
        <f t="shared" si="4"/>
        <v>200000</v>
      </c>
      <c r="Q534" s="64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22"/>
      <c r="B535" s="67"/>
      <c r="C535" s="67"/>
      <c r="D535" s="47" t="s">
        <v>24</v>
      </c>
      <c r="E535" s="35" t="s">
        <v>111</v>
      </c>
      <c r="F535" s="13"/>
      <c r="G535" s="36">
        <v>2.0</v>
      </c>
      <c r="H535" s="36" t="s">
        <v>95</v>
      </c>
      <c r="I535" s="48">
        <v>200000.0</v>
      </c>
      <c r="J535" s="46">
        <f t="shared" si="210"/>
        <v>400000</v>
      </c>
      <c r="K535" s="46"/>
      <c r="L535" s="26"/>
      <c r="M535" s="46"/>
      <c r="N535" s="61"/>
      <c r="O535" s="75">
        <f t="shared" si="3"/>
        <v>400000</v>
      </c>
      <c r="P535" s="75">
        <f t="shared" si="4"/>
        <v>400000</v>
      </c>
      <c r="Q535" s="64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22"/>
      <c r="B536" s="67"/>
      <c r="C536" s="67"/>
      <c r="D536" s="47" t="s">
        <v>24</v>
      </c>
      <c r="E536" s="35" t="s">
        <v>112</v>
      </c>
      <c r="F536" s="13"/>
      <c r="G536" s="36">
        <v>2.0</v>
      </c>
      <c r="H536" s="36" t="s">
        <v>95</v>
      </c>
      <c r="I536" s="48">
        <v>30000.0</v>
      </c>
      <c r="J536" s="46">
        <f t="shared" si="210"/>
        <v>60000</v>
      </c>
      <c r="K536" s="46"/>
      <c r="L536" s="26"/>
      <c r="M536" s="46"/>
      <c r="N536" s="61"/>
      <c r="O536" s="75">
        <f t="shared" si="3"/>
        <v>60000</v>
      </c>
      <c r="P536" s="75">
        <f t="shared" si="4"/>
        <v>60000</v>
      </c>
      <c r="Q536" s="64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41" t="s">
        <v>113</v>
      </c>
      <c r="B537" s="12"/>
      <c r="C537" s="56"/>
      <c r="D537" s="41" t="s">
        <v>114</v>
      </c>
      <c r="E537" s="12"/>
      <c r="F537" s="13"/>
      <c r="G537" s="22"/>
      <c r="H537" s="22"/>
      <c r="I537" s="22"/>
      <c r="J537" s="43">
        <f t="shared" ref="J537:K537" si="211">J538</f>
        <v>616125000</v>
      </c>
      <c r="K537" s="43">
        <f t="shared" si="211"/>
        <v>0</v>
      </c>
      <c r="L537" s="26"/>
      <c r="M537" s="43">
        <f>M538</f>
        <v>23184688</v>
      </c>
      <c r="N537" s="61"/>
      <c r="O537" s="75">
        <f t="shared" si="3"/>
        <v>616125000</v>
      </c>
      <c r="P537" s="75">
        <f t="shared" si="4"/>
        <v>592940312</v>
      </c>
      <c r="Q537" s="64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35" t="s">
        <v>68</v>
      </c>
      <c r="B538" s="12"/>
      <c r="C538" s="47"/>
      <c r="D538" s="44" t="s">
        <v>69</v>
      </c>
      <c r="E538" s="12"/>
      <c r="F538" s="13"/>
      <c r="G538" s="22"/>
      <c r="H538" s="22"/>
      <c r="I538" s="22"/>
      <c r="J538" s="46">
        <f t="shared" ref="J538:K538" si="212">SUM(J540:J550)</f>
        <v>616125000</v>
      </c>
      <c r="K538" s="46">
        <f t="shared" si="212"/>
        <v>0</v>
      </c>
      <c r="L538" s="26"/>
      <c r="M538" s="46">
        <f>SUM(M540:M550)</f>
        <v>23184688</v>
      </c>
      <c r="N538" s="61"/>
      <c r="O538" s="75">
        <f t="shared" si="3"/>
        <v>616125000</v>
      </c>
      <c r="P538" s="75">
        <f t="shared" si="4"/>
        <v>592940312</v>
      </c>
      <c r="Q538" s="64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22"/>
      <c r="B539" s="67"/>
      <c r="C539" s="67"/>
      <c r="D539" s="35" t="s">
        <v>23</v>
      </c>
      <c r="E539" s="12"/>
      <c r="F539" s="13"/>
      <c r="G539" s="22"/>
      <c r="H539" s="22"/>
      <c r="I539" s="22"/>
      <c r="J539" s="22"/>
      <c r="K539" s="22"/>
      <c r="L539" s="26"/>
      <c r="M539" s="22"/>
      <c r="N539" s="61"/>
      <c r="O539" s="75">
        <f t="shared" si="3"/>
        <v>0</v>
      </c>
      <c r="P539" s="75">
        <f t="shared" si="4"/>
        <v>0</v>
      </c>
      <c r="Q539" s="64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22"/>
      <c r="B540" s="67"/>
      <c r="C540" s="67"/>
      <c r="D540" s="47" t="s">
        <v>24</v>
      </c>
      <c r="E540" s="35" t="s">
        <v>262</v>
      </c>
      <c r="F540" s="13"/>
      <c r="G540" s="36">
        <v>150.0</v>
      </c>
      <c r="H540" s="36" t="s">
        <v>95</v>
      </c>
      <c r="I540" s="48">
        <v>110000.0</v>
      </c>
      <c r="J540" s="46">
        <f t="shared" ref="J540:J550" si="213">G540*I540</f>
        <v>16500000</v>
      </c>
      <c r="K540" s="46"/>
      <c r="L540" s="26"/>
      <c r="M540" s="46"/>
      <c r="N540" s="61"/>
      <c r="O540" s="75">
        <f t="shared" si="3"/>
        <v>16500000</v>
      </c>
      <c r="P540" s="75">
        <f t="shared" si="4"/>
        <v>16500000</v>
      </c>
      <c r="Q540" s="64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22"/>
      <c r="B541" s="67"/>
      <c r="C541" s="67"/>
      <c r="D541" s="47" t="s">
        <v>24</v>
      </c>
      <c r="E541" s="35" t="s">
        <v>263</v>
      </c>
      <c r="F541" s="13"/>
      <c r="G541" s="36">
        <v>150.0</v>
      </c>
      <c r="H541" s="36" t="s">
        <v>95</v>
      </c>
      <c r="I541" s="48">
        <v>120000.0</v>
      </c>
      <c r="J541" s="46">
        <f t="shared" si="213"/>
        <v>18000000</v>
      </c>
      <c r="K541" s="46"/>
      <c r="L541" s="26"/>
      <c r="M541" s="46"/>
      <c r="N541" s="61"/>
      <c r="O541" s="75">
        <f t="shared" si="3"/>
        <v>18000000</v>
      </c>
      <c r="P541" s="75">
        <f t="shared" si="4"/>
        <v>18000000</v>
      </c>
      <c r="Q541" s="64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22"/>
      <c r="B542" s="67"/>
      <c r="C542" s="67"/>
      <c r="D542" s="47" t="s">
        <v>24</v>
      </c>
      <c r="E542" s="35" t="s">
        <v>264</v>
      </c>
      <c r="F542" s="13"/>
      <c r="G542" s="36">
        <v>150.0</v>
      </c>
      <c r="H542" s="36" t="s">
        <v>95</v>
      </c>
      <c r="I542" s="48">
        <v>150000.0</v>
      </c>
      <c r="J542" s="46">
        <f t="shared" si="213"/>
        <v>22500000</v>
      </c>
      <c r="K542" s="46"/>
      <c r="L542" s="26"/>
      <c r="M542" s="46"/>
      <c r="N542" s="61"/>
      <c r="O542" s="75">
        <f t="shared" si="3"/>
        <v>22500000</v>
      </c>
      <c r="P542" s="75">
        <f t="shared" si="4"/>
        <v>22500000</v>
      </c>
      <c r="Q542" s="64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22"/>
      <c r="B543" s="67"/>
      <c r="C543" s="67"/>
      <c r="D543" s="47" t="s">
        <v>24</v>
      </c>
      <c r="E543" s="35" t="s">
        <v>265</v>
      </c>
      <c r="F543" s="13"/>
      <c r="G543" s="36">
        <v>150.0</v>
      </c>
      <c r="H543" s="36" t="s">
        <v>95</v>
      </c>
      <c r="I543" s="48">
        <v>100000.0</v>
      </c>
      <c r="J543" s="46">
        <f t="shared" si="213"/>
        <v>15000000</v>
      </c>
      <c r="K543" s="46"/>
      <c r="L543" s="26"/>
      <c r="M543" s="46"/>
      <c r="N543" s="61"/>
      <c r="O543" s="75">
        <f t="shared" si="3"/>
        <v>15000000</v>
      </c>
      <c r="P543" s="75">
        <f t="shared" si="4"/>
        <v>15000000</v>
      </c>
      <c r="Q543" s="64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22"/>
      <c r="B544" s="67"/>
      <c r="C544" s="67"/>
      <c r="D544" s="47" t="s">
        <v>24</v>
      </c>
      <c r="E544" s="35" t="s">
        <v>266</v>
      </c>
      <c r="F544" s="13"/>
      <c r="G544" s="36">
        <v>150.0</v>
      </c>
      <c r="H544" s="36" t="s">
        <v>95</v>
      </c>
      <c r="I544" s="48">
        <v>350000.0</v>
      </c>
      <c r="J544" s="46">
        <f t="shared" si="213"/>
        <v>52500000</v>
      </c>
      <c r="K544" s="46"/>
      <c r="L544" s="26"/>
      <c r="M544" s="46"/>
      <c r="N544" s="61"/>
      <c r="O544" s="75">
        <f t="shared" si="3"/>
        <v>52500000</v>
      </c>
      <c r="P544" s="75">
        <f t="shared" si="4"/>
        <v>52500000</v>
      </c>
      <c r="Q544" s="64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22"/>
      <c r="B545" s="67"/>
      <c r="C545" s="67"/>
      <c r="D545" s="47" t="s">
        <v>24</v>
      </c>
      <c r="E545" s="35" t="s">
        <v>267</v>
      </c>
      <c r="F545" s="13"/>
      <c r="G545" s="36">
        <v>75.0</v>
      </c>
      <c r="H545" s="36" t="s">
        <v>95</v>
      </c>
      <c r="I545" s="48">
        <v>175000.0</v>
      </c>
      <c r="J545" s="46">
        <f t="shared" si="213"/>
        <v>13125000</v>
      </c>
      <c r="K545" s="46"/>
      <c r="L545" s="26"/>
      <c r="M545" s="46"/>
      <c r="N545" s="61"/>
      <c r="O545" s="75">
        <f t="shared" si="3"/>
        <v>13125000</v>
      </c>
      <c r="P545" s="75">
        <f t="shared" si="4"/>
        <v>13125000</v>
      </c>
      <c r="Q545" s="64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22"/>
      <c r="B546" s="67"/>
      <c r="C546" s="67"/>
      <c r="D546" s="47" t="s">
        <v>24</v>
      </c>
      <c r="E546" s="35" t="s">
        <v>268</v>
      </c>
      <c r="F546" s="13"/>
      <c r="G546" s="36">
        <v>525.0</v>
      </c>
      <c r="H546" s="36" t="s">
        <v>95</v>
      </c>
      <c r="I546" s="48">
        <v>150000.0</v>
      </c>
      <c r="J546" s="46">
        <f t="shared" si="213"/>
        <v>78750000</v>
      </c>
      <c r="K546" s="46"/>
      <c r="L546" s="26"/>
      <c r="M546" s="46"/>
      <c r="N546" s="61"/>
      <c r="O546" s="75">
        <f t="shared" si="3"/>
        <v>78750000</v>
      </c>
      <c r="P546" s="75">
        <f t="shared" si="4"/>
        <v>78750000</v>
      </c>
      <c r="Q546" s="64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22"/>
      <c r="B547" s="67"/>
      <c r="C547" s="67"/>
      <c r="D547" s="47" t="s">
        <v>24</v>
      </c>
      <c r="E547" s="35" t="s">
        <v>269</v>
      </c>
      <c r="F547" s="13"/>
      <c r="G547" s="36">
        <v>525.0</v>
      </c>
      <c r="H547" s="36" t="s">
        <v>95</v>
      </c>
      <c r="I547" s="48">
        <v>200000.0</v>
      </c>
      <c r="J547" s="46">
        <f t="shared" si="213"/>
        <v>105000000</v>
      </c>
      <c r="K547" s="46"/>
      <c r="L547" s="26"/>
      <c r="M547" s="46"/>
      <c r="N547" s="61"/>
      <c r="O547" s="75">
        <f t="shared" si="3"/>
        <v>105000000</v>
      </c>
      <c r="P547" s="75">
        <f t="shared" si="4"/>
        <v>105000000</v>
      </c>
      <c r="Q547" s="64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22"/>
      <c r="B548" s="67"/>
      <c r="C548" s="67"/>
      <c r="D548" s="47" t="s">
        <v>24</v>
      </c>
      <c r="E548" s="35" t="s">
        <v>270</v>
      </c>
      <c r="F548" s="13"/>
      <c r="G548" s="36">
        <v>900.0</v>
      </c>
      <c r="H548" s="36" t="s">
        <v>95</v>
      </c>
      <c r="I548" s="48">
        <v>250000.0</v>
      </c>
      <c r="J548" s="46">
        <f t="shared" si="213"/>
        <v>225000000</v>
      </c>
      <c r="K548" s="46"/>
      <c r="L548" s="26"/>
      <c r="M548" s="46">
        <v>2.2410188E7</v>
      </c>
      <c r="N548" s="61"/>
      <c r="O548" s="75">
        <f t="shared" si="3"/>
        <v>225000000</v>
      </c>
      <c r="P548" s="75">
        <f t="shared" si="4"/>
        <v>202589812</v>
      </c>
      <c r="Q548" s="64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22"/>
      <c r="B549" s="67"/>
      <c r="C549" s="67"/>
      <c r="D549" s="47" t="s">
        <v>24</v>
      </c>
      <c r="E549" s="35" t="s">
        <v>271</v>
      </c>
      <c r="F549" s="13"/>
      <c r="G549" s="36">
        <v>540.0</v>
      </c>
      <c r="H549" s="36" t="s">
        <v>95</v>
      </c>
      <c r="I549" s="48">
        <v>100000.0</v>
      </c>
      <c r="J549" s="46">
        <f t="shared" si="213"/>
        <v>54000000</v>
      </c>
      <c r="K549" s="46"/>
      <c r="L549" s="26"/>
      <c r="M549" s="46">
        <v>774500.0</v>
      </c>
      <c r="N549" s="61"/>
      <c r="O549" s="75">
        <f t="shared" si="3"/>
        <v>54000000</v>
      </c>
      <c r="P549" s="75">
        <f t="shared" si="4"/>
        <v>53225500</v>
      </c>
      <c r="Q549" s="64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22"/>
      <c r="B550" s="67"/>
      <c r="C550" s="67"/>
      <c r="D550" s="47" t="s">
        <v>24</v>
      </c>
      <c r="E550" s="35" t="s">
        <v>272</v>
      </c>
      <c r="F550" s="13"/>
      <c r="G550" s="36">
        <v>315.0</v>
      </c>
      <c r="H550" s="36" t="s">
        <v>95</v>
      </c>
      <c r="I550" s="48">
        <v>50000.0</v>
      </c>
      <c r="J550" s="46">
        <f t="shared" si="213"/>
        <v>15750000</v>
      </c>
      <c r="K550" s="46"/>
      <c r="L550" s="26"/>
      <c r="M550" s="46"/>
      <c r="N550" s="61"/>
      <c r="O550" s="75">
        <f t="shared" si="3"/>
        <v>15750000</v>
      </c>
      <c r="P550" s="75">
        <f t="shared" si="4"/>
        <v>15750000</v>
      </c>
      <c r="Q550" s="64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41" t="s">
        <v>126</v>
      </c>
      <c r="B551" s="12"/>
      <c r="C551" s="56"/>
      <c r="D551" s="41" t="s">
        <v>127</v>
      </c>
      <c r="E551" s="12"/>
      <c r="F551" s="13"/>
      <c r="G551" s="22"/>
      <c r="H551" s="22"/>
      <c r="I551" s="22"/>
      <c r="J551" s="43">
        <f t="shared" ref="J551:K551" si="214">J552</f>
        <v>190740000</v>
      </c>
      <c r="K551" s="43">
        <f t="shared" si="214"/>
        <v>0</v>
      </c>
      <c r="L551" s="26"/>
      <c r="M551" s="43">
        <f>M552</f>
        <v>0</v>
      </c>
      <c r="N551" s="61"/>
      <c r="O551" s="75">
        <f t="shared" si="3"/>
        <v>190740000</v>
      </c>
      <c r="P551" s="75">
        <f t="shared" si="4"/>
        <v>190740000</v>
      </c>
      <c r="Q551" s="64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35" t="s">
        <v>68</v>
      </c>
      <c r="B552" s="12"/>
      <c r="C552" s="47"/>
      <c r="D552" s="44" t="s">
        <v>69</v>
      </c>
      <c r="E552" s="12"/>
      <c r="F552" s="13"/>
      <c r="G552" s="22"/>
      <c r="H552" s="22"/>
      <c r="I552" s="22"/>
      <c r="J552" s="46">
        <f t="shared" ref="J552:K552" si="215">SUM(J554:J558)</f>
        <v>190740000</v>
      </c>
      <c r="K552" s="46">
        <f t="shared" si="215"/>
        <v>0</v>
      </c>
      <c r="L552" s="26"/>
      <c r="M552" s="46">
        <f>SUM(M554:M558)</f>
        <v>0</v>
      </c>
      <c r="N552" s="61"/>
      <c r="O552" s="75">
        <f t="shared" si="3"/>
        <v>190740000</v>
      </c>
      <c r="P552" s="75">
        <f t="shared" si="4"/>
        <v>190740000</v>
      </c>
      <c r="Q552" s="64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22"/>
      <c r="B553" s="67"/>
      <c r="C553" s="67"/>
      <c r="D553" s="35" t="s">
        <v>23</v>
      </c>
      <c r="E553" s="12"/>
      <c r="F553" s="13"/>
      <c r="G553" s="22"/>
      <c r="H553" s="22"/>
      <c r="I553" s="22"/>
      <c r="J553" s="22"/>
      <c r="K553" s="22"/>
      <c r="L553" s="26"/>
      <c r="M553" s="22"/>
      <c r="N553" s="61"/>
      <c r="O553" s="75">
        <f t="shared" si="3"/>
        <v>0</v>
      </c>
      <c r="P553" s="75">
        <f t="shared" si="4"/>
        <v>0</v>
      </c>
      <c r="Q553" s="64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22"/>
      <c r="B554" s="67"/>
      <c r="C554" s="67"/>
      <c r="D554" s="47" t="s">
        <v>24</v>
      </c>
      <c r="E554" s="35" t="s">
        <v>128</v>
      </c>
      <c r="F554" s="13"/>
      <c r="G554" s="36">
        <v>88.0</v>
      </c>
      <c r="H554" s="36" t="s">
        <v>233</v>
      </c>
      <c r="I554" s="48">
        <v>110000.0</v>
      </c>
      <c r="J554" s="46">
        <f t="shared" ref="J554:J558" si="216">G554*I554</f>
        <v>9680000</v>
      </c>
      <c r="K554" s="46"/>
      <c r="L554" s="26"/>
      <c r="M554" s="46"/>
      <c r="N554" s="61"/>
      <c r="O554" s="75">
        <f t="shared" si="3"/>
        <v>9680000</v>
      </c>
      <c r="P554" s="75">
        <f t="shared" si="4"/>
        <v>9680000</v>
      </c>
      <c r="Q554" s="64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22"/>
      <c r="B555" s="67"/>
      <c r="C555" s="67"/>
      <c r="D555" s="47" t="s">
        <v>24</v>
      </c>
      <c r="E555" s="35" t="s">
        <v>130</v>
      </c>
      <c r="F555" s="13"/>
      <c r="G555" s="36">
        <v>88.0</v>
      </c>
      <c r="H555" s="36" t="s">
        <v>233</v>
      </c>
      <c r="I555" s="48">
        <v>120000.0</v>
      </c>
      <c r="J555" s="46">
        <f t="shared" si="216"/>
        <v>10560000</v>
      </c>
      <c r="K555" s="46"/>
      <c r="L555" s="26"/>
      <c r="M555" s="46"/>
      <c r="N555" s="61"/>
      <c r="O555" s="75">
        <f t="shared" si="3"/>
        <v>10560000</v>
      </c>
      <c r="P555" s="75">
        <f t="shared" si="4"/>
        <v>10560000</v>
      </c>
      <c r="Q555" s="64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22"/>
      <c r="B556" s="67"/>
      <c r="C556" s="67"/>
      <c r="D556" s="47" t="s">
        <v>24</v>
      </c>
      <c r="E556" s="35" t="s">
        <v>131</v>
      </c>
      <c r="F556" s="13"/>
      <c r="G556" s="36">
        <v>88.0</v>
      </c>
      <c r="H556" s="36" t="s">
        <v>233</v>
      </c>
      <c r="I556" s="48">
        <v>350000.0</v>
      </c>
      <c r="J556" s="46">
        <f t="shared" si="216"/>
        <v>30800000</v>
      </c>
      <c r="K556" s="46"/>
      <c r="L556" s="26"/>
      <c r="M556" s="46"/>
      <c r="N556" s="61"/>
      <c r="O556" s="75">
        <f t="shared" si="3"/>
        <v>30800000</v>
      </c>
      <c r="P556" s="75">
        <f t="shared" si="4"/>
        <v>30800000</v>
      </c>
      <c r="Q556" s="64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22"/>
      <c r="B557" s="67"/>
      <c r="C557" s="67"/>
      <c r="D557" s="47" t="s">
        <v>24</v>
      </c>
      <c r="E557" s="35" t="s">
        <v>132</v>
      </c>
      <c r="F557" s="13"/>
      <c r="G557" s="36">
        <v>44.0</v>
      </c>
      <c r="H557" s="36" t="s">
        <v>233</v>
      </c>
      <c r="I557" s="48">
        <v>175000.0</v>
      </c>
      <c r="J557" s="46">
        <f t="shared" si="216"/>
        <v>7700000</v>
      </c>
      <c r="K557" s="46"/>
      <c r="L557" s="26"/>
      <c r="M557" s="46"/>
      <c r="N557" s="61"/>
      <c r="O557" s="75">
        <f t="shared" si="3"/>
        <v>7700000</v>
      </c>
      <c r="P557" s="75">
        <f t="shared" si="4"/>
        <v>7700000</v>
      </c>
      <c r="Q557" s="64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22"/>
      <c r="B558" s="67"/>
      <c r="C558" s="67"/>
      <c r="D558" s="47" t="s">
        <v>24</v>
      </c>
      <c r="E558" s="35" t="s">
        <v>133</v>
      </c>
      <c r="F558" s="13"/>
      <c r="G558" s="36">
        <v>528.0</v>
      </c>
      <c r="H558" s="36" t="s">
        <v>233</v>
      </c>
      <c r="I558" s="48">
        <v>250000.0</v>
      </c>
      <c r="J558" s="46">
        <f t="shared" si="216"/>
        <v>132000000</v>
      </c>
      <c r="K558" s="46"/>
      <c r="L558" s="26"/>
      <c r="M558" s="46"/>
      <c r="N558" s="61"/>
      <c r="O558" s="75">
        <f t="shared" si="3"/>
        <v>132000000</v>
      </c>
      <c r="P558" s="75">
        <f t="shared" si="4"/>
        <v>132000000</v>
      </c>
      <c r="Q558" s="64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41" t="s">
        <v>134</v>
      </c>
      <c r="B559" s="12"/>
      <c r="C559" s="56"/>
      <c r="D559" s="41" t="s">
        <v>273</v>
      </c>
      <c r="E559" s="12"/>
      <c r="F559" s="13"/>
      <c r="G559" s="22"/>
      <c r="H559" s="22"/>
      <c r="I559" s="22"/>
      <c r="J559" s="43">
        <f t="shared" ref="J559:K559" si="217">J560</f>
        <v>29670000</v>
      </c>
      <c r="K559" s="43">
        <f t="shared" si="217"/>
        <v>0</v>
      </c>
      <c r="L559" s="26"/>
      <c r="M559" s="43">
        <f>M560</f>
        <v>0</v>
      </c>
      <c r="N559" s="61"/>
      <c r="O559" s="75">
        <f t="shared" si="3"/>
        <v>29670000</v>
      </c>
      <c r="P559" s="75">
        <f t="shared" si="4"/>
        <v>29670000</v>
      </c>
      <c r="Q559" s="64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35" t="s">
        <v>68</v>
      </c>
      <c r="B560" s="12"/>
      <c r="C560" s="47"/>
      <c r="D560" s="44" t="s">
        <v>69</v>
      </c>
      <c r="E560" s="12"/>
      <c r="F560" s="13"/>
      <c r="G560" s="22"/>
      <c r="H560" s="22"/>
      <c r="I560" s="22"/>
      <c r="J560" s="46">
        <f t="shared" ref="J560:K560" si="218">SUM(J562:J566)</f>
        <v>29670000</v>
      </c>
      <c r="K560" s="46">
        <f t="shared" si="218"/>
        <v>0</v>
      </c>
      <c r="L560" s="26"/>
      <c r="M560" s="46">
        <f>SUM(M562:M566)</f>
        <v>0</v>
      </c>
      <c r="N560" s="61"/>
      <c r="O560" s="75">
        <f t="shared" si="3"/>
        <v>29670000</v>
      </c>
      <c r="P560" s="75">
        <f t="shared" si="4"/>
        <v>29670000</v>
      </c>
      <c r="Q560" s="64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22"/>
      <c r="B561" s="67"/>
      <c r="C561" s="67"/>
      <c r="D561" s="35" t="s">
        <v>23</v>
      </c>
      <c r="E561" s="12"/>
      <c r="F561" s="13"/>
      <c r="G561" s="22"/>
      <c r="H561" s="22"/>
      <c r="I561" s="22"/>
      <c r="J561" s="22"/>
      <c r="K561" s="22"/>
      <c r="L561" s="26"/>
      <c r="M561" s="22"/>
      <c r="N561" s="61"/>
      <c r="O561" s="75">
        <f t="shared" si="3"/>
        <v>0</v>
      </c>
      <c r="P561" s="75">
        <f t="shared" si="4"/>
        <v>0</v>
      </c>
      <c r="Q561" s="64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22"/>
      <c r="B562" s="67"/>
      <c r="C562" s="67"/>
      <c r="D562" s="47" t="s">
        <v>24</v>
      </c>
      <c r="E562" s="35" t="s">
        <v>274</v>
      </c>
      <c r="F562" s="13"/>
      <c r="G562" s="36">
        <v>225.0</v>
      </c>
      <c r="H562" s="36" t="s">
        <v>95</v>
      </c>
      <c r="I562" s="48">
        <v>75000.0</v>
      </c>
      <c r="J562" s="46">
        <f t="shared" ref="J562:J566" si="219">G562*I562</f>
        <v>16875000</v>
      </c>
      <c r="K562" s="46"/>
      <c r="L562" s="26"/>
      <c r="M562" s="46"/>
      <c r="N562" s="61"/>
      <c r="O562" s="75">
        <f t="shared" si="3"/>
        <v>16875000</v>
      </c>
      <c r="P562" s="75">
        <f t="shared" si="4"/>
        <v>16875000</v>
      </c>
      <c r="Q562" s="64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22"/>
      <c r="B563" s="67"/>
      <c r="C563" s="67"/>
      <c r="D563" s="47" t="s">
        <v>24</v>
      </c>
      <c r="E563" s="35" t="s">
        <v>137</v>
      </c>
      <c r="F563" s="13"/>
      <c r="G563" s="36">
        <v>2.0</v>
      </c>
      <c r="H563" s="36" t="s">
        <v>95</v>
      </c>
      <c r="I563" s="48">
        <v>360000.0</v>
      </c>
      <c r="J563" s="46">
        <f t="shared" si="219"/>
        <v>720000</v>
      </c>
      <c r="K563" s="46"/>
      <c r="L563" s="26"/>
      <c r="M563" s="46"/>
      <c r="N563" s="61"/>
      <c r="O563" s="75">
        <f t="shared" si="3"/>
        <v>720000</v>
      </c>
      <c r="P563" s="75">
        <f t="shared" si="4"/>
        <v>720000</v>
      </c>
      <c r="Q563" s="64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22"/>
      <c r="B564" s="67"/>
      <c r="C564" s="67"/>
      <c r="D564" s="47" t="s">
        <v>24</v>
      </c>
      <c r="E564" s="35" t="s">
        <v>275</v>
      </c>
      <c r="F564" s="13"/>
      <c r="G564" s="36">
        <v>75.0</v>
      </c>
      <c r="H564" s="36" t="s">
        <v>95</v>
      </c>
      <c r="I564" s="48">
        <v>93000.0</v>
      </c>
      <c r="J564" s="46">
        <f t="shared" si="219"/>
        <v>6975000</v>
      </c>
      <c r="K564" s="46"/>
      <c r="L564" s="26"/>
      <c r="M564" s="46"/>
      <c r="N564" s="61"/>
      <c r="O564" s="75">
        <f t="shared" si="3"/>
        <v>6975000</v>
      </c>
      <c r="P564" s="75">
        <f t="shared" si="4"/>
        <v>6975000</v>
      </c>
      <c r="Q564" s="64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22"/>
      <c r="B565" s="67"/>
      <c r="C565" s="67"/>
      <c r="D565" s="47" t="s">
        <v>24</v>
      </c>
      <c r="E565" s="35" t="s">
        <v>276</v>
      </c>
      <c r="F565" s="13"/>
      <c r="G565" s="36">
        <v>75.0</v>
      </c>
      <c r="H565" s="36" t="s">
        <v>95</v>
      </c>
      <c r="I565" s="48">
        <v>53000.0</v>
      </c>
      <c r="J565" s="46">
        <f t="shared" si="219"/>
        <v>3975000</v>
      </c>
      <c r="K565" s="46"/>
      <c r="L565" s="26"/>
      <c r="M565" s="46"/>
      <c r="N565" s="61"/>
      <c r="O565" s="75">
        <f t="shared" si="3"/>
        <v>3975000</v>
      </c>
      <c r="P565" s="75">
        <f t="shared" si="4"/>
        <v>3975000</v>
      </c>
      <c r="Q565" s="64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22"/>
      <c r="B566" s="67"/>
      <c r="C566" s="67"/>
      <c r="D566" s="47" t="s">
        <v>24</v>
      </c>
      <c r="E566" s="35" t="s">
        <v>277</v>
      </c>
      <c r="F566" s="13"/>
      <c r="G566" s="36">
        <v>75.0</v>
      </c>
      <c r="H566" s="36" t="s">
        <v>95</v>
      </c>
      <c r="I566" s="48">
        <v>15000.0</v>
      </c>
      <c r="J566" s="46">
        <f t="shared" si="219"/>
        <v>1125000</v>
      </c>
      <c r="K566" s="46"/>
      <c r="L566" s="26"/>
      <c r="M566" s="46"/>
      <c r="N566" s="61"/>
      <c r="O566" s="75">
        <f t="shared" si="3"/>
        <v>1125000</v>
      </c>
      <c r="P566" s="75">
        <f t="shared" si="4"/>
        <v>1125000</v>
      </c>
      <c r="Q566" s="64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41" t="s">
        <v>141</v>
      </c>
      <c r="B567" s="12"/>
      <c r="C567" s="56"/>
      <c r="D567" s="41" t="s">
        <v>142</v>
      </c>
      <c r="E567" s="12"/>
      <c r="F567" s="13"/>
      <c r="G567" s="22"/>
      <c r="H567" s="22"/>
      <c r="I567" s="22"/>
      <c r="J567" s="43">
        <f t="shared" ref="J567:K567" si="220">J568</f>
        <v>214250000</v>
      </c>
      <c r="K567" s="43">
        <f t="shared" si="220"/>
        <v>0</v>
      </c>
      <c r="L567" s="26"/>
      <c r="M567" s="43">
        <f>M568</f>
        <v>0</v>
      </c>
      <c r="N567" s="61"/>
      <c r="O567" s="75">
        <f t="shared" si="3"/>
        <v>214250000</v>
      </c>
      <c r="P567" s="75">
        <f t="shared" si="4"/>
        <v>214250000</v>
      </c>
      <c r="Q567" s="64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35" t="s">
        <v>68</v>
      </c>
      <c r="B568" s="12"/>
      <c r="C568" s="47"/>
      <c r="D568" s="44" t="s">
        <v>69</v>
      </c>
      <c r="E568" s="12"/>
      <c r="F568" s="13"/>
      <c r="G568" s="22"/>
      <c r="H568" s="22"/>
      <c r="I568" s="22"/>
      <c r="J568" s="46">
        <f t="shared" ref="J568:K568" si="221">SUM(J570:J572)</f>
        <v>214250000</v>
      </c>
      <c r="K568" s="46">
        <f t="shared" si="221"/>
        <v>0</v>
      </c>
      <c r="L568" s="26"/>
      <c r="M568" s="46">
        <f>SUM(M570:M572)</f>
        <v>0</v>
      </c>
      <c r="N568" s="61"/>
      <c r="O568" s="75">
        <f t="shared" si="3"/>
        <v>214250000</v>
      </c>
      <c r="P568" s="75">
        <f t="shared" si="4"/>
        <v>214250000</v>
      </c>
      <c r="Q568" s="64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22"/>
      <c r="B569" s="67"/>
      <c r="C569" s="67"/>
      <c r="D569" s="35" t="s">
        <v>23</v>
      </c>
      <c r="E569" s="12"/>
      <c r="F569" s="13"/>
      <c r="G569" s="22"/>
      <c r="H569" s="22"/>
      <c r="I569" s="22"/>
      <c r="J569" s="22"/>
      <c r="K569" s="22"/>
      <c r="L569" s="26"/>
      <c r="M569" s="22"/>
      <c r="N569" s="61"/>
      <c r="O569" s="75">
        <f t="shared" si="3"/>
        <v>0</v>
      </c>
      <c r="P569" s="75">
        <f t="shared" si="4"/>
        <v>0</v>
      </c>
      <c r="Q569" s="64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22"/>
      <c r="B570" s="67"/>
      <c r="C570" s="67"/>
      <c r="D570" s="47" t="s">
        <v>24</v>
      </c>
      <c r="E570" s="35" t="s">
        <v>278</v>
      </c>
      <c r="F570" s="13"/>
      <c r="G570" s="36">
        <v>75.0</v>
      </c>
      <c r="H570" s="36" t="s">
        <v>95</v>
      </c>
      <c r="I570" s="48">
        <v>2000000.0</v>
      </c>
      <c r="J570" s="46">
        <f t="shared" ref="J570:J572" si="222">G570*I570</f>
        <v>150000000</v>
      </c>
      <c r="K570" s="46"/>
      <c r="L570" s="26"/>
      <c r="M570" s="46"/>
      <c r="N570" s="61"/>
      <c r="O570" s="75">
        <f t="shared" si="3"/>
        <v>150000000</v>
      </c>
      <c r="P570" s="75">
        <f t="shared" si="4"/>
        <v>150000000</v>
      </c>
      <c r="Q570" s="64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22"/>
      <c r="B571" s="67"/>
      <c r="C571" s="67"/>
      <c r="D571" s="47" t="s">
        <v>24</v>
      </c>
      <c r="E571" s="35" t="s">
        <v>279</v>
      </c>
      <c r="F571" s="13"/>
      <c r="G571" s="36">
        <v>75.0</v>
      </c>
      <c r="H571" s="36" t="s">
        <v>95</v>
      </c>
      <c r="I571" s="48">
        <v>750000.0</v>
      </c>
      <c r="J571" s="46">
        <f t="shared" si="222"/>
        <v>56250000</v>
      </c>
      <c r="K571" s="46"/>
      <c r="L571" s="26"/>
      <c r="M571" s="46"/>
      <c r="N571" s="61"/>
      <c r="O571" s="75">
        <f t="shared" si="3"/>
        <v>56250000</v>
      </c>
      <c r="P571" s="75">
        <f t="shared" si="4"/>
        <v>56250000</v>
      </c>
      <c r="Q571" s="64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22"/>
      <c r="B572" s="67"/>
      <c r="C572" s="67"/>
      <c r="D572" s="47" t="s">
        <v>24</v>
      </c>
      <c r="E572" s="35" t="s">
        <v>145</v>
      </c>
      <c r="F572" s="13"/>
      <c r="G572" s="36">
        <v>4.0</v>
      </c>
      <c r="H572" s="36" t="s">
        <v>95</v>
      </c>
      <c r="I572" s="48">
        <v>2000000.0</v>
      </c>
      <c r="J572" s="46">
        <f t="shared" si="222"/>
        <v>8000000</v>
      </c>
      <c r="K572" s="46"/>
      <c r="L572" s="26"/>
      <c r="M572" s="46"/>
      <c r="N572" s="61"/>
      <c r="O572" s="75">
        <f t="shared" si="3"/>
        <v>8000000</v>
      </c>
      <c r="P572" s="75">
        <f t="shared" si="4"/>
        <v>8000000</v>
      </c>
      <c r="Q572" s="64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41" t="s">
        <v>146</v>
      </c>
      <c r="B573" s="12"/>
      <c r="C573" s="56"/>
      <c r="D573" s="41" t="s">
        <v>234</v>
      </c>
      <c r="E573" s="12"/>
      <c r="F573" s="13"/>
      <c r="G573" s="22"/>
      <c r="H573" s="22"/>
      <c r="I573" s="22"/>
      <c r="J573" s="43">
        <f t="shared" ref="J573:K573" si="223">J574+J581</f>
        <v>257280000</v>
      </c>
      <c r="K573" s="43">
        <f t="shared" si="223"/>
        <v>0</v>
      </c>
      <c r="L573" s="26"/>
      <c r="M573" s="43">
        <f>M574+M581</f>
        <v>11550000</v>
      </c>
      <c r="N573" s="61"/>
      <c r="O573" s="75">
        <f t="shared" si="3"/>
        <v>257280000</v>
      </c>
      <c r="P573" s="75">
        <f t="shared" si="4"/>
        <v>245730000</v>
      </c>
      <c r="Q573" s="64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35" t="s">
        <v>74</v>
      </c>
      <c r="B574" s="12"/>
      <c r="C574" s="13"/>
      <c r="D574" s="44" t="s">
        <v>75</v>
      </c>
      <c r="E574" s="12"/>
      <c r="F574" s="13"/>
      <c r="G574" s="22"/>
      <c r="H574" s="22"/>
      <c r="I574" s="22"/>
      <c r="J574" s="46">
        <f t="shared" ref="J574:K574" si="224">SUM(J576:J580)</f>
        <v>233280000</v>
      </c>
      <c r="K574" s="46">
        <f t="shared" si="224"/>
        <v>0</v>
      </c>
      <c r="L574" s="26"/>
      <c r="M574" s="46">
        <f>SUM(M576:M580)</f>
        <v>0</v>
      </c>
      <c r="N574" s="61"/>
      <c r="O574" s="75">
        <f t="shared" si="3"/>
        <v>233280000</v>
      </c>
      <c r="P574" s="75">
        <f t="shared" si="4"/>
        <v>233280000</v>
      </c>
      <c r="Q574" s="64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22"/>
      <c r="B575" s="67"/>
      <c r="C575" s="67"/>
      <c r="D575" s="35" t="s">
        <v>23</v>
      </c>
      <c r="E575" s="12"/>
      <c r="F575" s="13"/>
      <c r="G575" s="22"/>
      <c r="H575" s="22"/>
      <c r="I575" s="22"/>
      <c r="J575" s="22"/>
      <c r="K575" s="22"/>
      <c r="L575" s="26"/>
      <c r="M575" s="22"/>
      <c r="N575" s="61"/>
      <c r="O575" s="75">
        <f t="shared" si="3"/>
        <v>0</v>
      </c>
      <c r="P575" s="75">
        <f t="shared" si="4"/>
        <v>0</v>
      </c>
      <c r="Q575" s="64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22"/>
      <c r="B576" s="67"/>
      <c r="C576" s="67"/>
      <c r="D576" s="47" t="s">
        <v>24</v>
      </c>
      <c r="E576" s="35" t="s">
        <v>235</v>
      </c>
      <c r="F576" s="13"/>
      <c r="G576" s="36">
        <v>25.0</v>
      </c>
      <c r="H576" s="36" t="s">
        <v>26</v>
      </c>
      <c r="I576" s="48">
        <v>821200.0</v>
      </c>
      <c r="J576" s="46">
        <f t="shared" ref="J576:J580" si="225">G576*I576</f>
        <v>20530000</v>
      </c>
      <c r="K576" s="46"/>
      <c r="L576" s="26"/>
      <c r="M576" s="46"/>
      <c r="N576" s="61"/>
      <c r="O576" s="75">
        <f t="shared" si="3"/>
        <v>20530000</v>
      </c>
      <c r="P576" s="75">
        <f t="shared" si="4"/>
        <v>20530000</v>
      </c>
      <c r="Q576" s="64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22"/>
      <c r="B577" s="67"/>
      <c r="C577" s="67"/>
      <c r="D577" s="47" t="s">
        <v>24</v>
      </c>
      <c r="E577" s="35" t="s">
        <v>236</v>
      </c>
      <c r="F577" s="13"/>
      <c r="G577" s="36">
        <v>50.0</v>
      </c>
      <c r="H577" s="36" t="s">
        <v>26</v>
      </c>
      <c r="I577" s="48">
        <v>670000.0</v>
      </c>
      <c r="J577" s="46">
        <f t="shared" si="225"/>
        <v>33500000</v>
      </c>
      <c r="K577" s="46"/>
      <c r="L577" s="26"/>
      <c r="M577" s="46"/>
      <c r="N577" s="61"/>
      <c r="O577" s="75">
        <f t="shared" si="3"/>
        <v>33500000</v>
      </c>
      <c r="P577" s="75">
        <f t="shared" si="4"/>
        <v>33500000</v>
      </c>
      <c r="Q577" s="64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22"/>
      <c r="B578" s="67"/>
      <c r="C578" s="67"/>
      <c r="D578" s="47" t="s">
        <v>24</v>
      </c>
      <c r="E578" s="35" t="s">
        <v>237</v>
      </c>
      <c r="F578" s="13"/>
      <c r="G578" s="36">
        <v>75.0</v>
      </c>
      <c r="H578" s="36" t="s">
        <v>26</v>
      </c>
      <c r="I578" s="48">
        <v>430000.0</v>
      </c>
      <c r="J578" s="46">
        <f t="shared" si="225"/>
        <v>32250000</v>
      </c>
      <c r="K578" s="46"/>
      <c r="L578" s="26"/>
      <c r="M578" s="46"/>
      <c r="N578" s="61"/>
      <c r="O578" s="75">
        <f t="shared" si="3"/>
        <v>32250000</v>
      </c>
      <c r="P578" s="75">
        <f t="shared" si="4"/>
        <v>32250000</v>
      </c>
      <c r="Q578" s="64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22"/>
      <c r="B579" s="67"/>
      <c r="C579" s="67"/>
      <c r="D579" s="47" t="s">
        <v>24</v>
      </c>
      <c r="E579" s="35" t="s">
        <v>280</v>
      </c>
      <c r="F579" s="13"/>
      <c r="G579" s="36">
        <v>150.0</v>
      </c>
      <c r="H579" s="36" t="s">
        <v>26</v>
      </c>
      <c r="I579" s="48">
        <v>500000.0</v>
      </c>
      <c r="J579" s="46">
        <f t="shared" si="225"/>
        <v>75000000</v>
      </c>
      <c r="K579" s="46"/>
      <c r="L579" s="26"/>
      <c r="M579" s="46"/>
      <c r="N579" s="61"/>
      <c r="O579" s="75">
        <f t="shared" si="3"/>
        <v>75000000</v>
      </c>
      <c r="P579" s="75">
        <f t="shared" si="4"/>
        <v>75000000</v>
      </c>
      <c r="Q579" s="64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22"/>
      <c r="B580" s="67"/>
      <c r="C580" s="67"/>
      <c r="D580" s="47" t="s">
        <v>24</v>
      </c>
      <c r="E580" s="35" t="s">
        <v>281</v>
      </c>
      <c r="F580" s="13"/>
      <c r="G580" s="36">
        <v>225.0</v>
      </c>
      <c r="H580" s="36" t="s">
        <v>26</v>
      </c>
      <c r="I580" s="48">
        <v>320000.0</v>
      </c>
      <c r="J580" s="46">
        <f t="shared" si="225"/>
        <v>72000000</v>
      </c>
      <c r="K580" s="46"/>
      <c r="L580" s="26"/>
      <c r="M580" s="46"/>
      <c r="N580" s="61"/>
      <c r="O580" s="75">
        <f t="shared" si="3"/>
        <v>72000000</v>
      </c>
      <c r="P580" s="75">
        <f t="shared" si="4"/>
        <v>72000000</v>
      </c>
      <c r="Q580" s="64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35" t="s">
        <v>79</v>
      </c>
      <c r="B581" s="12"/>
      <c r="C581" s="13"/>
      <c r="D581" s="44" t="s">
        <v>80</v>
      </c>
      <c r="E581" s="12"/>
      <c r="F581" s="13"/>
      <c r="G581" s="22"/>
      <c r="H581" s="22"/>
      <c r="I581" s="22"/>
      <c r="J581" s="46">
        <f t="shared" ref="J581:K581" si="226">J583</f>
        <v>24000000</v>
      </c>
      <c r="K581" s="46" t="str">
        <f t="shared" si="226"/>
        <v/>
      </c>
      <c r="L581" s="26"/>
      <c r="M581" s="46">
        <f>M583</f>
        <v>11550000</v>
      </c>
      <c r="N581" s="61"/>
      <c r="O581" s="75">
        <f t="shared" si="3"/>
        <v>24000000</v>
      </c>
      <c r="P581" s="75">
        <f t="shared" si="4"/>
        <v>12450000</v>
      </c>
      <c r="Q581" s="64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22"/>
      <c r="B582" s="67"/>
      <c r="C582" s="67"/>
      <c r="D582" s="35" t="s">
        <v>23</v>
      </c>
      <c r="E582" s="12"/>
      <c r="F582" s="13"/>
      <c r="G582" s="22"/>
      <c r="H582" s="22"/>
      <c r="I582" s="22"/>
      <c r="J582" s="22"/>
      <c r="K582" s="22"/>
      <c r="L582" s="26"/>
      <c r="M582" s="22"/>
      <c r="N582" s="61"/>
      <c r="O582" s="75">
        <f t="shared" si="3"/>
        <v>0</v>
      </c>
      <c r="P582" s="75">
        <f t="shared" si="4"/>
        <v>0</v>
      </c>
      <c r="Q582" s="64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22"/>
      <c r="B583" s="67"/>
      <c r="C583" s="67"/>
      <c r="D583" s="47" t="s">
        <v>24</v>
      </c>
      <c r="E583" s="35" t="s">
        <v>240</v>
      </c>
      <c r="F583" s="13"/>
      <c r="G583" s="36">
        <v>160.0</v>
      </c>
      <c r="H583" s="36" t="s">
        <v>26</v>
      </c>
      <c r="I583" s="48">
        <v>150000.0</v>
      </c>
      <c r="J583" s="46">
        <f>G583*I583</f>
        <v>24000000</v>
      </c>
      <c r="K583" s="46"/>
      <c r="L583" s="26"/>
      <c r="M583" s="46">
        <v>1.155E7</v>
      </c>
      <c r="N583" s="61"/>
      <c r="O583" s="75">
        <f t="shared" si="3"/>
        <v>24000000</v>
      </c>
      <c r="P583" s="75">
        <f t="shared" si="4"/>
        <v>12450000</v>
      </c>
      <c r="Q583" s="64"/>
      <c r="R583" s="1"/>
      <c r="S583" s="1"/>
      <c r="T583" s="1"/>
      <c r="U583" s="1"/>
      <c r="V583" s="1"/>
      <c r="W583" s="1"/>
      <c r="X583" s="1"/>
      <c r="Y583" s="1"/>
      <c r="Z583" s="1"/>
    </row>
    <row r="584" ht="17.25" customHeight="1">
      <c r="A584" s="78" t="s">
        <v>212</v>
      </c>
      <c r="B584" s="12"/>
      <c r="C584" s="13"/>
      <c r="D584" s="78" t="s">
        <v>213</v>
      </c>
      <c r="E584" s="12"/>
      <c r="F584" s="13"/>
      <c r="G584" s="82"/>
      <c r="H584" s="82"/>
      <c r="I584" s="83"/>
      <c r="J584" s="84">
        <f t="shared" ref="J584:K584" si="227">J585+J599+J611+J624+J641+J650+J660+J665+J681+J695+J703+J711+J717</f>
        <v>2035121000</v>
      </c>
      <c r="K584" s="84">
        <f t="shared" si="227"/>
        <v>33612000</v>
      </c>
      <c r="L584" s="26"/>
      <c r="M584" s="84">
        <f>M585+M599+M611+M624+M641+M650+M660+M665+M681+M695+M703+M711+M717</f>
        <v>477651045</v>
      </c>
      <c r="N584" s="61"/>
      <c r="O584" s="75">
        <f t="shared" si="3"/>
        <v>2001509000</v>
      </c>
      <c r="P584" s="75">
        <f t="shared" si="4"/>
        <v>1557469955</v>
      </c>
      <c r="Q584" s="64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41" t="s">
        <v>20</v>
      </c>
      <c r="B585" s="12"/>
      <c r="C585" s="13"/>
      <c r="D585" s="41" t="s">
        <v>21</v>
      </c>
      <c r="E585" s="12"/>
      <c r="F585" s="13"/>
      <c r="G585" s="22"/>
      <c r="H585" s="22"/>
      <c r="I585" s="22"/>
      <c r="J585" s="43">
        <f t="shared" ref="J585:K585" si="228">J586+J595</f>
        <v>90140000</v>
      </c>
      <c r="K585" s="43">
        <f t="shared" si="228"/>
        <v>0</v>
      </c>
      <c r="L585" s="26"/>
      <c r="M585" s="43">
        <f>M586+M595</f>
        <v>11309100</v>
      </c>
      <c r="N585" s="61"/>
      <c r="O585" s="75">
        <f t="shared" si="3"/>
        <v>90140000</v>
      </c>
      <c r="P585" s="75">
        <f t="shared" si="4"/>
        <v>78830900</v>
      </c>
      <c r="Q585" s="64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35" t="s">
        <v>40</v>
      </c>
      <c r="B586" s="12"/>
      <c r="C586" s="13"/>
      <c r="D586" s="44" t="s">
        <v>22</v>
      </c>
      <c r="E586" s="12"/>
      <c r="F586" s="13"/>
      <c r="G586" s="22"/>
      <c r="H586" s="22"/>
      <c r="I586" s="22"/>
      <c r="J586" s="46">
        <f t="shared" ref="J586:K586" si="229">SUM(J588:J594)</f>
        <v>82140000</v>
      </c>
      <c r="K586" s="46">
        <f t="shared" si="229"/>
        <v>0</v>
      </c>
      <c r="L586" s="26"/>
      <c r="M586" s="46">
        <f>SUM(M588:M594)</f>
        <v>9509100</v>
      </c>
      <c r="N586" s="61"/>
      <c r="O586" s="75">
        <f t="shared" si="3"/>
        <v>82140000</v>
      </c>
      <c r="P586" s="75">
        <f t="shared" si="4"/>
        <v>72630900</v>
      </c>
      <c r="Q586" s="64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22"/>
      <c r="B587" s="67"/>
      <c r="C587" s="67"/>
      <c r="D587" s="35" t="s">
        <v>23</v>
      </c>
      <c r="E587" s="12"/>
      <c r="F587" s="13"/>
      <c r="G587" s="22"/>
      <c r="H587" s="22"/>
      <c r="I587" s="22"/>
      <c r="J587" s="22"/>
      <c r="K587" s="22"/>
      <c r="L587" s="26"/>
      <c r="M587" s="22"/>
      <c r="N587" s="61"/>
      <c r="O587" s="75">
        <f t="shared" si="3"/>
        <v>0</v>
      </c>
      <c r="P587" s="75">
        <f t="shared" si="4"/>
        <v>0</v>
      </c>
      <c r="Q587" s="64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22"/>
      <c r="B588" s="67"/>
      <c r="C588" s="67"/>
      <c r="D588" s="47" t="s">
        <v>24</v>
      </c>
      <c r="E588" s="35" t="s">
        <v>25</v>
      </c>
      <c r="F588" s="13"/>
      <c r="G588" s="36">
        <v>12.0</v>
      </c>
      <c r="H588" s="36" t="s">
        <v>26</v>
      </c>
      <c r="I588" s="48">
        <v>500000.0</v>
      </c>
      <c r="J588" s="46">
        <f t="shared" ref="J588:J594" si="230">G588*I588</f>
        <v>6000000</v>
      </c>
      <c r="K588" s="46"/>
      <c r="L588" s="26"/>
      <c r="M588" s="53">
        <v>1050000.0</v>
      </c>
      <c r="N588" s="61"/>
      <c r="O588" s="75">
        <f t="shared" si="3"/>
        <v>6000000</v>
      </c>
      <c r="P588" s="75">
        <f t="shared" si="4"/>
        <v>4950000</v>
      </c>
      <c r="Q588" s="64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22"/>
      <c r="B589" s="67"/>
      <c r="C589" s="67"/>
      <c r="D589" s="47" t="s">
        <v>24</v>
      </c>
      <c r="E589" s="35" t="s">
        <v>27</v>
      </c>
      <c r="F589" s="13"/>
      <c r="G589" s="36">
        <v>2.0</v>
      </c>
      <c r="H589" s="36" t="s">
        <v>26</v>
      </c>
      <c r="I589" s="48">
        <v>2000000.0</v>
      </c>
      <c r="J589" s="46">
        <f t="shared" si="230"/>
        <v>4000000</v>
      </c>
      <c r="K589" s="46"/>
      <c r="L589" s="26"/>
      <c r="M589" s="46"/>
      <c r="N589" s="61"/>
      <c r="O589" s="75">
        <f t="shared" si="3"/>
        <v>4000000</v>
      </c>
      <c r="P589" s="75">
        <f t="shared" si="4"/>
        <v>4000000</v>
      </c>
      <c r="Q589" s="64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22"/>
      <c r="B590" s="67"/>
      <c r="C590" s="67"/>
      <c r="D590" s="47" t="s">
        <v>24</v>
      </c>
      <c r="E590" s="35" t="s">
        <v>28</v>
      </c>
      <c r="F590" s="13"/>
      <c r="G590" s="36">
        <v>10.0</v>
      </c>
      <c r="H590" s="36" t="s">
        <v>26</v>
      </c>
      <c r="I590" s="48">
        <v>500000.0</v>
      </c>
      <c r="J590" s="46">
        <f t="shared" si="230"/>
        <v>5000000</v>
      </c>
      <c r="K590" s="46"/>
      <c r="L590" s="26"/>
      <c r="M590" s="46"/>
      <c r="N590" s="61"/>
      <c r="O590" s="75">
        <f t="shared" si="3"/>
        <v>5000000</v>
      </c>
      <c r="P590" s="75">
        <f t="shared" si="4"/>
        <v>5000000</v>
      </c>
      <c r="Q590" s="64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22"/>
      <c r="B591" s="67"/>
      <c r="C591" s="67"/>
      <c r="D591" s="47" t="s">
        <v>24</v>
      </c>
      <c r="E591" s="35" t="s">
        <v>30</v>
      </c>
      <c r="F591" s="13"/>
      <c r="G591" s="36">
        <v>100.0</v>
      </c>
      <c r="H591" s="36" t="s">
        <v>26</v>
      </c>
      <c r="I591" s="48">
        <v>25000.0</v>
      </c>
      <c r="J591" s="46">
        <f t="shared" si="230"/>
        <v>2500000</v>
      </c>
      <c r="K591" s="46"/>
      <c r="L591" s="26"/>
      <c r="M591" s="46"/>
      <c r="N591" s="61"/>
      <c r="O591" s="75">
        <f t="shared" si="3"/>
        <v>2500000</v>
      </c>
      <c r="P591" s="75">
        <f t="shared" si="4"/>
        <v>2500000</v>
      </c>
      <c r="Q591" s="64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22"/>
      <c r="B592" s="67"/>
      <c r="C592" s="67"/>
      <c r="D592" s="47" t="s">
        <v>24</v>
      </c>
      <c r="E592" s="35" t="s">
        <v>31</v>
      </c>
      <c r="F592" s="13"/>
      <c r="G592" s="36">
        <v>320.0</v>
      </c>
      <c r="H592" s="36" t="s">
        <v>26</v>
      </c>
      <c r="I592" s="48">
        <v>53000.0</v>
      </c>
      <c r="J592" s="46">
        <f t="shared" si="230"/>
        <v>16960000</v>
      </c>
      <c r="K592" s="46"/>
      <c r="L592" s="26"/>
      <c r="M592" s="53">
        <v>1800000.0</v>
      </c>
      <c r="N592" s="61"/>
      <c r="O592" s="75">
        <f t="shared" si="3"/>
        <v>16960000</v>
      </c>
      <c r="P592" s="75">
        <f t="shared" si="4"/>
        <v>15160000</v>
      </c>
      <c r="Q592" s="64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22"/>
      <c r="B593" s="67"/>
      <c r="C593" s="67"/>
      <c r="D593" s="47" t="s">
        <v>24</v>
      </c>
      <c r="E593" s="35" t="s">
        <v>32</v>
      </c>
      <c r="F593" s="13"/>
      <c r="G593" s="36">
        <v>320.0</v>
      </c>
      <c r="H593" s="36" t="s">
        <v>26</v>
      </c>
      <c r="I593" s="48">
        <v>24000.0</v>
      </c>
      <c r="J593" s="46">
        <f t="shared" si="230"/>
        <v>7680000</v>
      </c>
      <c r="K593" s="46"/>
      <c r="L593" s="26"/>
      <c r="M593" s="53">
        <v>945000.0</v>
      </c>
      <c r="N593" s="61"/>
      <c r="O593" s="75">
        <f t="shared" si="3"/>
        <v>7680000</v>
      </c>
      <c r="P593" s="75">
        <f t="shared" si="4"/>
        <v>6735000</v>
      </c>
      <c r="Q593" s="64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22"/>
      <c r="B594" s="67"/>
      <c r="C594" s="67"/>
      <c r="D594" s="47" t="s">
        <v>24</v>
      </c>
      <c r="E594" s="35" t="s">
        <v>282</v>
      </c>
      <c r="F594" s="13"/>
      <c r="G594" s="36">
        <v>50.0</v>
      </c>
      <c r="H594" s="36" t="s">
        <v>26</v>
      </c>
      <c r="I594" s="48">
        <v>800000.0</v>
      </c>
      <c r="J594" s="46">
        <f t="shared" si="230"/>
        <v>40000000</v>
      </c>
      <c r="K594" s="46"/>
      <c r="L594" s="26"/>
      <c r="M594" s="53">
        <v>5714100.0</v>
      </c>
      <c r="N594" s="61"/>
      <c r="O594" s="75">
        <f t="shared" si="3"/>
        <v>40000000</v>
      </c>
      <c r="P594" s="75">
        <f t="shared" si="4"/>
        <v>34285900</v>
      </c>
      <c r="Q594" s="64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35" t="s">
        <v>58</v>
      </c>
      <c r="B595" s="12"/>
      <c r="C595" s="47"/>
      <c r="D595" s="44" t="s">
        <v>34</v>
      </c>
      <c r="E595" s="12"/>
      <c r="F595" s="13"/>
      <c r="G595" s="22"/>
      <c r="H595" s="22"/>
      <c r="I595" s="22"/>
      <c r="J595" s="46">
        <f t="shared" ref="J595:K595" si="231">SUM(J597:J598)</f>
        <v>8000000</v>
      </c>
      <c r="K595" s="46">
        <f t="shared" si="231"/>
        <v>0</v>
      </c>
      <c r="L595" s="26"/>
      <c r="M595" s="46">
        <f>SUM(M597:M598)</f>
        <v>1800000</v>
      </c>
      <c r="N595" s="61"/>
      <c r="O595" s="75">
        <f t="shared" si="3"/>
        <v>8000000</v>
      </c>
      <c r="P595" s="75">
        <f t="shared" si="4"/>
        <v>6200000</v>
      </c>
      <c r="Q595" s="64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22"/>
      <c r="B596" s="67"/>
      <c r="C596" s="67"/>
      <c r="D596" s="35" t="s">
        <v>23</v>
      </c>
      <c r="E596" s="12"/>
      <c r="F596" s="13"/>
      <c r="G596" s="22"/>
      <c r="H596" s="22"/>
      <c r="I596" s="22"/>
      <c r="J596" s="22"/>
      <c r="K596" s="22"/>
      <c r="L596" s="26"/>
      <c r="M596" s="22"/>
      <c r="N596" s="61"/>
      <c r="O596" s="75">
        <f t="shared" si="3"/>
        <v>0</v>
      </c>
      <c r="P596" s="75">
        <f t="shared" si="4"/>
        <v>0</v>
      </c>
      <c r="Q596" s="64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22"/>
      <c r="B597" s="67"/>
      <c r="C597" s="67"/>
      <c r="D597" s="47" t="s">
        <v>24</v>
      </c>
      <c r="E597" s="35" t="s">
        <v>35</v>
      </c>
      <c r="F597" s="13"/>
      <c r="G597" s="36">
        <v>8.0</v>
      </c>
      <c r="H597" s="36" t="s">
        <v>26</v>
      </c>
      <c r="I597" s="48">
        <v>500000.0</v>
      </c>
      <c r="J597" s="46">
        <f t="shared" ref="J597:J598" si="232">G597*I597</f>
        <v>4000000</v>
      </c>
      <c r="K597" s="46"/>
      <c r="L597" s="26"/>
      <c r="M597" s="53">
        <v>1800000.0</v>
      </c>
      <c r="N597" s="61"/>
      <c r="O597" s="75">
        <f t="shared" si="3"/>
        <v>4000000</v>
      </c>
      <c r="P597" s="75">
        <f t="shared" si="4"/>
        <v>2200000</v>
      </c>
      <c r="Q597" s="64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22"/>
      <c r="B598" s="67"/>
      <c r="C598" s="67"/>
      <c r="D598" s="47" t="s">
        <v>24</v>
      </c>
      <c r="E598" s="35" t="s">
        <v>230</v>
      </c>
      <c r="F598" s="13"/>
      <c r="G598" s="36">
        <v>8.0</v>
      </c>
      <c r="H598" s="36" t="s">
        <v>26</v>
      </c>
      <c r="I598" s="48">
        <v>500000.0</v>
      </c>
      <c r="J598" s="46">
        <f t="shared" si="232"/>
        <v>4000000</v>
      </c>
      <c r="K598" s="46"/>
      <c r="L598" s="26"/>
      <c r="M598" s="46"/>
      <c r="N598" s="61"/>
      <c r="O598" s="75">
        <f t="shared" si="3"/>
        <v>4000000</v>
      </c>
      <c r="P598" s="75">
        <f t="shared" si="4"/>
        <v>4000000</v>
      </c>
      <c r="Q598" s="64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41" t="s">
        <v>37</v>
      </c>
      <c r="B599" s="12"/>
      <c r="C599" s="56"/>
      <c r="D599" s="41" t="s">
        <v>38</v>
      </c>
      <c r="E599" s="12"/>
      <c r="F599" s="13"/>
      <c r="G599" s="22"/>
      <c r="H599" s="22"/>
      <c r="I599" s="22"/>
      <c r="J599" s="43">
        <f t="shared" ref="J599:K599" si="233">J600+J605+J608</f>
        <v>13750000</v>
      </c>
      <c r="K599" s="43">
        <f t="shared" si="233"/>
        <v>0</v>
      </c>
      <c r="L599" s="26"/>
      <c r="M599" s="43">
        <f>M600+M605+M608</f>
        <v>6025000</v>
      </c>
      <c r="N599" s="61"/>
      <c r="O599" s="75">
        <f t="shared" si="3"/>
        <v>13750000</v>
      </c>
      <c r="P599" s="75">
        <f t="shared" si="4"/>
        <v>7725000</v>
      </c>
      <c r="Q599" s="64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35" t="s">
        <v>40</v>
      </c>
      <c r="B600" s="12"/>
      <c r="C600" s="47"/>
      <c r="D600" s="44" t="s">
        <v>22</v>
      </c>
      <c r="E600" s="12"/>
      <c r="F600" s="13"/>
      <c r="G600" s="22"/>
      <c r="H600" s="22"/>
      <c r="I600" s="22"/>
      <c r="J600" s="46">
        <f t="shared" ref="J600:K600" si="234">SUM(J602:J604)</f>
        <v>3750000</v>
      </c>
      <c r="K600" s="46">
        <f t="shared" si="234"/>
        <v>0</v>
      </c>
      <c r="L600" s="26"/>
      <c r="M600" s="46">
        <f>SUM(M602:M604)</f>
        <v>1625000</v>
      </c>
      <c r="N600" s="61"/>
      <c r="O600" s="75">
        <f t="shared" si="3"/>
        <v>3750000</v>
      </c>
      <c r="P600" s="75">
        <f t="shared" si="4"/>
        <v>2125000</v>
      </c>
      <c r="Q600" s="64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22"/>
      <c r="B601" s="67"/>
      <c r="C601" s="67"/>
      <c r="D601" s="35" t="s">
        <v>23</v>
      </c>
      <c r="E601" s="12"/>
      <c r="F601" s="13"/>
      <c r="G601" s="22"/>
      <c r="H601" s="22"/>
      <c r="I601" s="22"/>
      <c r="J601" s="22"/>
      <c r="K601" s="22"/>
      <c r="L601" s="26"/>
      <c r="M601" s="22"/>
      <c r="N601" s="61"/>
      <c r="O601" s="75">
        <f t="shared" si="3"/>
        <v>0</v>
      </c>
      <c r="P601" s="75">
        <f t="shared" si="4"/>
        <v>0</v>
      </c>
      <c r="Q601" s="64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22"/>
      <c r="B602" s="67"/>
      <c r="C602" s="67"/>
      <c r="D602" s="47" t="s">
        <v>24</v>
      </c>
      <c r="E602" s="35" t="s">
        <v>283</v>
      </c>
      <c r="F602" s="13"/>
      <c r="G602" s="36">
        <v>50.0</v>
      </c>
      <c r="H602" s="36" t="s">
        <v>26</v>
      </c>
      <c r="I602" s="48">
        <v>53000.0</v>
      </c>
      <c r="J602" s="46">
        <f t="shared" ref="J602:J604" si="235">G602*I602</f>
        <v>2650000</v>
      </c>
      <c r="K602" s="46"/>
      <c r="L602" s="26"/>
      <c r="M602" s="53">
        <v>1625000.0</v>
      </c>
      <c r="N602" s="61"/>
      <c r="O602" s="75">
        <f t="shared" si="3"/>
        <v>2650000</v>
      </c>
      <c r="P602" s="75">
        <f t="shared" si="4"/>
        <v>1025000</v>
      </c>
      <c r="Q602" s="64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22"/>
      <c r="B603" s="67"/>
      <c r="C603" s="67"/>
      <c r="D603" s="47" t="s">
        <v>24</v>
      </c>
      <c r="E603" s="35" t="s">
        <v>42</v>
      </c>
      <c r="F603" s="13"/>
      <c r="G603" s="36">
        <v>2.0</v>
      </c>
      <c r="H603" s="36" t="s">
        <v>26</v>
      </c>
      <c r="I603" s="48">
        <v>250000.0</v>
      </c>
      <c r="J603" s="46">
        <f t="shared" si="235"/>
        <v>500000</v>
      </c>
      <c r="K603" s="46"/>
      <c r="L603" s="26"/>
      <c r="M603" s="46"/>
      <c r="N603" s="61"/>
      <c r="O603" s="75">
        <f t="shared" si="3"/>
        <v>500000</v>
      </c>
      <c r="P603" s="75">
        <f t="shared" si="4"/>
        <v>500000</v>
      </c>
      <c r="Q603" s="64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22"/>
      <c r="B604" s="67"/>
      <c r="C604" s="67"/>
      <c r="D604" s="47" t="s">
        <v>24</v>
      </c>
      <c r="E604" s="35" t="s">
        <v>43</v>
      </c>
      <c r="F604" s="13"/>
      <c r="G604" s="36">
        <v>2.0</v>
      </c>
      <c r="H604" s="36" t="s">
        <v>26</v>
      </c>
      <c r="I604" s="48">
        <v>300000.0</v>
      </c>
      <c r="J604" s="46">
        <f t="shared" si="235"/>
        <v>600000</v>
      </c>
      <c r="K604" s="46"/>
      <c r="L604" s="26"/>
      <c r="M604" s="46"/>
      <c r="N604" s="61"/>
      <c r="O604" s="75">
        <f t="shared" si="3"/>
        <v>600000</v>
      </c>
      <c r="P604" s="75">
        <f t="shared" si="4"/>
        <v>600000</v>
      </c>
      <c r="Q604" s="64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35" t="s">
        <v>44</v>
      </c>
      <c r="B605" s="12"/>
      <c r="C605" s="13"/>
      <c r="D605" s="44" t="s">
        <v>45</v>
      </c>
      <c r="E605" s="12"/>
      <c r="F605" s="13"/>
      <c r="G605" s="22"/>
      <c r="H605" s="22"/>
      <c r="I605" s="22"/>
      <c r="J605" s="46">
        <f t="shared" ref="J605:K605" si="236">J607</f>
        <v>2000000</v>
      </c>
      <c r="K605" s="46" t="str">
        <f t="shared" si="236"/>
        <v/>
      </c>
      <c r="L605" s="26"/>
      <c r="M605" s="46">
        <f>M607</f>
        <v>1000000</v>
      </c>
      <c r="N605" s="61"/>
      <c r="O605" s="75">
        <f t="shared" si="3"/>
        <v>2000000</v>
      </c>
      <c r="P605" s="75">
        <f t="shared" si="4"/>
        <v>1000000</v>
      </c>
      <c r="Q605" s="64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22"/>
      <c r="B606" s="67"/>
      <c r="C606" s="67"/>
      <c r="D606" s="35" t="s">
        <v>23</v>
      </c>
      <c r="E606" s="12"/>
      <c r="F606" s="13"/>
      <c r="G606" s="22"/>
      <c r="H606" s="22"/>
      <c r="I606" s="22"/>
      <c r="J606" s="22"/>
      <c r="K606" s="22"/>
      <c r="L606" s="26"/>
      <c r="M606" s="22"/>
      <c r="N606" s="61"/>
      <c r="O606" s="75">
        <f t="shared" si="3"/>
        <v>0</v>
      </c>
      <c r="P606" s="75">
        <f t="shared" si="4"/>
        <v>0</v>
      </c>
      <c r="Q606" s="64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22"/>
      <c r="B607" s="67"/>
      <c r="C607" s="67"/>
      <c r="D607" s="47" t="s">
        <v>24</v>
      </c>
      <c r="E607" s="35" t="s">
        <v>161</v>
      </c>
      <c r="F607" s="13"/>
      <c r="G607" s="36">
        <v>4.0</v>
      </c>
      <c r="H607" s="36" t="s">
        <v>26</v>
      </c>
      <c r="I607" s="48">
        <v>500000.0</v>
      </c>
      <c r="J607" s="46">
        <f>G607*I607</f>
        <v>2000000</v>
      </c>
      <c r="K607" s="46"/>
      <c r="L607" s="26"/>
      <c r="M607" s="53">
        <v>1000000.0</v>
      </c>
      <c r="N607" s="61"/>
      <c r="O607" s="75">
        <f t="shared" si="3"/>
        <v>2000000</v>
      </c>
      <c r="P607" s="75">
        <f t="shared" si="4"/>
        <v>1000000</v>
      </c>
      <c r="Q607" s="64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35" t="s">
        <v>47</v>
      </c>
      <c r="B608" s="12"/>
      <c r="C608" s="13"/>
      <c r="D608" s="44" t="s">
        <v>48</v>
      </c>
      <c r="E608" s="12"/>
      <c r="F608" s="13"/>
      <c r="G608" s="22"/>
      <c r="H608" s="22"/>
      <c r="I608" s="22"/>
      <c r="J608" s="46">
        <f t="shared" ref="J608:K608" si="237">J610</f>
        <v>8000000</v>
      </c>
      <c r="K608" s="46" t="str">
        <f t="shared" si="237"/>
        <v/>
      </c>
      <c r="L608" s="26"/>
      <c r="M608" s="46">
        <f>M610</f>
        <v>3400000</v>
      </c>
      <c r="N608" s="61"/>
      <c r="O608" s="75">
        <f t="shared" si="3"/>
        <v>8000000</v>
      </c>
      <c r="P608" s="75">
        <f t="shared" si="4"/>
        <v>4600000</v>
      </c>
      <c r="Q608" s="64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22"/>
      <c r="B609" s="67"/>
      <c r="C609" s="67"/>
      <c r="D609" s="35" t="s">
        <v>23</v>
      </c>
      <c r="E609" s="12"/>
      <c r="F609" s="13"/>
      <c r="G609" s="22"/>
      <c r="H609" s="22"/>
      <c r="I609" s="22"/>
      <c r="J609" s="22"/>
      <c r="K609" s="22"/>
      <c r="L609" s="26"/>
      <c r="M609" s="22"/>
      <c r="N609" s="61"/>
      <c r="O609" s="75">
        <f t="shared" si="3"/>
        <v>0</v>
      </c>
      <c r="P609" s="75">
        <f t="shared" si="4"/>
        <v>0</v>
      </c>
      <c r="Q609" s="64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22"/>
      <c r="B610" s="67"/>
      <c r="C610" s="67"/>
      <c r="D610" s="47" t="s">
        <v>24</v>
      </c>
      <c r="E610" s="35" t="s">
        <v>49</v>
      </c>
      <c r="F610" s="13"/>
      <c r="G610" s="36">
        <v>2.0</v>
      </c>
      <c r="H610" s="36" t="s">
        <v>26</v>
      </c>
      <c r="I610" s="48">
        <v>4000000.0</v>
      </c>
      <c r="J610" s="46">
        <f>G610*I610</f>
        <v>8000000</v>
      </c>
      <c r="K610" s="46"/>
      <c r="L610" s="26"/>
      <c r="M610" s="53">
        <v>3400000.0</v>
      </c>
      <c r="N610" s="61"/>
      <c r="O610" s="75">
        <f t="shared" si="3"/>
        <v>8000000</v>
      </c>
      <c r="P610" s="75">
        <f t="shared" si="4"/>
        <v>4600000</v>
      </c>
      <c r="Q610" s="64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41" t="s">
        <v>50</v>
      </c>
      <c r="B611" s="12"/>
      <c r="C611" s="13"/>
      <c r="D611" s="41" t="s">
        <v>51</v>
      </c>
      <c r="E611" s="12"/>
      <c r="F611" s="13"/>
      <c r="G611" s="22"/>
      <c r="H611" s="22"/>
      <c r="I611" s="22"/>
      <c r="J611" s="43">
        <f t="shared" ref="J611:K611" si="238">J612+J618+J621</f>
        <v>30400000</v>
      </c>
      <c r="K611" s="43">
        <f t="shared" si="238"/>
        <v>0</v>
      </c>
      <c r="L611" s="26"/>
      <c r="M611" s="43">
        <f>M612+M618+M621</f>
        <v>6875000</v>
      </c>
      <c r="N611" s="61"/>
      <c r="O611" s="75">
        <f t="shared" si="3"/>
        <v>30400000</v>
      </c>
      <c r="P611" s="75">
        <f t="shared" si="4"/>
        <v>23525000</v>
      </c>
      <c r="Q611" s="64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35" t="s">
        <v>40</v>
      </c>
      <c r="B612" s="12"/>
      <c r="C612" s="13"/>
      <c r="D612" s="44" t="s">
        <v>22</v>
      </c>
      <c r="E612" s="12"/>
      <c r="F612" s="13"/>
      <c r="G612" s="22"/>
      <c r="H612" s="22"/>
      <c r="I612" s="22"/>
      <c r="J612" s="46">
        <f t="shared" ref="J612:K612" si="239">SUM(J614:J617)</f>
        <v>20400000</v>
      </c>
      <c r="K612" s="46">
        <f t="shared" si="239"/>
        <v>0</v>
      </c>
      <c r="L612" s="26"/>
      <c r="M612" s="46">
        <f>SUM(M614:M617)</f>
        <v>3375000</v>
      </c>
      <c r="N612" s="61"/>
      <c r="O612" s="75">
        <f t="shared" si="3"/>
        <v>20400000</v>
      </c>
      <c r="P612" s="75">
        <f t="shared" si="4"/>
        <v>17025000</v>
      </c>
      <c r="Q612" s="64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22"/>
      <c r="B613" s="67"/>
      <c r="C613" s="67"/>
      <c r="D613" s="35" t="s">
        <v>23</v>
      </c>
      <c r="E613" s="12"/>
      <c r="F613" s="13"/>
      <c r="G613" s="22"/>
      <c r="H613" s="22"/>
      <c r="I613" s="22"/>
      <c r="J613" s="22"/>
      <c r="K613" s="22"/>
      <c r="L613" s="26"/>
      <c r="M613" s="22"/>
      <c r="N613" s="61"/>
      <c r="O613" s="75">
        <f t="shared" si="3"/>
        <v>0</v>
      </c>
      <c r="P613" s="75">
        <f t="shared" si="4"/>
        <v>0</v>
      </c>
      <c r="Q613" s="64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22"/>
      <c r="B614" s="67"/>
      <c r="C614" s="67"/>
      <c r="D614" s="47" t="s">
        <v>24</v>
      </c>
      <c r="E614" s="35" t="s">
        <v>52</v>
      </c>
      <c r="F614" s="13"/>
      <c r="G614" s="36">
        <v>50.0</v>
      </c>
      <c r="H614" s="36" t="s">
        <v>26</v>
      </c>
      <c r="I614" s="48">
        <v>53000.0</v>
      </c>
      <c r="J614" s="46">
        <f t="shared" ref="J614:J617" si="240">G614*I614</f>
        <v>2650000</v>
      </c>
      <c r="K614" s="46"/>
      <c r="L614" s="26"/>
      <c r="M614" s="46"/>
      <c r="N614" s="61"/>
      <c r="O614" s="75">
        <f t="shared" si="3"/>
        <v>2650000</v>
      </c>
      <c r="P614" s="75">
        <f t="shared" si="4"/>
        <v>2650000</v>
      </c>
      <c r="Q614" s="64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22"/>
      <c r="B615" s="67"/>
      <c r="C615" s="67"/>
      <c r="D615" s="47" t="s">
        <v>24</v>
      </c>
      <c r="E615" s="35" t="s">
        <v>53</v>
      </c>
      <c r="F615" s="13"/>
      <c r="G615" s="36">
        <v>5.0</v>
      </c>
      <c r="H615" s="36" t="s">
        <v>26</v>
      </c>
      <c r="I615" s="48">
        <v>500000.0</v>
      </c>
      <c r="J615" s="46">
        <f t="shared" si="240"/>
        <v>2500000</v>
      </c>
      <c r="K615" s="46"/>
      <c r="L615" s="26"/>
      <c r="M615" s="46"/>
      <c r="N615" s="61"/>
      <c r="O615" s="75">
        <f t="shared" si="3"/>
        <v>2500000</v>
      </c>
      <c r="P615" s="75">
        <f t="shared" si="4"/>
        <v>2500000</v>
      </c>
      <c r="Q615" s="64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22"/>
      <c r="B616" s="67"/>
      <c r="C616" s="67"/>
      <c r="D616" s="47" t="s">
        <v>24</v>
      </c>
      <c r="E616" s="35" t="s">
        <v>54</v>
      </c>
      <c r="F616" s="13"/>
      <c r="G616" s="36">
        <v>1.0</v>
      </c>
      <c r="H616" s="36" t="s">
        <v>55</v>
      </c>
      <c r="I616" s="48">
        <v>250000.0</v>
      </c>
      <c r="J616" s="46">
        <f t="shared" si="240"/>
        <v>250000</v>
      </c>
      <c r="K616" s="46"/>
      <c r="L616" s="26"/>
      <c r="M616" s="46"/>
      <c r="N616" s="61"/>
      <c r="O616" s="75">
        <f t="shared" si="3"/>
        <v>250000</v>
      </c>
      <c r="P616" s="75">
        <f t="shared" si="4"/>
        <v>250000</v>
      </c>
      <c r="Q616" s="64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22"/>
      <c r="B617" s="67"/>
      <c r="C617" s="67"/>
      <c r="D617" s="47" t="s">
        <v>24</v>
      </c>
      <c r="E617" s="35" t="s">
        <v>56</v>
      </c>
      <c r="F617" s="13"/>
      <c r="G617" s="36">
        <v>50.0</v>
      </c>
      <c r="H617" s="36" t="s">
        <v>26</v>
      </c>
      <c r="I617" s="48">
        <v>300000.0</v>
      </c>
      <c r="J617" s="46">
        <f t="shared" si="240"/>
        <v>15000000</v>
      </c>
      <c r="K617" s="46"/>
      <c r="L617" s="26"/>
      <c r="M617" s="53">
        <v>3375000.0</v>
      </c>
      <c r="N617" s="61"/>
      <c r="O617" s="75">
        <f t="shared" si="3"/>
        <v>15000000</v>
      </c>
      <c r="P617" s="75">
        <f t="shared" si="4"/>
        <v>11625000</v>
      </c>
      <c r="Q617" s="64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35" t="s">
        <v>47</v>
      </c>
      <c r="B618" s="12"/>
      <c r="C618" s="47"/>
      <c r="D618" s="44" t="s">
        <v>48</v>
      </c>
      <c r="E618" s="12"/>
      <c r="F618" s="13"/>
      <c r="G618" s="22"/>
      <c r="H618" s="22"/>
      <c r="I618" s="22"/>
      <c r="J618" s="46">
        <f t="shared" ref="J618:K618" si="241">J620</f>
        <v>8000000</v>
      </c>
      <c r="K618" s="46" t="str">
        <f t="shared" si="241"/>
        <v/>
      </c>
      <c r="L618" s="26"/>
      <c r="M618" s="46" t="str">
        <f>M620</f>
        <v/>
      </c>
      <c r="N618" s="61"/>
      <c r="O618" s="75">
        <f t="shared" si="3"/>
        <v>8000000</v>
      </c>
      <c r="P618" s="75">
        <f t="shared" si="4"/>
        <v>8000000</v>
      </c>
      <c r="Q618" s="64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22"/>
      <c r="B619" s="67"/>
      <c r="C619" s="67"/>
      <c r="D619" s="35" t="s">
        <v>23</v>
      </c>
      <c r="E619" s="12"/>
      <c r="F619" s="13"/>
      <c r="G619" s="22"/>
      <c r="H619" s="22"/>
      <c r="I619" s="22"/>
      <c r="J619" s="22"/>
      <c r="K619" s="22"/>
      <c r="L619" s="26"/>
      <c r="M619" s="22"/>
      <c r="N619" s="61"/>
      <c r="O619" s="75">
        <f t="shared" si="3"/>
        <v>0</v>
      </c>
      <c r="P619" s="75">
        <f t="shared" si="4"/>
        <v>0</v>
      </c>
      <c r="Q619" s="64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22"/>
      <c r="B620" s="67"/>
      <c r="C620" s="67"/>
      <c r="D620" s="47" t="s">
        <v>24</v>
      </c>
      <c r="E620" s="35" t="s">
        <v>57</v>
      </c>
      <c r="F620" s="13"/>
      <c r="G620" s="36">
        <v>2.0</v>
      </c>
      <c r="H620" s="36" t="s">
        <v>26</v>
      </c>
      <c r="I620" s="48">
        <v>4000000.0</v>
      </c>
      <c r="J620" s="46">
        <f>G620*I620</f>
        <v>8000000</v>
      </c>
      <c r="K620" s="46"/>
      <c r="L620" s="26"/>
      <c r="M620" s="46"/>
      <c r="N620" s="61"/>
      <c r="O620" s="75">
        <f t="shared" si="3"/>
        <v>8000000</v>
      </c>
      <c r="P620" s="75">
        <f t="shared" si="4"/>
        <v>8000000</v>
      </c>
      <c r="Q620" s="64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35" t="s">
        <v>58</v>
      </c>
      <c r="B621" s="12"/>
      <c r="C621" s="47"/>
      <c r="D621" s="44" t="s">
        <v>34</v>
      </c>
      <c r="E621" s="12"/>
      <c r="F621" s="13"/>
      <c r="G621" s="22"/>
      <c r="H621" s="22"/>
      <c r="I621" s="22"/>
      <c r="J621" s="46">
        <f t="shared" ref="J621:K621" si="242">J623</f>
        <v>2000000</v>
      </c>
      <c r="K621" s="46" t="str">
        <f t="shared" si="242"/>
        <v/>
      </c>
      <c r="L621" s="26"/>
      <c r="M621" s="46">
        <f>M623</f>
        <v>3500000</v>
      </c>
      <c r="N621" s="61"/>
      <c r="O621" s="75">
        <f t="shared" si="3"/>
        <v>2000000</v>
      </c>
      <c r="P621" s="75">
        <f t="shared" si="4"/>
        <v>-1500000</v>
      </c>
      <c r="Q621" s="64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22"/>
      <c r="B622" s="67"/>
      <c r="C622" s="67"/>
      <c r="D622" s="35" t="s">
        <v>23</v>
      </c>
      <c r="E622" s="12"/>
      <c r="F622" s="13"/>
      <c r="G622" s="22"/>
      <c r="H622" s="22"/>
      <c r="I622" s="22"/>
      <c r="J622" s="22"/>
      <c r="K622" s="22"/>
      <c r="L622" s="26"/>
      <c r="M622" s="22"/>
      <c r="N622" s="61"/>
      <c r="O622" s="75">
        <f t="shared" si="3"/>
        <v>0</v>
      </c>
      <c r="P622" s="75">
        <f t="shared" si="4"/>
        <v>0</v>
      </c>
      <c r="Q622" s="64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22"/>
      <c r="B623" s="67"/>
      <c r="C623" s="67"/>
      <c r="D623" s="47" t="s">
        <v>24</v>
      </c>
      <c r="E623" s="35" t="s">
        <v>59</v>
      </c>
      <c r="F623" s="13"/>
      <c r="G623" s="36">
        <v>4.0</v>
      </c>
      <c r="H623" s="36" t="s">
        <v>26</v>
      </c>
      <c r="I623" s="48">
        <v>500000.0</v>
      </c>
      <c r="J623" s="46">
        <f>G623*I623</f>
        <v>2000000</v>
      </c>
      <c r="K623" s="46"/>
      <c r="L623" s="26"/>
      <c r="M623" s="53">
        <v>3500000.0</v>
      </c>
      <c r="N623" s="61"/>
      <c r="O623" s="75">
        <f t="shared" si="3"/>
        <v>2000000</v>
      </c>
      <c r="P623" s="75">
        <f t="shared" si="4"/>
        <v>-1500000</v>
      </c>
      <c r="Q623" s="64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41" t="s">
        <v>60</v>
      </c>
      <c r="B624" s="12"/>
      <c r="C624" s="56"/>
      <c r="D624" s="41" t="s">
        <v>61</v>
      </c>
      <c r="E624" s="12"/>
      <c r="F624" s="13"/>
      <c r="G624" s="22"/>
      <c r="H624" s="22"/>
      <c r="I624" s="22"/>
      <c r="J624" s="43">
        <f t="shared" ref="J624:K624" si="243">J625+J628+J632+J635+J638</f>
        <v>161900000</v>
      </c>
      <c r="K624" s="43">
        <f t="shared" si="243"/>
        <v>0</v>
      </c>
      <c r="L624" s="26"/>
      <c r="M624" s="43">
        <f>M625+M628+M632+M635+M638</f>
        <v>32430000</v>
      </c>
      <c r="N624" s="61"/>
      <c r="O624" s="75">
        <f t="shared" si="3"/>
        <v>161900000</v>
      </c>
      <c r="P624" s="75">
        <f t="shared" si="4"/>
        <v>129470000</v>
      </c>
      <c r="Q624" s="64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35" t="s">
        <v>40</v>
      </c>
      <c r="B625" s="12"/>
      <c r="C625" s="47"/>
      <c r="D625" s="44" t="s">
        <v>22</v>
      </c>
      <c r="E625" s="12"/>
      <c r="F625" s="13"/>
      <c r="G625" s="22"/>
      <c r="H625" s="22"/>
      <c r="I625" s="22"/>
      <c r="J625" s="46">
        <f t="shared" ref="J625:K625" si="244">J627</f>
        <v>15900000</v>
      </c>
      <c r="K625" s="46" t="str">
        <f t="shared" si="244"/>
        <v/>
      </c>
      <c r="L625" s="26"/>
      <c r="M625" s="46" t="str">
        <f>M627</f>
        <v/>
      </c>
      <c r="N625" s="61"/>
      <c r="O625" s="75">
        <f t="shared" si="3"/>
        <v>15900000</v>
      </c>
      <c r="P625" s="75">
        <f t="shared" si="4"/>
        <v>15900000</v>
      </c>
      <c r="Q625" s="64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22"/>
      <c r="B626" s="67"/>
      <c r="C626" s="67"/>
      <c r="D626" s="35" t="s">
        <v>23</v>
      </c>
      <c r="E626" s="12"/>
      <c r="F626" s="13"/>
      <c r="G626" s="22"/>
      <c r="H626" s="22"/>
      <c r="I626" s="22"/>
      <c r="J626" s="22"/>
      <c r="K626" s="22"/>
      <c r="L626" s="26"/>
      <c r="M626" s="22"/>
      <c r="N626" s="61"/>
      <c r="O626" s="75">
        <f t="shared" si="3"/>
        <v>0</v>
      </c>
      <c r="P626" s="75">
        <f t="shared" si="4"/>
        <v>0</v>
      </c>
      <c r="Q626" s="64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22"/>
      <c r="B627" s="67"/>
      <c r="C627" s="67"/>
      <c r="D627" s="47" t="s">
        <v>24</v>
      </c>
      <c r="E627" s="35" t="s">
        <v>62</v>
      </c>
      <c r="F627" s="13"/>
      <c r="G627" s="36">
        <v>300.0</v>
      </c>
      <c r="H627" s="36" t="s">
        <v>26</v>
      </c>
      <c r="I627" s="48">
        <v>53000.0</v>
      </c>
      <c r="J627" s="46">
        <f>G627*I627</f>
        <v>15900000</v>
      </c>
      <c r="K627" s="46"/>
      <c r="L627" s="26"/>
      <c r="M627" s="46"/>
      <c r="N627" s="61"/>
      <c r="O627" s="75">
        <f t="shared" si="3"/>
        <v>15900000</v>
      </c>
      <c r="P627" s="75">
        <f t="shared" si="4"/>
        <v>15900000</v>
      </c>
      <c r="Q627" s="64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35" t="s">
        <v>63</v>
      </c>
      <c r="B628" s="12"/>
      <c r="C628" s="47"/>
      <c r="D628" s="44" t="s">
        <v>64</v>
      </c>
      <c r="E628" s="12"/>
      <c r="F628" s="13"/>
      <c r="G628" s="22"/>
      <c r="H628" s="22"/>
      <c r="I628" s="22"/>
      <c r="J628" s="46">
        <f t="shared" ref="J628:K628" si="245">SUM(J630:J631)</f>
        <v>80000000</v>
      </c>
      <c r="K628" s="46">
        <f t="shared" si="245"/>
        <v>0</v>
      </c>
      <c r="L628" s="26"/>
      <c r="M628" s="53">
        <v>2965000.0</v>
      </c>
      <c r="N628" s="61"/>
      <c r="O628" s="75">
        <f t="shared" si="3"/>
        <v>80000000</v>
      </c>
      <c r="P628" s="75">
        <f t="shared" si="4"/>
        <v>77035000</v>
      </c>
      <c r="Q628" s="64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22"/>
      <c r="B629" s="67"/>
      <c r="C629" s="67"/>
      <c r="D629" s="35" t="s">
        <v>23</v>
      </c>
      <c r="E629" s="12"/>
      <c r="F629" s="13"/>
      <c r="G629" s="22"/>
      <c r="H629" s="22"/>
      <c r="I629" s="22"/>
      <c r="J629" s="22"/>
      <c r="K629" s="22"/>
      <c r="L629" s="26"/>
      <c r="M629" s="22"/>
      <c r="N629" s="61"/>
      <c r="O629" s="75">
        <f t="shared" si="3"/>
        <v>0</v>
      </c>
      <c r="P629" s="75">
        <f t="shared" si="4"/>
        <v>0</v>
      </c>
      <c r="Q629" s="64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22"/>
      <c r="B630" s="67"/>
      <c r="C630" s="67"/>
      <c r="D630" s="47" t="s">
        <v>24</v>
      </c>
      <c r="E630" s="35" t="s">
        <v>257</v>
      </c>
      <c r="F630" s="13"/>
      <c r="G630" s="36">
        <v>1.0</v>
      </c>
      <c r="H630" s="36" t="s">
        <v>97</v>
      </c>
      <c r="I630" s="48">
        <v>7.0E7</v>
      </c>
      <c r="J630" s="46">
        <f t="shared" ref="J630:J631" si="246">G630*I630</f>
        <v>70000000</v>
      </c>
      <c r="K630" s="46"/>
      <c r="L630" s="26"/>
      <c r="M630" s="46">
        <v>2793000.0</v>
      </c>
      <c r="N630" s="61"/>
      <c r="O630" s="75">
        <f t="shared" si="3"/>
        <v>70000000</v>
      </c>
      <c r="P630" s="75">
        <f t="shared" si="4"/>
        <v>67207000</v>
      </c>
      <c r="Q630" s="64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22"/>
      <c r="B631" s="67"/>
      <c r="C631" s="67"/>
      <c r="D631" s="47" t="s">
        <v>24</v>
      </c>
      <c r="E631" s="35" t="s">
        <v>67</v>
      </c>
      <c r="F631" s="13"/>
      <c r="G631" s="36">
        <v>50.0</v>
      </c>
      <c r="H631" s="36" t="s">
        <v>26</v>
      </c>
      <c r="I631" s="48">
        <v>200000.0</v>
      </c>
      <c r="J631" s="46">
        <f t="shared" si="246"/>
        <v>10000000</v>
      </c>
      <c r="K631" s="46"/>
      <c r="L631" s="26"/>
      <c r="M631" s="53">
        <v>5325000.0</v>
      </c>
      <c r="N631" s="61"/>
      <c r="O631" s="75">
        <f t="shared" si="3"/>
        <v>10000000</v>
      </c>
      <c r="P631" s="75">
        <f t="shared" si="4"/>
        <v>4675000</v>
      </c>
      <c r="Q631" s="64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35" t="s">
        <v>68</v>
      </c>
      <c r="B632" s="12"/>
      <c r="C632" s="13"/>
      <c r="D632" s="44" t="s">
        <v>69</v>
      </c>
      <c r="E632" s="12"/>
      <c r="F632" s="13"/>
      <c r="G632" s="22"/>
      <c r="H632" s="22"/>
      <c r="I632" s="22"/>
      <c r="J632" s="46">
        <f t="shared" ref="J632:K632" si="247">J634</f>
        <v>10000000</v>
      </c>
      <c r="K632" s="46" t="str">
        <f t="shared" si="247"/>
        <v/>
      </c>
      <c r="L632" s="26"/>
      <c r="M632" s="46">
        <f>M634</f>
        <v>8765000</v>
      </c>
      <c r="N632" s="61"/>
      <c r="O632" s="75">
        <f t="shared" si="3"/>
        <v>10000000</v>
      </c>
      <c r="P632" s="75">
        <f t="shared" si="4"/>
        <v>1235000</v>
      </c>
      <c r="Q632" s="64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22"/>
      <c r="B633" s="67"/>
      <c r="C633" s="67"/>
      <c r="D633" s="35" t="s">
        <v>23</v>
      </c>
      <c r="E633" s="12"/>
      <c r="F633" s="13"/>
      <c r="G633" s="22"/>
      <c r="H633" s="22"/>
      <c r="I633" s="22"/>
      <c r="J633" s="22"/>
      <c r="K633" s="22"/>
      <c r="L633" s="26"/>
      <c r="M633" s="22"/>
      <c r="N633" s="61"/>
      <c r="O633" s="75">
        <f t="shared" si="3"/>
        <v>0</v>
      </c>
      <c r="P633" s="75">
        <f t="shared" si="4"/>
        <v>0</v>
      </c>
      <c r="Q633" s="64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22"/>
      <c r="B634" s="67"/>
      <c r="C634" s="67"/>
      <c r="D634" s="47" t="s">
        <v>24</v>
      </c>
      <c r="E634" s="35" t="s">
        <v>70</v>
      </c>
      <c r="F634" s="13"/>
      <c r="G634" s="36">
        <v>20.0</v>
      </c>
      <c r="H634" s="36" t="s">
        <v>26</v>
      </c>
      <c r="I634" s="48">
        <v>500000.0</v>
      </c>
      <c r="J634" s="46">
        <f>G634*I634</f>
        <v>10000000</v>
      </c>
      <c r="K634" s="46"/>
      <c r="L634" s="26"/>
      <c r="M634" s="53">
        <v>8765000.0</v>
      </c>
      <c r="N634" s="61"/>
      <c r="O634" s="75">
        <f t="shared" si="3"/>
        <v>10000000</v>
      </c>
      <c r="P634" s="75">
        <f t="shared" si="4"/>
        <v>1235000</v>
      </c>
      <c r="Q634" s="64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35" t="s">
        <v>47</v>
      </c>
      <c r="B635" s="12"/>
      <c r="C635" s="13"/>
      <c r="D635" s="44" t="s">
        <v>48</v>
      </c>
      <c r="E635" s="12"/>
      <c r="F635" s="13"/>
      <c r="G635" s="22"/>
      <c r="H635" s="22"/>
      <c r="I635" s="22"/>
      <c r="J635" s="46">
        <f t="shared" ref="J635:K635" si="248">J637</f>
        <v>8000000</v>
      </c>
      <c r="K635" s="46" t="str">
        <f t="shared" si="248"/>
        <v/>
      </c>
      <c r="L635" s="26"/>
      <c r="M635" s="46" t="str">
        <f>M637</f>
        <v/>
      </c>
      <c r="N635" s="61"/>
      <c r="O635" s="75">
        <f t="shared" si="3"/>
        <v>8000000</v>
      </c>
      <c r="P635" s="75">
        <f t="shared" si="4"/>
        <v>8000000</v>
      </c>
      <c r="Q635" s="64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22"/>
      <c r="B636" s="67"/>
      <c r="C636" s="67"/>
      <c r="D636" s="35" t="s">
        <v>23</v>
      </c>
      <c r="E636" s="12"/>
      <c r="F636" s="13"/>
      <c r="G636" s="22"/>
      <c r="H636" s="22"/>
      <c r="I636" s="22"/>
      <c r="J636" s="22"/>
      <c r="K636" s="22"/>
      <c r="L636" s="26"/>
      <c r="M636" s="22"/>
      <c r="N636" s="61"/>
      <c r="O636" s="75">
        <f t="shared" si="3"/>
        <v>0</v>
      </c>
      <c r="P636" s="75">
        <f t="shared" si="4"/>
        <v>0</v>
      </c>
      <c r="Q636" s="64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22"/>
      <c r="B637" s="67"/>
      <c r="C637" s="67"/>
      <c r="D637" s="47" t="s">
        <v>24</v>
      </c>
      <c r="E637" s="35" t="s">
        <v>57</v>
      </c>
      <c r="F637" s="13"/>
      <c r="G637" s="36">
        <v>2.0</v>
      </c>
      <c r="H637" s="36" t="s">
        <v>26</v>
      </c>
      <c r="I637" s="48">
        <v>4000000.0</v>
      </c>
      <c r="J637" s="46">
        <f>G637*I637</f>
        <v>8000000</v>
      </c>
      <c r="K637" s="46"/>
      <c r="L637" s="26"/>
      <c r="M637" s="46"/>
      <c r="N637" s="61"/>
      <c r="O637" s="75">
        <f t="shared" si="3"/>
        <v>8000000</v>
      </c>
      <c r="P637" s="75">
        <f t="shared" si="4"/>
        <v>8000000</v>
      </c>
      <c r="Q637" s="64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35" t="s">
        <v>58</v>
      </c>
      <c r="B638" s="12"/>
      <c r="C638" s="13"/>
      <c r="D638" s="44" t="s">
        <v>34</v>
      </c>
      <c r="E638" s="12"/>
      <c r="F638" s="13"/>
      <c r="G638" s="22"/>
      <c r="H638" s="22"/>
      <c r="I638" s="22"/>
      <c r="J638" s="46">
        <f t="shared" ref="J638:K638" si="249">J640</f>
        <v>48000000</v>
      </c>
      <c r="K638" s="46" t="str">
        <f t="shared" si="249"/>
        <v/>
      </c>
      <c r="L638" s="26"/>
      <c r="M638" s="46">
        <f>M640</f>
        <v>20700000</v>
      </c>
      <c r="N638" s="61"/>
      <c r="O638" s="75">
        <f t="shared" si="3"/>
        <v>48000000</v>
      </c>
      <c r="P638" s="75">
        <f t="shared" si="4"/>
        <v>27300000</v>
      </c>
      <c r="Q638" s="64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22"/>
      <c r="B639" s="67"/>
      <c r="C639" s="67"/>
      <c r="D639" s="35" t="s">
        <v>23</v>
      </c>
      <c r="E639" s="12"/>
      <c r="F639" s="13"/>
      <c r="G639" s="22"/>
      <c r="H639" s="22"/>
      <c r="I639" s="22"/>
      <c r="J639" s="22"/>
      <c r="K639" s="22"/>
      <c r="L639" s="26"/>
      <c r="M639" s="22"/>
      <c r="N639" s="61"/>
      <c r="O639" s="75">
        <f t="shared" si="3"/>
        <v>0</v>
      </c>
      <c r="P639" s="75">
        <f t="shared" si="4"/>
        <v>0</v>
      </c>
      <c r="Q639" s="64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22"/>
      <c r="B640" s="67"/>
      <c r="C640" s="67"/>
      <c r="D640" s="47" t="s">
        <v>24</v>
      </c>
      <c r="E640" s="35" t="s">
        <v>71</v>
      </c>
      <c r="F640" s="13"/>
      <c r="G640" s="36">
        <v>96.0</v>
      </c>
      <c r="H640" s="36" t="s">
        <v>26</v>
      </c>
      <c r="I640" s="48">
        <v>500000.0</v>
      </c>
      <c r="J640" s="46">
        <f>G640*I640</f>
        <v>48000000</v>
      </c>
      <c r="K640" s="46"/>
      <c r="L640" s="26"/>
      <c r="M640" s="53">
        <v>2.07E7</v>
      </c>
      <c r="N640" s="61"/>
      <c r="O640" s="75">
        <f t="shared" si="3"/>
        <v>48000000</v>
      </c>
      <c r="P640" s="75">
        <f t="shared" si="4"/>
        <v>27300000</v>
      </c>
      <c r="Q640" s="64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41" t="s">
        <v>72</v>
      </c>
      <c r="B641" s="12"/>
      <c r="C641" s="13"/>
      <c r="D641" s="41" t="s">
        <v>73</v>
      </c>
      <c r="E641" s="12"/>
      <c r="F641" s="13"/>
      <c r="G641" s="22"/>
      <c r="H641" s="22"/>
      <c r="I641" s="22"/>
      <c r="J641" s="43">
        <f t="shared" ref="J641:K641" si="250">J642+J647</f>
        <v>151200000</v>
      </c>
      <c r="K641" s="43">
        <f t="shared" si="250"/>
        <v>33612000</v>
      </c>
      <c r="L641" s="26"/>
      <c r="M641" s="43">
        <f>M642+M647</f>
        <v>33612000</v>
      </c>
      <c r="N641" s="61"/>
      <c r="O641" s="75">
        <f t="shared" si="3"/>
        <v>117588000</v>
      </c>
      <c r="P641" s="75">
        <f t="shared" si="4"/>
        <v>117588000</v>
      </c>
      <c r="Q641" s="64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35" t="s">
        <v>74</v>
      </c>
      <c r="B642" s="12"/>
      <c r="C642" s="13"/>
      <c r="D642" s="44" t="s">
        <v>75</v>
      </c>
      <c r="E642" s="12"/>
      <c r="F642" s="13"/>
      <c r="G642" s="22"/>
      <c r="H642" s="22"/>
      <c r="I642" s="22"/>
      <c r="J642" s="46">
        <f t="shared" ref="J642:K642" si="251">SUM(J644:J646)</f>
        <v>142700000</v>
      </c>
      <c r="K642" s="46">
        <f t="shared" si="251"/>
        <v>33612000</v>
      </c>
      <c r="L642" s="26"/>
      <c r="M642" s="46">
        <f>SUM(M644:M646)</f>
        <v>33612000</v>
      </c>
      <c r="N642" s="61"/>
      <c r="O642" s="75">
        <f t="shared" si="3"/>
        <v>109088000</v>
      </c>
      <c r="P642" s="75">
        <f t="shared" si="4"/>
        <v>109088000</v>
      </c>
      <c r="Q642" s="64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22"/>
      <c r="B643" s="67"/>
      <c r="C643" s="67"/>
      <c r="D643" s="35" t="s">
        <v>23</v>
      </c>
      <c r="E643" s="12"/>
      <c r="F643" s="13"/>
      <c r="G643" s="22"/>
      <c r="H643" s="22"/>
      <c r="I643" s="22"/>
      <c r="J643" s="22"/>
      <c r="K643" s="22"/>
      <c r="L643" s="26"/>
      <c r="M643" s="22"/>
      <c r="N643" s="61"/>
      <c r="O643" s="75">
        <f t="shared" si="3"/>
        <v>0</v>
      </c>
      <c r="P643" s="75">
        <f t="shared" si="4"/>
        <v>0</v>
      </c>
      <c r="Q643" s="64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22"/>
      <c r="B644" s="67"/>
      <c r="C644" s="67"/>
      <c r="D644" s="47" t="s">
        <v>24</v>
      </c>
      <c r="E644" s="35" t="s">
        <v>76</v>
      </c>
      <c r="F644" s="13"/>
      <c r="G644" s="36">
        <v>20.0</v>
      </c>
      <c r="H644" s="36" t="s">
        <v>26</v>
      </c>
      <c r="I644" s="48">
        <v>5000000.0</v>
      </c>
      <c r="J644" s="46">
        <f t="shared" ref="J644:J646" si="252">G644*I644</f>
        <v>100000000</v>
      </c>
      <c r="K644" s="46">
        <v>1.764E7</v>
      </c>
      <c r="L644" s="26"/>
      <c r="M644" s="46">
        <v>1.764E7</v>
      </c>
      <c r="N644" s="61"/>
      <c r="O644" s="75">
        <f t="shared" si="3"/>
        <v>82360000</v>
      </c>
      <c r="P644" s="75">
        <f t="shared" si="4"/>
        <v>82360000</v>
      </c>
      <c r="Q644" s="64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22"/>
      <c r="B645" s="67"/>
      <c r="C645" s="67"/>
      <c r="D645" s="47" t="s">
        <v>24</v>
      </c>
      <c r="E645" s="35" t="s">
        <v>77</v>
      </c>
      <c r="F645" s="13"/>
      <c r="G645" s="36">
        <v>30.0</v>
      </c>
      <c r="H645" s="36" t="s">
        <v>26</v>
      </c>
      <c r="I645" s="48">
        <v>850000.0</v>
      </c>
      <c r="J645" s="46">
        <f t="shared" si="252"/>
        <v>25500000</v>
      </c>
      <c r="K645" s="46">
        <v>1.29E7</v>
      </c>
      <c r="L645" s="26"/>
      <c r="M645" s="46">
        <v>1.29E7</v>
      </c>
      <c r="N645" s="61"/>
      <c r="O645" s="75">
        <f t="shared" si="3"/>
        <v>12600000</v>
      </c>
      <c r="P645" s="75">
        <f t="shared" si="4"/>
        <v>12600000</v>
      </c>
      <c r="Q645" s="64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22"/>
      <c r="B646" s="67"/>
      <c r="C646" s="67"/>
      <c r="D646" s="47" t="s">
        <v>24</v>
      </c>
      <c r="E646" s="35" t="s">
        <v>78</v>
      </c>
      <c r="F646" s="13"/>
      <c r="G646" s="36">
        <v>40.0</v>
      </c>
      <c r="H646" s="36" t="s">
        <v>26</v>
      </c>
      <c r="I646" s="48">
        <v>430000.0</v>
      </c>
      <c r="J646" s="46">
        <f t="shared" si="252"/>
        <v>17200000</v>
      </c>
      <c r="K646" s="46">
        <v>3072000.0</v>
      </c>
      <c r="L646" s="26"/>
      <c r="M646" s="46">
        <v>3072000.0</v>
      </c>
      <c r="N646" s="61"/>
      <c r="O646" s="75">
        <f t="shared" si="3"/>
        <v>14128000</v>
      </c>
      <c r="P646" s="75">
        <f t="shared" si="4"/>
        <v>14128000</v>
      </c>
      <c r="Q646" s="64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35" t="s">
        <v>79</v>
      </c>
      <c r="B647" s="12"/>
      <c r="C647" s="47"/>
      <c r="D647" s="44" t="s">
        <v>80</v>
      </c>
      <c r="E647" s="12"/>
      <c r="F647" s="13"/>
      <c r="G647" s="22"/>
      <c r="H647" s="22"/>
      <c r="I647" s="22"/>
      <c r="J647" s="46">
        <f t="shared" ref="J647:K647" si="253">J649</f>
        <v>8500000</v>
      </c>
      <c r="K647" s="46" t="str">
        <f t="shared" si="253"/>
        <v/>
      </c>
      <c r="L647" s="26"/>
      <c r="M647" s="46" t="str">
        <f>M649</f>
        <v/>
      </c>
      <c r="N647" s="61"/>
      <c r="O647" s="75">
        <f t="shared" si="3"/>
        <v>8500000</v>
      </c>
      <c r="P647" s="75">
        <f t="shared" si="4"/>
        <v>8500000</v>
      </c>
      <c r="Q647" s="64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22"/>
      <c r="B648" s="67"/>
      <c r="C648" s="67"/>
      <c r="D648" s="35" t="s">
        <v>23</v>
      </c>
      <c r="E648" s="12"/>
      <c r="F648" s="13"/>
      <c r="G648" s="22"/>
      <c r="H648" s="22"/>
      <c r="I648" s="22"/>
      <c r="J648" s="22"/>
      <c r="K648" s="22"/>
      <c r="L648" s="26"/>
      <c r="M648" s="22"/>
      <c r="N648" s="61"/>
      <c r="O648" s="75">
        <f t="shared" si="3"/>
        <v>0</v>
      </c>
      <c r="P648" s="75">
        <f t="shared" si="4"/>
        <v>0</v>
      </c>
      <c r="Q648" s="64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22"/>
      <c r="B649" s="67"/>
      <c r="C649" s="67"/>
      <c r="D649" s="47" t="s">
        <v>24</v>
      </c>
      <c r="E649" s="35" t="s">
        <v>81</v>
      </c>
      <c r="F649" s="13"/>
      <c r="G649" s="36">
        <v>50.0</v>
      </c>
      <c r="H649" s="36" t="s">
        <v>26</v>
      </c>
      <c r="I649" s="48">
        <v>170000.0</v>
      </c>
      <c r="J649" s="46">
        <f>G649*I649</f>
        <v>8500000</v>
      </c>
      <c r="K649" s="46"/>
      <c r="L649" s="26"/>
      <c r="M649" s="46"/>
      <c r="N649" s="61"/>
      <c r="O649" s="75">
        <f t="shared" si="3"/>
        <v>8500000</v>
      </c>
      <c r="P649" s="75">
        <f t="shared" si="4"/>
        <v>8500000</v>
      </c>
      <c r="Q649" s="64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41" t="s">
        <v>82</v>
      </c>
      <c r="B650" s="12"/>
      <c r="C650" s="56"/>
      <c r="D650" s="41" t="s">
        <v>83</v>
      </c>
      <c r="E650" s="12"/>
      <c r="F650" s="13"/>
      <c r="G650" s="22"/>
      <c r="H650" s="22"/>
      <c r="I650" s="22"/>
      <c r="J650" s="43">
        <f t="shared" ref="J650:K650" si="254">J651+J656</f>
        <v>874500000</v>
      </c>
      <c r="K650" s="43">
        <f t="shared" si="254"/>
        <v>0</v>
      </c>
      <c r="L650" s="26"/>
      <c r="M650" s="43">
        <f>M651+M656</f>
        <v>319159680</v>
      </c>
      <c r="N650" s="61"/>
      <c r="O650" s="75">
        <f t="shared" si="3"/>
        <v>874500000</v>
      </c>
      <c r="P650" s="75">
        <f t="shared" si="4"/>
        <v>555340320</v>
      </c>
      <c r="Q650" s="64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35" t="s">
        <v>84</v>
      </c>
      <c r="B651" s="12"/>
      <c r="C651" s="47"/>
      <c r="D651" s="44" t="s">
        <v>85</v>
      </c>
      <c r="E651" s="12"/>
      <c r="F651" s="13"/>
      <c r="G651" s="22"/>
      <c r="H651" s="22"/>
      <c r="I651" s="22"/>
      <c r="J651" s="46">
        <f t="shared" ref="J651:K651" si="255">SUM(J653:J655)</f>
        <v>772500000</v>
      </c>
      <c r="K651" s="46">
        <f t="shared" si="255"/>
        <v>0</v>
      </c>
      <c r="L651" s="26"/>
      <c r="M651" s="46">
        <f>SUM(M653:M655)</f>
        <v>313071000</v>
      </c>
      <c r="N651" s="61"/>
      <c r="O651" s="75">
        <f t="shared" si="3"/>
        <v>772500000</v>
      </c>
      <c r="P651" s="75">
        <f t="shared" si="4"/>
        <v>459429000</v>
      </c>
      <c r="Q651" s="64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22"/>
      <c r="B652" s="67"/>
      <c r="C652" s="67"/>
      <c r="D652" s="35" t="s">
        <v>23</v>
      </c>
      <c r="E652" s="12"/>
      <c r="F652" s="13"/>
      <c r="G652" s="22"/>
      <c r="H652" s="22"/>
      <c r="I652" s="22"/>
      <c r="J652" s="22"/>
      <c r="K652" s="22"/>
      <c r="L652" s="26"/>
      <c r="M652" s="22"/>
      <c r="N652" s="61"/>
      <c r="O652" s="75">
        <f t="shared" si="3"/>
        <v>0</v>
      </c>
      <c r="P652" s="75">
        <f t="shared" si="4"/>
        <v>0</v>
      </c>
      <c r="Q652" s="64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22"/>
      <c r="B653" s="67"/>
      <c r="C653" s="67"/>
      <c r="D653" s="47" t="s">
        <v>24</v>
      </c>
      <c r="E653" s="35" t="s">
        <v>86</v>
      </c>
      <c r="F653" s="13"/>
      <c r="G653" s="36">
        <v>27375.0</v>
      </c>
      <c r="H653" s="36" t="s">
        <v>87</v>
      </c>
      <c r="I653" s="48">
        <v>15000.0</v>
      </c>
      <c r="J653" s="46">
        <f t="shared" ref="J653:J655" si="256">G653*I653</f>
        <v>410625000</v>
      </c>
      <c r="K653" s="46"/>
      <c r="L653" s="26"/>
      <c r="M653" s="46">
        <v>2.92501E8</v>
      </c>
      <c r="N653" s="61"/>
      <c r="O653" s="75">
        <f t="shared" si="3"/>
        <v>410625000</v>
      </c>
      <c r="P653" s="75">
        <f t="shared" si="4"/>
        <v>118124000</v>
      </c>
      <c r="Q653" s="64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22"/>
      <c r="B654" s="67"/>
      <c r="C654" s="67"/>
      <c r="D654" s="47" t="s">
        <v>24</v>
      </c>
      <c r="E654" s="35" t="s">
        <v>88</v>
      </c>
      <c r="F654" s="13"/>
      <c r="G654" s="36">
        <v>9000.0</v>
      </c>
      <c r="H654" s="36" t="s">
        <v>87</v>
      </c>
      <c r="I654" s="48">
        <v>25000.0</v>
      </c>
      <c r="J654" s="46">
        <f t="shared" si="256"/>
        <v>225000000</v>
      </c>
      <c r="K654" s="46"/>
      <c r="L654" s="26"/>
      <c r="M654" s="53">
        <v>1.082E7</v>
      </c>
      <c r="N654" s="61"/>
      <c r="O654" s="75">
        <f t="shared" si="3"/>
        <v>225000000</v>
      </c>
      <c r="P654" s="75">
        <f t="shared" si="4"/>
        <v>214180000</v>
      </c>
      <c r="Q654" s="64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22"/>
      <c r="B655" s="67"/>
      <c r="C655" s="67"/>
      <c r="D655" s="47" t="s">
        <v>24</v>
      </c>
      <c r="E655" s="35" t="s">
        <v>89</v>
      </c>
      <c r="F655" s="13"/>
      <c r="G655" s="36">
        <v>18250.0</v>
      </c>
      <c r="H655" s="36" t="s">
        <v>87</v>
      </c>
      <c r="I655" s="48">
        <v>7500.0</v>
      </c>
      <c r="J655" s="46">
        <f t="shared" si="256"/>
        <v>136875000</v>
      </c>
      <c r="K655" s="46"/>
      <c r="L655" s="26"/>
      <c r="M655" s="46">
        <v>9750000.0</v>
      </c>
      <c r="N655" s="61"/>
      <c r="O655" s="75">
        <f t="shared" si="3"/>
        <v>136875000</v>
      </c>
      <c r="P655" s="75">
        <f t="shared" si="4"/>
        <v>127125000</v>
      </c>
      <c r="Q655" s="64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35" t="s">
        <v>63</v>
      </c>
      <c r="B656" s="12"/>
      <c r="C656" s="47"/>
      <c r="D656" s="44" t="s">
        <v>64</v>
      </c>
      <c r="E656" s="12"/>
      <c r="F656" s="13"/>
      <c r="G656" s="22"/>
      <c r="H656" s="22"/>
      <c r="I656" s="22"/>
      <c r="J656" s="88">
        <f t="shared" ref="J656:N656" si="257">J658+J659</f>
        <v>102000000</v>
      </c>
      <c r="K656" s="88">
        <f t="shared" si="257"/>
        <v>0</v>
      </c>
      <c r="L656" s="88">
        <f t="shared" si="257"/>
        <v>0</v>
      </c>
      <c r="M656" s="88">
        <f t="shared" si="257"/>
        <v>6088680</v>
      </c>
      <c r="N656" s="88">
        <f t="shared" si="257"/>
        <v>0</v>
      </c>
      <c r="O656" s="75">
        <f t="shared" si="3"/>
        <v>102000000</v>
      </c>
      <c r="P656" s="75">
        <f t="shared" si="4"/>
        <v>95911320</v>
      </c>
      <c r="Q656" s="64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22"/>
      <c r="B657" s="67"/>
      <c r="C657" s="67"/>
      <c r="D657" s="35" t="s">
        <v>23</v>
      </c>
      <c r="E657" s="12"/>
      <c r="F657" s="13"/>
      <c r="G657" s="22"/>
      <c r="H657" s="22"/>
      <c r="I657" s="22"/>
      <c r="J657" s="22"/>
      <c r="K657" s="22"/>
      <c r="L657" s="26"/>
      <c r="M657" s="22"/>
      <c r="N657" s="61"/>
      <c r="O657" s="75">
        <f t="shared" si="3"/>
        <v>0</v>
      </c>
      <c r="P657" s="75">
        <f t="shared" si="4"/>
        <v>0</v>
      </c>
      <c r="Q657" s="64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22"/>
      <c r="B658" s="67"/>
      <c r="C658" s="67"/>
      <c r="D658" s="47" t="s">
        <v>24</v>
      </c>
      <c r="E658" s="35" t="s">
        <v>90</v>
      </c>
      <c r="F658" s="13"/>
      <c r="G658" s="36">
        <v>180.0</v>
      </c>
      <c r="H658" s="36" t="s">
        <v>87</v>
      </c>
      <c r="I658" s="48">
        <v>500000.0</v>
      </c>
      <c r="J658" s="46">
        <f t="shared" ref="J658:J659" si="258">G658*I658</f>
        <v>90000000</v>
      </c>
      <c r="K658" s="46"/>
      <c r="L658" s="26"/>
      <c r="M658" s="53">
        <v>761600.0</v>
      </c>
      <c r="N658" s="61"/>
      <c r="O658" s="75">
        <f t="shared" si="3"/>
        <v>90000000</v>
      </c>
      <c r="P658" s="75">
        <f t="shared" si="4"/>
        <v>89238400</v>
      </c>
      <c r="Q658" s="64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22"/>
      <c r="B659" s="67"/>
      <c r="C659" s="67"/>
      <c r="D659" s="47" t="s">
        <v>24</v>
      </c>
      <c r="E659" s="35" t="s">
        <v>91</v>
      </c>
      <c r="F659" s="13"/>
      <c r="G659" s="36">
        <v>300.0</v>
      </c>
      <c r="H659" s="36" t="s">
        <v>87</v>
      </c>
      <c r="I659" s="48">
        <v>40000.0</v>
      </c>
      <c r="J659" s="46">
        <f t="shared" si="258"/>
        <v>12000000</v>
      </c>
      <c r="K659" s="46"/>
      <c r="L659" s="26"/>
      <c r="M659" s="53">
        <v>5327080.0</v>
      </c>
      <c r="N659" s="61"/>
      <c r="O659" s="75">
        <f t="shared" si="3"/>
        <v>12000000</v>
      </c>
      <c r="P659" s="75">
        <f t="shared" si="4"/>
        <v>6672920</v>
      </c>
      <c r="Q659" s="64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41" t="s">
        <v>92</v>
      </c>
      <c r="B660" s="12"/>
      <c r="C660" s="56"/>
      <c r="D660" s="41" t="s">
        <v>93</v>
      </c>
      <c r="E660" s="12"/>
      <c r="F660" s="13"/>
      <c r="G660" s="22"/>
      <c r="H660" s="22"/>
      <c r="I660" s="22"/>
      <c r="J660" s="43">
        <f t="shared" ref="J660:K660" si="259">J661</f>
        <v>40936000</v>
      </c>
      <c r="K660" s="43">
        <f t="shared" si="259"/>
        <v>0</v>
      </c>
      <c r="L660" s="26"/>
      <c r="M660" s="43">
        <f>M661</f>
        <v>8504850</v>
      </c>
      <c r="N660" s="61"/>
      <c r="O660" s="75">
        <f t="shared" si="3"/>
        <v>40936000</v>
      </c>
      <c r="P660" s="75">
        <f t="shared" si="4"/>
        <v>32431150</v>
      </c>
      <c r="Q660" s="64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35" t="s">
        <v>68</v>
      </c>
      <c r="B661" s="12"/>
      <c r="C661" s="47"/>
      <c r="D661" s="44" t="s">
        <v>69</v>
      </c>
      <c r="E661" s="12"/>
      <c r="F661" s="13"/>
      <c r="G661" s="22"/>
      <c r="H661" s="22"/>
      <c r="I661" s="22"/>
      <c r="J661" s="46">
        <f t="shared" ref="J661:K661" si="260">SUM(J663:J664)</f>
        <v>40936000</v>
      </c>
      <c r="K661" s="46">
        <f t="shared" si="260"/>
        <v>0</v>
      </c>
      <c r="L661" s="26"/>
      <c r="M661" s="46">
        <f>SUM(M663:M664)</f>
        <v>8504850</v>
      </c>
      <c r="N661" s="61"/>
      <c r="O661" s="75">
        <f t="shared" si="3"/>
        <v>40936000</v>
      </c>
      <c r="P661" s="75">
        <f t="shared" si="4"/>
        <v>32431150</v>
      </c>
      <c r="Q661" s="64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22"/>
      <c r="B662" s="67"/>
      <c r="C662" s="67"/>
      <c r="D662" s="35" t="s">
        <v>23</v>
      </c>
      <c r="E662" s="12"/>
      <c r="F662" s="13"/>
      <c r="G662" s="22"/>
      <c r="H662" s="22"/>
      <c r="I662" s="22"/>
      <c r="J662" s="22"/>
      <c r="K662" s="22"/>
      <c r="L662" s="26"/>
      <c r="M662" s="22">
        <v>4070400.0</v>
      </c>
      <c r="N662" s="61"/>
      <c r="O662" s="75">
        <f t="shared" si="3"/>
        <v>0</v>
      </c>
      <c r="P662" s="75">
        <f t="shared" si="4"/>
        <v>-4070400</v>
      </c>
      <c r="Q662" s="64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22"/>
      <c r="B663" s="67"/>
      <c r="C663" s="67"/>
      <c r="D663" s="47" t="s">
        <v>24</v>
      </c>
      <c r="E663" s="35" t="s">
        <v>94</v>
      </c>
      <c r="F663" s="13"/>
      <c r="G663" s="36">
        <v>12.0</v>
      </c>
      <c r="H663" s="36" t="s">
        <v>95</v>
      </c>
      <c r="I663" s="48">
        <v>2500000.0</v>
      </c>
      <c r="J663" s="46">
        <f t="shared" ref="J663:J664" si="261">G663*I663</f>
        <v>30000000</v>
      </c>
      <c r="K663" s="46"/>
      <c r="L663" s="26"/>
      <c r="M663" s="53">
        <v>4070400.0</v>
      </c>
      <c r="N663" s="61"/>
      <c r="O663" s="75">
        <f t="shared" si="3"/>
        <v>30000000</v>
      </c>
      <c r="P663" s="75">
        <f t="shared" si="4"/>
        <v>25929600</v>
      </c>
      <c r="Q663" s="64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22"/>
      <c r="B664" s="67"/>
      <c r="C664" s="67"/>
      <c r="D664" s="47" t="s">
        <v>24</v>
      </c>
      <c r="E664" s="35" t="s">
        <v>232</v>
      </c>
      <c r="F664" s="13"/>
      <c r="G664" s="36">
        <v>1.0</v>
      </c>
      <c r="H664" s="36" t="s">
        <v>97</v>
      </c>
      <c r="I664" s="48">
        <v>1.0936E7</v>
      </c>
      <c r="J664" s="46">
        <f t="shared" si="261"/>
        <v>10936000</v>
      </c>
      <c r="K664" s="46"/>
      <c r="L664" s="26"/>
      <c r="M664" s="46">
        <f>4363750+70700</f>
        <v>4434450</v>
      </c>
      <c r="N664" s="61"/>
      <c r="O664" s="75">
        <f t="shared" si="3"/>
        <v>10936000</v>
      </c>
      <c r="P664" s="75">
        <f t="shared" si="4"/>
        <v>6501550</v>
      </c>
      <c r="Q664" s="64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41" t="s">
        <v>98</v>
      </c>
      <c r="B665" s="12"/>
      <c r="C665" s="56"/>
      <c r="D665" s="41" t="s">
        <v>99</v>
      </c>
      <c r="E665" s="12"/>
      <c r="F665" s="13"/>
      <c r="G665" s="22"/>
      <c r="H665" s="22"/>
      <c r="I665" s="22"/>
      <c r="J665" s="43">
        <f t="shared" ref="J665:K665" si="262">J666+J675</f>
        <v>6760000</v>
      </c>
      <c r="K665" s="43">
        <f t="shared" si="262"/>
        <v>0</v>
      </c>
      <c r="L665" s="26"/>
      <c r="M665" s="43">
        <f>M666+M675</f>
        <v>590000</v>
      </c>
      <c r="N665" s="61"/>
      <c r="O665" s="75">
        <f t="shared" si="3"/>
        <v>6760000</v>
      </c>
      <c r="P665" s="75">
        <f t="shared" si="4"/>
        <v>6170000</v>
      </c>
      <c r="Q665" s="64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35" t="s">
        <v>100</v>
      </c>
      <c r="B666" s="12"/>
      <c r="C666" s="47"/>
      <c r="D666" s="44" t="s">
        <v>101</v>
      </c>
      <c r="E666" s="12"/>
      <c r="F666" s="13"/>
      <c r="G666" s="22"/>
      <c r="H666" s="22"/>
      <c r="I666" s="22"/>
      <c r="J666" s="46">
        <f t="shared" ref="J666:K666" si="263">SUM(J668:J674)</f>
        <v>5600000</v>
      </c>
      <c r="K666" s="46">
        <f t="shared" si="263"/>
        <v>0</v>
      </c>
      <c r="L666" s="26"/>
      <c r="M666" s="46">
        <f>SUM(M668:M674)</f>
        <v>390000</v>
      </c>
      <c r="N666" s="61"/>
      <c r="O666" s="75">
        <f t="shared" si="3"/>
        <v>5600000</v>
      </c>
      <c r="P666" s="75">
        <f t="shared" si="4"/>
        <v>5210000</v>
      </c>
      <c r="Q666" s="64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22"/>
      <c r="B667" s="67"/>
      <c r="C667" s="67"/>
      <c r="D667" s="35" t="s">
        <v>23</v>
      </c>
      <c r="E667" s="12"/>
      <c r="F667" s="13"/>
      <c r="G667" s="22"/>
      <c r="H667" s="22"/>
      <c r="I667" s="22"/>
      <c r="J667" s="22"/>
      <c r="K667" s="22"/>
      <c r="L667" s="26"/>
      <c r="M667" s="22"/>
      <c r="N667" s="61"/>
      <c r="O667" s="75">
        <f t="shared" si="3"/>
        <v>0</v>
      </c>
      <c r="P667" s="75">
        <f t="shared" si="4"/>
        <v>0</v>
      </c>
      <c r="Q667" s="64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22"/>
      <c r="B668" s="67"/>
      <c r="C668" s="67"/>
      <c r="D668" s="47" t="s">
        <v>24</v>
      </c>
      <c r="E668" s="35" t="s">
        <v>102</v>
      </c>
      <c r="F668" s="13"/>
      <c r="G668" s="36">
        <v>2.0</v>
      </c>
      <c r="H668" s="36" t="s">
        <v>95</v>
      </c>
      <c r="I668" s="48">
        <v>350000.0</v>
      </c>
      <c r="J668" s="46">
        <f t="shared" ref="J668:J674" si="264">G668*I668</f>
        <v>700000</v>
      </c>
      <c r="K668" s="46"/>
      <c r="L668" s="26"/>
      <c r="M668" s="46"/>
      <c r="N668" s="61"/>
      <c r="O668" s="75">
        <f t="shared" si="3"/>
        <v>700000</v>
      </c>
      <c r="P668" s="75">
        <f t="shared" si="4"/>
        <v>700000</v>
      </c>
      <c r="Q668" s="64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22"/>
      <c r="B669" s="67"/>
      <c r="C669" s="67"/>
      <c r="D669" s="47" t="s">
        <v>24</v>
      </c>
      <c r="E669" s="35" t="s">
        <v>103</v>
      </c>
      <c r="F669" s="13"/>
      <c r="G669" s="36">
        <v>2.0</v>
      </c>
      <c r="H669" s="36" t="s">
        <v>95</v>
      </c>
      <c r="I669" s="48">
        <v>225000.0</v>
      </c>
      <c r="J669" s="46">
        <f t="shared" si="264"/>
        <v>450000</v>
      </c>
      <c r="K669" s="46"/>
      <c r="L669" s="26"/>
      <c r="M669" s="46"/>
      <c r="N669" s="61"/>
      <c r="O669" s="75">
        <f t="shared" si="3"/>
        <v>450000</v>
      </c>
      <c r="P669" s="75">
        <f t="shared" si="4"/>
        <v>450000</v>
      </c>
      <c r="Q669" s="64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22"/>
      <c r="B670" s="67"/>
      <c r="C670" s="67"/>
      <c r="D670" s="47" t="s">
        <v>24</v>
      </c>
      <c r="E670" s="35" t="s">
        <v>104</v>
      </c>
      <c r="F670" s="13"/>
      <c r="G670" s="36">
        <v>2.0</v>
      </c>
      <c r="H670" s="36" t="s">
        <v>95</v>
      </c>
      <c r="I670" s="48">
        <v>450000.0</v>
      </c>
      <c r="J670" s="46">
        <f t="shared" si="264"/>
        <v>900000</v>
      </c>
      <c r="K670" s="46"/>
      <c r="L670" s="26"/>
      <c r="M670" s="53">
        <v>390000.0</v>
      </c>
      <c r="N670" s="61"/>
      <c r="O670" s="75">
        <f t="shared" si="3"/>
        <v>900000</v>
      </c>
      <c r="P670" s="75">
        <f t="shared" si="4"/>
        <v>510000</v>
      </c>
      <c r="Q670" s="64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22"/>
      <c r="B671" s="67"/>
      <c r="C671" s="67"/>
      <c r="D671" s="47" t="s">
        <v>24</v>
      </c>
      <c r="E671" s="35" t="s">
        <v>105</v>
      </c>
      <c r="F671" s="13"/>
      <c r="G671" s="36">
        <v>2.0</v>
      </c>
      <c r="H671" s="36" t="s">
        <v>95</v>
      </c>
      <c r="I671" s="48">
        <v>250000.0</v>
      </c>
      <c r="J671" s="46">
        <f t="shared" si="264"/>
        <v>500000</v>
      </c>
      <c r="K671" s="46"/>
      <c r="L671" s="26"/>
      <c r="M671" s="46"/>
      <c r="N671" s="61"/>
      <c r="O671" s="75">
        <f t="shared" si="3"/>
        <v>500000</v>
      </c>
      <c r="P671" s="75">
        <f t="shared" si="4"/>
        <v>500000</v>
      </c>
      <c r="Q671" s="64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22"/>
      <c r="B672" s="67"/>
      <c r="C672" s="67"/>
      <c r="D672" s="47" t="s">
        <v>24</v>
      </c>
      <c r="E672" s="35" t="s">
        <v>106</v>
      </c>
      <c r="F672" s="13"/>
      <c r="G672" s="36">
        <v>2.0</v>
      </c>
      <c r="H672" s="36" t="s">
        <v>95</v>
      </c>
      <c r="I672" s="48">
        <v>100000.0</v>
      </c>
      <c r="J672" s="46">
        <f t="shared" si="264"/>
        <v>200000</v>
      </c>
      <c r="K672" s="46"/>
      <c r="L672" s="26"/>
      <c r="M672" s="46"/>
      <c r="N672" s="61"/>
      <c r="O672" s="75">
        <f t="shared" si="3"/>
        <v>200000</v>
      </c>
      <c r="P672" s="75">
        <f t="shared" si="4"/>
        <v>200000</v>
      </c>
      <c r="Q672" s="64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22"/>
      <c r="B673" s="67"/>
      <c r="C673" s="67"/>
      <c r="D673" s="47" t="s">
        <v>24</v>
      </c>
      <c r="E673" s="35" t="s">
        <v>107</v>
      </c>
      <c r="F673" s="13"/>
      <c r="G673" s="36">
        <v>2.0</v>
      </c>
      <c r="H673" s="36" t="s">
        <v>95</v>
      </c>
      <c r="I673" s="48">
        <v>725000.0</v>
      </c>
      <c r="J673" s="46">
        <f t="shared" si="264"/>
        <v>1450000</v>
      </c>
      <c r="K673" s="46"/>
      <c r="L673" s="26"/>
      <c r="M673" s="46"/>
      <c r="N673" s="61"/>
      <c r="O673" s="75">
        <f t="shared" si="3"/>
        <v>1450000</v>
      </c>
      <c r="P673" s="75">
        <f t="shared" si="4"/>
        <v>1450000</v>
      </c>
      <c r="Q673" s="64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22"/>
      <c r="B674" s="67"/>
      <c r="C674" s="67"/>
      <c r="D674" s="47" t="s">
        <v>24</v>
      </c>
      <c r="E674" s="35" t="s">
        <v>108</v>
      </c>
      <c r="F674" s="13"/>
      <c r="G674" s="36">
        <v>2.0</v>
      </c>
      <c r="H674" s="36" t="s">
        <v>95</v>
      </c>
      <c r="I674" s="48">
        <v>700000.0</v>
      </c>
      <c r="J674" s="46">
        <f t="shared" si="264"/>
        <v>1400000</v>
      </c>
      <c r="K674" s="46"/>
      <c r="L674" s="26"/>
      <c r="M674" s="46"/>
      <c r="N674" s="61"/>
      <c r="O674" s="75">
        <f t="shared" si="3"/>
        <v>1400000</v>
      </c>
      <c r="P674" s="75">
        <f t="shared" si="4"/>
        <v>1400000</v>
      </c>
      <c r="Q674" s="64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35" t="s">
        <v>68</v>
      </c>
      <c r="B675" s="12"/>
      <c r="C675" s="47"/>
      <c r="D675" s="44" t="s">
        <v>69</v>
      </c>
      <c r="E675" s="12"/>
      <c r="F675" s="13"/>
      <c r="G675" s="22"/>
      <c r="H675" s="22"/>
      <c r="I675" s="22"/>
      <c r="J675" s="46">
        <f t="shared" ref="J675:K675" si="265">SUM(J677:J680)</f>
        <v>1160000</v>
      </c>
      <c r="K675" s="46">
        <f t="shared" si="265"/>
        <v>0</v>
      </c>
      <c r="L675" s="26"/>
      <c r="M675" s="46">
        <f>SUM(M677:M680)</f>
        <v>200000</v>
      </c>
      <c r="N675" s="61"/>
      <c r="O675" s="75">
        <f t="shared" si="3"/>
        <v>1160000</v>
      </c>
      <c r="P675" s="75">
        <f t="shared" si="4"/>
        <v>960000</v>
      </c>
      <c r="Q675" s="64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22"/>
      <c r="B676" s="67"/>
      <c r="C676" s="67"/>
      <c r="D676" s="35" t="s">
        <v>23</v>
      </c>
      <c r="E676" s="12"/>
      <c r="F676" s="13"/>
      <c r="G676" s="22"/>
      <c r="H676" s="22"/>
      <c r="I676" s="22"/>
      <c r="J676" s="22"/>
      <c r="K676" s="22"/>
      <c r="L676" s="26"/>
      <c r="M676" s="22"/>
      <c r="N676" s="61"/>
      <c r="O676" s="75">
        <f t="shared" si="3"/>
        <v>0</v>
      </c>
      <c r="P676" s="75">
        <f t="shared" si="4"/>
        <v>0</v>
      </c>
      <c r="Q676" s="64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22"/>
      <c r="B677" s="67"/>
      <c r="C677" s="67"/>
      <c r="D677" s="47" t="s">
        <v>24</v>
      </c>
      <c r="E677" s="35" t="s">
        <v>109</v>
      </c>
      <c r="F677" s="13"/>
      <c r="G677" s="36">
        <v>10.0</v>
      </c>
      <c r="H677" s="36" t="s">
        <v>95</v>
      </c>
      <c r="I677" s="48">
        <v>50000.0</v>
      </c>
      <c r="J677" s="46">
        <f t="shared" ref="J677:J680" si="266">G677*I677</f>
        <v>500000</v>
      </c>
      <c r="K677" s="46"/>
      <c r="L677" s="26"/>
      <c r="M677" s="46"/>
      <c r="N677" s="61"/>
      <c r="O677" s="75">
        <f t="shared" si="3"/>
        <v>500000</v>
      </c>
      <c r="P677" s="75">
        <f t="shared" si="4"/>
        <v>500000</v>
      </c>
      <c r="Q677" s="64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22"/>
      <c r="B678" s="67"/>
      <c r="C678" s="67"/>
      <c r="D678" s="47" t="s">
        <v>24</v>
      </c>
      <c r="E678" s="35" t="s">
        <v>110</v>
      </c>
      <c r="F678" s="13"/>
      <c r="G678" s="36">
        <v>2.0</v>
      </c>
      <c r="H678" s="36" t="s">
        <v>95</v>
      </c>
      <c r="I678" s="48">
        <v>100000.0</v>
      </c>
      <c r="J678" s="46">
        <f t="shared" si="266"/>
        <v>200000</v>
      </c>
      <c r="K678" s="46"/>
      <c r="L678" s="26"/>
      <c r="M678" s="53">
        <v>200000.0</v>
      </c>
      <c r="N678" s="61"/>
      <c r="O678" s="75">
        <f t="shared" si="3"/>
        <v>200000</v>
      </c>
      <c r="P678" s="75">
        <f t="shared" si="4"/>
        <v>0</v>
      </c>
      <c r="Q678" s="64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22"/>
      <c r="B679" s="67"/>
      <c r="C679" s="67"/>
      <c r="D679" s="47" t="s">
        <v>24</v>
      </c>
      <c r="E679" s="35" t="s">
        <v>111</v>
      </c>
      <c r="F679" s="13"/>
      <c r="G679" s="36">
        <v>2.0</v>
      </c>
      <c r="H679" s="36" t="s">
        <v>95</v>
      </c>
      <c r="I679" s="48">
        <v>200000.0</v>
      </c>
      <c r="J679" s="46">
        <f t="shared" si="266"/>
        <v>400000</v>
      </c>
      <c r="K679" s="46"/>
      <c r="L679" s="26"/>
      <c r="M679" s="46"/>
      <c r="N679" s="61"/>
      <c r="O679" s="75">
        <f t="shared" si="3"/>
        <v>400000</v>
      </c>
      <c r="P679" s="75">
        <f t="shared" si="4"/>
        <v>400000</v>
      </c>
      <c r="Q679" s="64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22"/>
      <c r="B680" s="67"/>
      <c r="C680" s="67"/>
      <c r="D680" s="47" t="s">
        <v>24</v>
      </c>
      <c r="E680" s="35" t="s">
        <v>112</v>
      </c>
      <c r="F680" s="13"/>
      <c r="G680" s="36">
        <v>2.0</v>
      </c>
      <c r="H680" s="36" t="s">
        <v>95</v>
      </c>
      <c r="I680" s="48">
        <v>30000.0</v>
      </c>
      <c r="J680" s="46">
        <f t="shared" si="266"/>
        <v>60000</v>
      </c>
      <c r="K680" s="46"/>
      <c r="L680" s="26"/>
      <c r="M680" s="46"/>
      <c r="N680" s="61"/>
      <c r="O680" s="75">
        <f t="shared" si="3"/>
        <v>60000</v>
      </c>
      <c r="P680" s="75">
        <f t="shared" si="4"/>
        <v>60000</v>
      </c>
      <c r="Q680" s="64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41" t="s">
        <v>113</v>
      </c>
      <c r="B681" s="12"/>
      <c r="C681" s="56"/>
      <c r="D681" s="41" t="s">
        <v>114</v>
      </c>
      <c r="E681" s="12"/>
      <c r="F681" s="13"/>
      <c r="G681" s="22"/>
      <c r="H681" s="22"/>
      <c r="I681" s="22"/>
      <c r="J681" s="43">
        <f t="shared" ref="J681:K681" si="267">J682</f>
        <v>205375000</v>
      </c>
      <c r="K681" s="43">
        <f t="shared" si="267"/>
        <v>0</v>
      </c>
      <c r="L681" s="26"/>
      <c r="M681" s="43">
        <f>M682</f>
        <v>17057925</v>
      </c>
      <c r="N681" s="61"/>
      <c r="O681" s="75">
        <f t="shared" si="3"/>
        <v>205375000</v>
      </c>
      <c r="P681" s="75">
        <f t="shared" si="4"/>
        <v>188317075</v>
      </c>
      <c r="Q681" s="64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35" t="s">
        <v>68</v>
      </c>
      <c r="B682" s="12"/>
      <c r="C682" s="47"/>
      <c r="D682" s="44" t="s">
        <v>69</v>
      </c>
      <c r="E682" s="12"/>
      <c r="F682" s="13"/>
      <c r="G682" s="22"/>
      <c r="H682" s="22"/>
      <c r="I682" s="22"/>
      <c r="J682" s="46">
        <f t="shared" ref="J682:K682" si="268">SUM(J684:J694)</f>
        <v>205375000</v>
      </c>
      <c r="K682" s="46">
        <f t="shared" si="268"/>
        <v>0</v>
      </c>
      <c r="L682" s="26"/>
      <c r="M682" s="46">
        <f>SUM(M684:M694)</f>
        <v>17057925</v>
      </c>
      <c r="N682" s="61"/>
      <c r="O682" s="75">
        <f t="shared" si="3"/>
        <v>205375000</v>
      </c>
      <c r="P682" s="75">
        <f t="shared" si="4"/>
        <v>188317075</v>
      </c>
      <c r="Q682" s="64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22"/>
      <c r="B683" s="67"/>
      <c r="C683" s="67"/>
      <c r="D683" s="35" t="s">
        <v>23</v>
      </c>
      <c r="E683" s="12"/>
      <c r="F683" s="13"/>
      <c r="G683" s="22"/>
      <c r="H683" s="22"/>
      <c r="I683" s="22"/>
      <c r="J683" s="22"/>
      <c r="K683" s="22"/>
      <c r="L683" s="26"/>
      <c r="M683" s="22"/>
      <c r="N683" s="61"/>
      <c r="O683" s="75">
        <f t="shared" si="3"/>
        <v>0</v>
      </c>
      <c r="P683" s="75">
        <f t="shared" si="4"/>
        <v>0</v>
      </c>
      <c r="Q683" s="64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22"/>
      <c r="B684" s="67"/>
      <c r="C684" s="67"/>
      <c r="D684" s="47" t="s">
        <v>24</v>
      </c>
      <c r="E684" s="35" t="s">
        <v>115</v>
      </c>
      <c r="F684" s="13"/>
      <c r="G684" s="36">
        <v>50.0</v>
      </c>
      <c r="H684" s="36" t="s">
        <v>95</v>
      </c>
      <c r="I684" s="48">
        <v>110000.0</v>
      </c>
      <c r="J684" s="46">
        <f t="shared" ref="J684:J694" si="269">G684*I684</f>
        <v>5500000</v>
      </c>
      <c r="K684" s="46"/>
      <c r="L684" s="26"/>
      <c r="M684" s="46"/>
      <c r="N684" s="61"/>
      <c r="O684" s="75">
        <f t="shared" si="3"/>
        <v>5500000</v>
      </c>
      <c r="P684" s="75">
        <f t="shared" si="4"/>
        <v>5500000</v>
      </c>
      <c r="Q684" s="64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22"/>
      <c r="B685" s="67"/>
      <c r="C685" s="67"/>
      <c r="D685" s="47" t="s">
        <v>24</v>
      </c>
      <c r="E685" s="35" t="s">
        <v>116</v>
      </c>
      <c r="F685" s="13"/>
      <c r="G685" s="36">
        <v>50.0</v>
      </c>
      <c r="H685" s="36" t="s">
        <v>95</v>
      </c>
      <c r="I685" s="48">
        <v>120000.0</v>
      </c>
      <c r="J685" s="46">
        <f t="shared" si="269"/>
        <v>6000000</v>
      </c>
      <c r="K685" s="46"/>
      <c r="L685" s="26"/>
      <c r="M685" s="46"/>
      <c r="N685" s="61"/>
      <c r="O685" s="75">
        <f t="shared" si="3"/>
        <v>6000000</v>
      </c>
      <c r="P685" s="75">
        <f t="shared" si="4"/>
        <v>6000000</v>
      </c>
      <c r="Q685" s="64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22"/>
      <c r="B686" s="67"/>
      <c r="C686" s="67"/>
      <c r="D686" s="47" t="s">
        <v>24</v>
      </c>
      <c r="E686" s="35" t="s">
        <v>117</v>
      </c>
      <c r="F686" s="13"/>
      <c r="G686" s="36">
        <v>50.0</v>
      </c>
      <c r="H686" s="36" t="s">
        <v>95</v>
      </c>
      <c r="I686" s="48">
        <v>150000.0</v>
      </c>
      <c r="J686" s="46">
        <f t="shared" si="269"/>
        <v>7500000</v>
      </c>
      <c r="K686" s="46"/>
      <c r="L686" s="26"/>
      <c r="M686" s="46"/>
      <c r="N686" s="61"/>
      <c r="O686" s="75">
        <f t="shared" si="3"/>
        <v>7500000</v>
      </c>
      <c r="P686" s="75">
        <f t="shared" si="4"/>
        <v>7500000</v>
      </c>
      <c r="Q686" s="64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22"/>
      <c r="B687" s="67"/>
      <c r="C687" s="67"/>
      <c r="D687" s="47" t="s">
        <v>24</v>
      </c>
      <c r="E687" s="35" t="s">
        <v>118</v>
      </c>
      <c r="F687" s="13"/>
      <c r="G687" s="36">
        <v>50.0</v>
      </c>
      <c r="H687" s="36" t="s">
        <v>95</v>
      </c>
      <c r="I687" s="48">
        <v>100000.0</v>
      </c>
      <c r="J687" s="46">
        <f t="shared" si="269"/>
        <v>5000000</v>
      </c>
      <c r="K687" s="46"/>
      <c r="L687" s="26"/>
      <c r="M687" s="46"/>
      <c r="N687" s="61"/>
      <c r="O687" s="75">
        <f t="shared" si="3"/>
        <v>5000000</v>
      </c>
      <c r="P687" s="75">
        <f t="shared" si="4"/>
        <v>5000000</v>
      </c>
      <c r="Q687" s="64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22"/>
      <c r="B688" s="67"/>
      <c r="C688" s="67"/>
      <c r="D688" s="47" t="s">
        <v>24</v>
      </c>
      <c r="E688" s="35" t="s">
        <v>206</v>
      </c>
      <c r="F688" s="13"/>
      <c r="G688" s="36">
        <v>50.0</v>
      </c>
      <c r="H688" s="36" t="s">
        <v>95</v>
      </c>
      <c r="I688" s="48">
        <v>350000.0</v>
      </c>
      <c r="J688" s="46">
        <f t="shared" si="269"/>
        <v>17500000</v>
      </c>
      <c r="K688" s="46"/>
      <c r="L688" s="26"/>
      <c r="M688" s="46"/>
      <c r="N688" s="61"/>
      <c r="O688" s="75">
        <f t="shared" si="3"/>
        <v>17500000</v>
      </c>
      <c r="P688" s="75">
        <f t="shared" si="4"/>
        <v>17500000</v>
      </c>
      <c r="Q688" s="64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22"/>
      <c r="B689" s="67"/>
      <c r="C689" s="67"/>
      <c r="D689" s="47" t="s">
        <v>24</v>
      </c>
      <c r="E689" s="35" t="s">
        <v>120</v>
      </c>
      <c r="F689" s="13"/>
      <c r="G689" s="36">
        <v>25.0</v>
      </c>
      <c r="H689" s="36" t="s">
        <v>95</v>
      </c>
      <c r="I689" s="48">
        <v>175000.0</v>
      </c>
      <c r="J689" s="46">
        <f t="shared" si="269"/>
        <v>4375000</v>
      </c>
      <c r="K689" s="46"/>
      <c r="L689" s="26"/>
      <c r="M689" s="46"/>
      <c r="N689" s="61"/>
      <c r="O689" s="75">
        <f t="shared" si="3"/>
        <v>4375000</v>
      </c>
      <c r="P689" s="75">
        <f t="shared" si="4"/>
        <v>4375000</v>
      </c>
      <c r="Q689" s="64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22"/>
      <c r="B690" s="67"/>
      <c r="C690" s="67"/>
      <c r="D690" s="47" t="s">
        <v>24</v>
      </c>
      <c r="E690" s="35" t="s">
        <v>121</v>
      </c>
      <c r="F690" s="13"/>
      <c r="G690" s="36">
        <v>175.0</v>
      </c>
      <c r="H690" s="36" t="s">
        <v>95</v>
      </c>
      <c r="I690" s="48">
        <v>150000.0</v>
      </c>
      <c r="J690" s="46">
        <f t="shared" si="269"/>
        <v>26250000</v>
      </c>
      <c r="K690" s="46"/>
      <c r="L690" s="26"/>
      <c r="M690" s="46"/>
      <c r="N690" s="61"/>
      <c r="O690" s="75">
        <f t="shared" si="3"/>
        <v>26250000</v>
      </c>
      <c r="P690" s="75">
        <f t="shared" si="4"/>
        <v>26250000</v>
      </c>
      <c r="Q690" s="64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22"/>
      <c r="B691" s="67"/>
      <c r="C691" s="67"/>
      <c r="D691" s="47" t="s">
        <v>24</v>
      </c>
      <c r="E691" s="35" t="s">
        <v>122</v>
      </c>
      <c r="F691" s="13"/>
      <c r="G691" s="36">
        <v>175.0</v>
      </c>
      <c r="H691" s="36" t="s">
        <v>95</v>
      </c>
      <c r="I691" s="48">
        <v>200000.0</v>
      </c>
      <c r="J691" s="46">
        <f t="shared" si="269"/>
        <v>35000000</v>
      </c>
      <c r="K691" s="46"/>
      <c r="L691" s="26"/>
      <c r="M691" s="46"/>
      <c r="N691" s="61"/>
      <c r="O691" s="75">
        <f t="shared" si="3"/>
        <v>35000000</v>
      </c>
      <c r="P691" s="75">
        <f t="shared" si="4"/>
        <v>35000000</v>
      </c>
      <c r="Q691" s="64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22"/>
      <c r="B692" s="67"/>
      <c r="C692" s="67"/>
      <c r="D692" s="47" t="s">
        <v>24</v>
      </c>
      <c r="E692" s="35" t="s">
        <v>123</v>
      </c>
      <c r="F692" s="13"/>
      <c r="G692" s="36">
        <v>300.0</v>
      </c>
      <c r="H692" s="36" t="s">
        <v>95</v>
      </c>
      <c r="I692" s="48">
        <v>250000.0</v>
      </c>
      <c r="J692" s="46">
        <f t="shared" si="269"/>
        <v>75000000</v>
      </c>
      <c r="K692" s="46"/>
      <c r="L692" s="26"/>
      <c r="M692" s="46">
        <v>1.5977925E7</v>
      </c>
      <c r="N692" s="61"/>
      <c r="O692" s="75">
        <f t="shared" si="3"/>
        <v>75000000</v>
      </c>
      <c r="P692" s="75">
        <f t="shared" si="4"/>
        <v>59022075</v>
      </c>
      <c r="Q692" s="64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22"/>
      <c r="B693" s="67"/>
      <c r="C693" s="67"/>
      <c r="D693" s="47" t="s">
        <v>24</v>
      </c>
      <c r="E693" s="35" t="s">
        <v>124</v>
      </c>
      <c r="F693" s="13"/>
      <c r="G693" s="36">
        <v>180.0</v>
      </c>
      <c r="H693" s="36" t="s">
        <v>95</v>
      </c>
      <c r="I693" s="48">
        <v>100000.0</v>
      </c>
      <c r="J693" s="46">
        <f t="shared" si="269"/>
        <v>18000000</v>
      </c>
      <c r="K693" s="46"/>
      <c r="L693" s="26"/>
      <c r="M693" s="46">
        <v>1080000.0</v>
      </c>
      <c r="N693" s="61"/>
      <c r="O693" s="75">
        <f t="shared" si="3"/>
        <v>18000000</v>
      </c>
      <c r="P693" s="75">
        <f t="shared" si="4"/>
        <v>16920000</v>
      </c>
      <c r="Q693" s="64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22"/>
      <c r="B694" s="67"/>
      <c r="C694" s="67"/>
      <c r="D694" s="47" t="s">
        <v>24</v>
      </c>
      <c r="E694" s="35" t="s">
        <v>125</v>
      </c>
      <c r="F694" s="13"/>
      <c r="G694" s="36">
        <v>105.0</v>
      </c>
      <c r="H694" s="36" t="s">
        <v>95</v>
      </c>
      <c r="I694" s="48">
        <v>50000.0</v>
      </c>
      <c r="J694" s="46">
        <f t="shared" si="269"/>
        <v>5250000</v>
      </c>
      <c r="K694" s="46"/>
      <c r="L694" s="26"/>
      <c r="M694" s="46"/>
      <c r="N694" s="61"/>
      <c r="O694" s="75">
        <f t="shared" si="3"/>
        <v>5250000</v>
      </c>
      <c r="P694" s="75">
        <f t="shared" si="4"/>
        <v>5250000</v>
      </c>
      <c r="Q694" s="64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41" t="s">
        <v>126</v>
      </c>
      <c r="B695" s="12"/>
      <c r="C695" s="56"/>
      <c r="D695" s="41" t="s">
        <v>127</v>
      </c>
      <c r="E695" s="12"/>
      <c r="F695" s="13"/>
      <c r="G695" s="22"/>
      <c r="H695" s="22"/>
      <c r="I695" s="22"/>
      <c r="J695" s="43">
        <f t="shared" ref="J695:K695" si="270">J696</f>
        <v>190740000</v>
      </c>
      <c r="K695" s="43">
        <f t="shared" si="270"/>
        <v>0</v>
      </c>
      <c r="L695" s="26"/>
      <c r="M695" s="43">
        <f>M696</f>
        <v>0</v>
      </c>
      <c r="N695" s="61"/>
      <c r="O695" s="75">
        <f t="shared" si="3"/>
        <v>190740000</v>
      </c>
      <c r="P695" s="75">
        <f t="shared" si="4"/>
        <v>190740000</v>
      </c>
      <c r="Q695" s="64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35" t="s">
        <v>68</v>
      </c>
      <c r="B696" s="12"/>
      <c r="C696" s="47"/>
      <c r="D696" s="44" t="s">
        <v>69</v>
      </c>
      <c r="E696" s="12"/>
      <c r="F696" s="13"/>
      <c r="G696" s="22"/>
      <c r="H696" s="22"/>
      <c r="I696" s="22"/>
      <c r="J696" s="46">
        <f t="shared" ref="J696:K696" si="271">SUM(J698:J702)</f>
        <v>190740000</v>
      </c>
      <c r="K696" s="46">
        <f t="shared" si="271"/>
        <v>0</v>
      </c>
      <c r="L696" s="26"/>
      <c r="M696" s="46">
        <f>SUM(M698:M702)</f>
        <v>0</v>
      </c>
      <c r="N696" s="61"/>
      <c r="O696" s="75">
        <f t="shared" si="3"/>
        <v>190740000</v>
      </c>
      <c r="P696" s="75">
        <f t="shared" si="4"/>
        <v>190740000</v>
      </c>
      <c r="Q696" s="64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22"/>
      <c r="B697" s="67"/>
      <c r="C697" s="67"/>
      <c r="D697" s="35" t="s">
        <v>23</v>
      </c>
      <c r="E697" s="12"/>
      <c r="F697" s="13"/>
      <c r="G697" s="22"/>
      <c r="H697" s="22"/>
      <c r="I697" s="22"/>
      <c r="J697" s="22"/>
      <c r="K697" s="22"/>
      <c r="L697" s="26"/>
      <c r="M697" s="22"/>
      <c r="N697" s="61"/>
      <c r="O697" s="75">
        <f t="shared" si="3"/>
        <v>0</v>
      </c>
      <c r="P697" s="75">
        <f t="shared" si="4"/>
        <v>0</v>
      </c>
      <c r="Q697" s="64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22"/>
      <c r="B698" s="67"/>
      <c r="C698" s="67"/>
      <c r="D698" s="47" t="s">
        <v>24</v>
      </c>
      <c r="E698" s="35" t="s">
        <v>128</v>
      </c>
      <c r="F698" s="13"/>
      <c r="G698" s="36">
        <v>88.0</v>
      </c>
      <c r="H698" s="36" t="s">
        <v>233</v>
      </c>
      <c r="I698" s="48">
        <v>110000.0</v>
      </c>
      <c r="J698" s="46">
        <f t="shared" ref="J698:J702" si="272">G698*I698</f>
        <v>9680000</v>
      </c>
      <c r="K698" s="46"/>
      <c r="L698" s="26"/>
      <c r="M698" s="46"/>
      <c r="N698" s="61"/>
      <c r="O698" s="75">
        <f t="shared" si="3"/>
        <v>9680000</v>
      </c>
      <c r="P698" s="75">
        <f t="shared" si="4"/>
        <v>9680000</v>
      </c>
      <c r="Q698" s="64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22"/>
      <c r="B699" s="67"/>
      <c r="C699" s="67"/>
      <c r="D699" s="47" t="s">
        <v>24</v>
      </c>
      <c r="E699" s="35" t="s">
        <v>130</v>
      </c>
      <c r="F699" s="13"/>
      <c r="G699" s="36">
        <v>88.0</v>
      </c>
      <c r="H699" s="36" t="s">
        <v>233</v>
      </c>
      <c r="I699" s="48">
        <v>120000.0</v>
      </c>
      <c r="J699" s="46">
        <f t="shared" si="272"/>
        <v>10560000</v>
      </c>
      <c r="K699" s="46"/>
      <c r="L699" s="26"/>
      <c r="M699" s="46"/>
      <c r="N699" s="61"/>
      <c r="O699" s="75">
        <f t="shared" si="3"/>
        <v>10560000</v>
      </c>
      <c r="P699" s="75">
        <f t="shared" si="4"/>
        <v>10560000</v>
      </c>
      <c r="Q699" s="64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22"/>
      <c r="B700" s="67"/>
      <c r="C700" s="67"/>
      <c r="D700" s="47" t="s">
        <v>24</v>
      </c>
      <c r="E700" s="35" t="s">
        <v>131</v>
      </c>
      <c r="F700" s="13"/>
      <c r="G700" s="36">
        <v>88.0</v>
      </c>
      <c r="H700" s="36" t="s">
        <v>233</v>
      </c>
      <c r="I700" s="48">
        <v>350000.0</v>
      </c>
      <c r="J700" s="46">
        <f t="shared" si="272"/>
        <v>30800000</v>
      </c>
      <c r="K700" s="46"/>
      <c r="L700" s="26"/>
      <c r="M700" s="46"/>
      <c r="N700" s="61"/>
      <c r="O700" s="75">
        <f t="shared" si="3"/>
        <v>30800000</v>
      </c>
      <c r="P700" s="75">
        <f t="shared" si="4"/>
        <v>30800000</v>
      </c>
      <c r="Q700" s="64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22"/>
      <c r="B701" s="67"/>
      <c r="C701" s="67"/>
      <c r="D701" s="47" t="s">
        <v>24</v>
      </c>
      <c r="E701" s="35" t="s">
        <v>132</v>
      </c>
      <c r="F701" s="13"/>
      <c r="G701" s="36">
        <v>44.0</v>
      </c>
      <c r="H701" s="36" t="s">
        <v>233</v>
      </c>
      <c r="I701" s="48">
        <v>175000.0</v>
      </c>
      <c r="J701" s="46">
        <f t="shared" si="272"/>
        <v>7700000</v>
      </c>
      <c r="K701" s="46"/>
      <c r="L701" s="26"/>
      <c r="M701" s="46"/>
      <c r="N701" s="61"/>
      <c r="O701" s="75">
        <f t="shared" si="3"/>
        <v>7700000</v>
      </c>
      <c r="P701" s="75">
        <f t="shared" si="4"/>
        <v>7700000</v>
      </c>
      <c r="Q701" s="64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22"/>
      <c r="B702" s="67"/>
      <c r="C702" s="67"/>
      <c r="D702" s="47" t="s">
        <v>24</v>
      </c>
      <c r="E702" s="35" t="s">
        <v>133</v>
      </c>
      <c r="F702" s="13"/>
      <c r="G702" s="36">
        <v>528.0</v>
      </c>
      <c r="H702" s="36" t="s">
        <v>233</v>
      </c>
      <c r="I702" s="48">
        <v>250000.0</v>
      </c>
      <c r="J702" s="46">
        <f t="shared" si="272"/>
        <v>132000000</v>
      </c>
      <c r="K702" s="46"/>
      <c r="L702" s="26"/>
      <c r="M702" s="46"/>
      <c r="N702" s="61"/>
      <c r="O702" s="75">
        <f t="shared" si="3"/>
        <v>132000000</v>
      </c>
      <c r="P702" s="75">
        <f t="shared" si="4"/>
        <v>132000000</v>
      </c>
      <c r="Q702" s="64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41" t="s">
        <v>134</v>
      </c>
      <c r="B703" s="12"/>
      <c r="C703" s="56"/>
      <c r="D703" s="41" t="s">
        <v>135</v>
      </c>
      <c r="E703" s="12"/>
      <c r="F703" s="13"/>
      <c r="G703" s="22"/>
      <c r="H703" s="22"/>
      <c r="I703" s="22"/>
      <c r="J703" s="43">
        <f t="shared" ref="J703:K703" si="273">J704</f>
        <v>10370000</v>
      </c>
      <c r="K703" s="43">
        <f t="shared" si="273"/>
        <v>0</v>
      </c>
      <c r="L703" s="26"/>
      <c r="M703" s="43">
        <f>M704</f>
        <v>0</v>
      </c>
      <c r="N703" s="61"/>
      <c r="O703" s="75">
        <f t="shared" si="3"/>
        <v>10370000</v>
      </c>
      <c r="P703" s="75">
        <f t="shared" si="4"/>
        <v>10370000</v>
      </c>
      <c r="Q703" s="64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35" t="s">
        <v>68</v>
      </c>
      <c r="B704" s="12"/>
      <c r="C704" s="47"/>
      <c r="D704" s="44" t="s">
        <v>69</v>
      </c>
      <c r="E704" s="12"/>
      <c r="F704" s="13"/>
      <c r="G704" s="22"/>
      <c r="H704" s="22"/>
      <c r="I704" s="22"/>
      <c r="J704" s="46">
        <f t="shared" ref="J704:K704" si="274">SUM(J706:J710)</f>
        <v>10370000</v>
      </c>
      <c r="K704" s="46">
        <f t="shared" si="274"/>
        <v>0</v>
      </c>
      <c r="L704" s="26"/>
      <c r="M704" s="46">
        <f>SUM(M706:M710)</f>
        <v>0</v>
      </c>
      <c r="N704" s="61"/>
      <c r="O704" s="75">
        <f t="shared" si="3"/>
        <v>10370000</v>
      </c>
      <c r="P704" s="75">
        <f t="shared" si="4"/>
        <v>10370000</v>
      </c>
      <c r="Q704" s="64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22"/>
      <c r="B705" s="67"/>
      <c r="C705" s="67"/>
      <c r="D705" s="35" t="s">
        <v>23</v>
      </c>
      <c r="E705" s="12"/>
      <c r="F705" s="13"/>
      <c r="G705" s="22"/>
      <c r="H705" s="22"/>
      <c r="I705" s="22"/>
      <c r="J705" s="22"/>
      <c r="K705" s="22"/>
      <c r="L705" s="26"/>
      <c r="M705" s="22"/>
      <c r="N705" s="61"/>
      <c r="O705" s="75">
        <f t="shared" si="3"/>
        <v>0</v>
      </c>
      <c r="P705" s="75">
        <f t="shared" si="4"/>
        <v>0</v>
      </c>
      <c r="Q705" s="64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22"/>
      <c r="B706" s="67"/>
      <c r="C706" s="67"/>
      <c r="D706" s="47" t="s">
        <v>24</v>
      </c>
      <c r="E706" s="35" t="s">
        <v>136</v>
      </c>
      <c r="F706" s="13"/>
      <c r="G706" s="36">
        <v>75.0</v>
      </c>
      <c r="H706" s="36" t="s">
        <v>95</v>
      </c>
      <c r="I706" s="48">
        <v>75000.0</v>
      </c>
      <c r="J706" s="46">
        <f t="shared" ref="J706:J710" si="275">G706*I706</f>
        <v>5625000</v>
      </c>
      <c r="K706" s="46"/>
      <c r="L706" s="26"/>
      <c r="M706" s="46"/>
      <c r="N706" s="61"/>
      <c r="O706" s="75">
        <f t="shared" si="3"/>
        <v>5625000</v>
      </c>
      <c r="P706" s="75">
        <f t="shared" si="4"/>
        <v>5625000</v>
      </c>
      <c r="Q706" s="64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22"/>
      <c r="B707" s="67"/>
      <c r="C707" s="67"/>
      <c r="D707" s="47" t="s">
        <v>24</v>
      </c>
      <c r="E707" s="35" t="s">
        <v>137</v>
      </c>
      <c r="F707" s="13"/>
      <c r="G707" s="36">
        <v>2.0</v>
      </c>
      <c r="H707" s="36" t="s">
        <v>95</v>
      </c>
      <c r="I707" s="48">
        <v>360000.0</v>
      </c>
      <c r="J707" s="46">
        <f t="shared" si="275"/>
        <v>720000</v>
      </c>
      <c r="K707" s="46"/>
      <c r="L707" s="26"/>
      <c r="M707" s="46"/>
      <c r="N707" s="61"/>
      <c r="O707" s="75">
        <f t="shared" si="3"/>
        <v>720000</v>
      </c>
      <c r="P707" s="75">
        <f t="shared" si="4"/>
        <v>720000</v>
      </c>
      <c r="Q707" s="64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22"/>
      <c r="B708" s="67"/>
      <c r="C708" s="67"/>
      <c r="D708" s="47" t="s">
        <v>24</v>
      </c>
      <c r="E708" s="35" t="s">
        <v>138</v>
      </c>
      <c r="F708" s="13"/>
      <c r="G708" s="36">
        <v>25.0</v>
      </c>
      <c r="H708" s="36" t="s">
        <v>95</v>
      </c>
      <c r="I708" s="48">
        <v>93000.0</v>
      </c>
      <c r="J708" s="46">
        <f t="shared" si="275"/>
        <v>2325000</v>
      </c>
      <c r="K708" s="46"/>
      <c r="L708" s="26"/>
      <c r="M708" s="46"/>
      <c r="N708" s="61"/>
      <c r="O708" s="75">
        <f t="shared" si="3"/>
        <v>2325000</v>
      </c>
      <c r="P708" s="75">
        <f t="shared" si="4"/>
        <v>2325000</v>
      </c>
      <c r="Q708" s="64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22"/>
      <c r="B709" s="67"/>
      <c r="C709" s="67"/>
      <c r="D709" s="47" t="s">
        <v>24</v>
      </c>
      <c r="E709" s="35" t="s">
        <v>139</v>
      </c>
      <c r="F709" s="13"/>
      <c r="G709" s="36">
        <v>25.0</v>
      </c>
      <c r="H709" s="36" t="s">
        <v>95</v>
      </c>
      <c r="I709" s="48">
        <v>53000.0</v>
      </c>
      <c r="J709" s="46">
        <f t="shared" si="275"/>
        <v>1325000</v>
      </c>
      <c r="K709" s="46"/>
      <c r="L709" s="26"/>
      <c r="M709" s="46"/>
      <c r="N709" s="61"/>
      <c r="O709" s="75">
        <f t="shared" si="3"/>
        <v>1325000</v>
      </c>
      <c r="P709" s="75">
        <f t="shared" si="4"/>
        <v>1325000</v>
      </c>
      <c r="Q709" s="64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22"/>
      <c r="B710" s="67"/>
      <c r="C710" s="67"/>
      <c r="D710" s="47" t="s">
        <v>24</v>
      </c>
      <c r="E710" s="35" t="s">
        <v>140</v>
      </c>
      <c r="F710" s="13"/>
      <c r="G710" s="36">
        <v>25.0</v>
      </c>
      <c r="H710" s="36" t="s">
        <v>95</v>
      </c>
      <c r="I710" s="48">
        <v>15000.0</v>
      </c>
      <c r="J710" s="46">
        <f t="shared" si="275"/>
        <v>375000</v>
      </c>
      <c r="K710" s="46"/>
      <c r="L710" s="26"/>
      <c r="M710" s="46"/>
      <c r="N710" s="61"/>
      <c r="O710" s="75">
        <f t="shared" si="3"/>
        <v>375000</v>
      </c>
      <c r="P710" s="75">
        <f t="shared" si="4"/>
        <v>375000</v>
      </c>
      <c r="Q710" s="64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41" t="s">
        <v>141</v>
      </c>
      <c r="B711" s="12"/>
      <c r="C711" s="56"/>
      <c r="D711" s="41" t="s">
        <v>142</v>
      </c>
      <c r="E711" s="12"/>
      <c r="F711" s="13"/>
      <c r="G711" s="22"/>
      <c r="H711" s="22"/>
      <c r="I711" s="22"/>
      <c r="J711" s="43">
        <f t="shared" ref="J711:K711" si="276">J712</f>
        <v>76750000</v>
      </c>
      <c r="K711" s="43">
        <f t="shared" si="276"/>
        <v>0</v>
      </c>
      <c r="L711" s="26"/>
      <c r="M711" s="43">
        <f>M712</f>
        <v>0</v>
      </c>
      <c r="N711" s="61"/>
      <c r="O711" s="75">
        <f t="shared" si="3"/>
        <v>76750000</v>
      </c>
      <c r="P711" s="75">
        <f t="shared" si="4"/>
        <v>76750000</v>
      </c>
      <c r="Q711" s="64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35" t="s">
        <v>68</v>
      </c>
      <c r="B712" s="12"/>
      <c r="C712" s="47"/>
      <c r="D712" s="44" t="s">
        <v>69</v>
      </c>
      <c r="E712" s="12"/>
      <c r="F712" s="13"/>
      <c r="G712" s="22"/>
      <c r="H712" s="22"/>
      <c r="I712" s="22"/>
      <c r="J712" s="46">
        <f t="shared" ref="J712:K712" si="277">SUM(J714:J716)</f>
        <v>76750000</v>
      </c>
      <c r="K712" s="46">
        <f t="shared" si="277"/>
        <v>0</v>
      </c>
      <c r="L712" s="26"/>
      <c r="M712" s="46">
        <f>SUM(M714:M716)</f>
        <v>0</v>
      </c>
      <c r="N712" s="61"/>
      <c r="O712" s="75">
        <f t="shared" si="3"/>
        <v>76750000</v>
      </c>
      <c r="P712" s="75">
        <f t="shared" si="4"/>
        <v>76750000</v>
      </c>
      <c r="Q712" s="64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22"/>
      <c r="B713" s="67"/>
      <c r="C713" s="67"/>
      <c r="D713" s="35" t="s">
        <v>23</v>
      </c>
      <c r="E713" s="12"/>
      <c r="F713" s="13"/>
      <c r="G713" s="22"/>
      <c r="H713" s="22"/>
      <c r="I713" s="22"/>
      <c r="J713" s="22"/>
      <c r="K713" s="22"/>
      <c r="L713" s="26"/>
      <c r="M713" s="22"/>
      <c r="N713" s="61"/>
      <c r="O713" s="75">
        <f t="shared" si="3"/>
        <v>0</v>
      </c>
      <c r="P713" s="75">
        <f t="shared" si="4"/>
        <v>0</v>
      </c>
      <c r="Q713" s="64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22"/>
      <c r="B714" s="67"/>
      <c r="C714" s="67"/>
      <c r="D714" s="47" t="s">
        <v>24</v>
      </c>
      <c r="E714" s="35" t="s">
        <v>143</v>
      </c>
      <c r="F714" s="13"/>
      <c r="G714" s="36">
        <v>25.0</v>
      </c>
      <c r="H714" s="36" t="s">
        <v>95</v>
      </c>
      <c r="I714" s="48">
        <v>2000000.0</v>
      </c>
      <c r="J714" s="46">
        <f t="shared" ref="J714:J716" si="278">G714*I714</f>
        <v>50000000</v>
      </c>
      <c r="K714" s="46"/>
      <c r="L714" s="26"/>
      <c r="M714" s="46"/>
      <c r="N714" s="61"/>
      <c r="O714" s="75">
        <f t="shared" si="3"/>
        <v>50000000</v>
      </c>
      <c r="P714" s="75">
        <f t="shared" si="4"/>
        <v>50000000</v>
      </c>
      <c r="Q714" s="64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22"/>
      <c r="B715" s="67"/>
      <c r="C715" s="67"/>
      <c r="D715" s="47" t="s">
        <v>24</v>
      </c>
      <c r="E715" s="35" t="s">
        <v>144</v>
      </c>
      <c r="F715" s="13"/>
      <c r="G715" s="36">
        <v>25.0</v>
      </c>
      <c r="H715" s="36" t="s">
        <v>95</v>
      </c>
      <c r="I715" s="48">
        <v>750000.0</v>
      </c>
      <c r="J715" s="46">
        <f t="shared" si="278"/>
        <v>18750000</v>
      </c>
      <c r="K715" s="46"/>
      <c r="L715" s="26"/>
      <c r="M715" s="46"/>
      <c r="N715" s="61"/>
      <c r="O715" s="75">
        <f t="shared" si="3"/>
        <v>18750000</v>
      </c>
      <c r="P715" s="75">
        <f t="shared" si="4"/>
        <v>18750000</v>
      </c>
      <c r="Q715" s="64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22"/>
      <c r="B716" s="67"/>
      <c r="C716" s="67"/>
      <c r="D716" s="47" t="s">
        <v>24</v>
      </c>
      <c r="E716" s="35" t="s">
        <v>145</v>
      </c>
      <c r="F716" s="13"/>
      <c r="G716" s="36">
        <v>4.0</v>
      </c>
      <c r="H716" s="36" t="s">
        <v>95</v>
      </c>
      <c r="I716" s="48">
        <v>2000000.0</v>
      </c>
      <c r="J716" s="46">
        <f t="shared" si="278"/>
        <v>8000000</v>
      </c>
      <c r="K716" s="46"/>
      <c r="L716" s="26"/>
      <c r="M716" s="46"/>
      <c r="N716" s="61"/>
      <c r="O716" s="75">
        <f t="shared" si="3"/>
        <v>8000000</v>
      </c>
      <c r="P716" s="75">
        <f t="shared" si="4"/>
        <v>8000000</v>
      </c>
      <c r="Q716" s="64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41" t="s">
        <v>146</v>
      </c>
      <c r="B717" s="12"/>
      <c r="C717" s="56"/>
      <c r="D717" s="41" t="s">
        <v>234</v>
      </c>
      <c r="E717" s="12"/>
      <c r="F717" s="13"/>
      <c r="G717" s="22"/>
      <c r="H717" s="22"/>
      <c r="I717" s="22"/>
      <c r="J717" s="43">
        <f t="shared" ref="J717:K717" si="279">J718+J725</f>
        <v>182300000</v>
      </c>
      <c r="K717" s="43">
        <f t="shared" si="279"/>
        <v>0</v>
      </c>
      <c r="L717" s="26"/>
      <c r="M717" s="43">
        <f>M718+M725</f>
        <v>42087490</v>
      </c>
      <c r="N717" s="61"/>
      <c r="O717" s="75">
        <f t="shared" si="3"/>
        <v>182300000</v>
      </c>
      <c r="P717" s="75">
        <f t="shared" si="4"/>
        <v>140212510</v>
      </c>
      <c r="Q717" s="64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35" t="s">
        <v>74</v>
      </c>
      <c r="B718" s="12"/>
      <c r="C718" s="13"/>
      <c r="D718" s="44" t="s">
        <v>75</v>
      </c>
      <c r="E718" s="12"/>
      <c r="F718" s="13"/>
      <c r="G718" s="22"/>
      <c r="H718" s="22"/>
      <c r="I718" s="22"/>
      <c r="J718" s="46">
        <f t="shared" ref="J718:K718" si="280">SUM(J720:J724)</f>
        <v>158300000</v>
      </c>
      <c r="K718" s="46">
        <f t="shared" si="280"/>
        <v>0</v>
      </c>
      <c r="L718" s="26"/>
      <c r="M718" s="46">
        <f>SUM(M720:M724)</f>
        <v>11337490</v>
      </c>
      <c r="N718" s="61"/>
      <c r="O718" s="75">
        <f t="shared" si="3"/>
        <v>158300000</v>
      </c>
      <c r="P718" s="75">
        <f t="shared" si="4"/>
        <v>146962510</v>
      </c>
      <c r="Q718" s="64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22"/>
      <c r="B719" s="67"/>
      <c r="C719" s="67"/>
      <c r="D719" s="35" t="s">
        <v>23</v>
      </c>
      <c r="E719" s="12"/>
      <c r="F719" s="13"/>
      <c r="G719" s="22"/>
      <c r="H719" s="22"/>
      <c r="I719" s="22"/>
      <c r="J719" s="22"/>
      <c r="K719" s="22"/>
      <c r="L719" s="26"/>
      <c r="M719" s="22"/>
      <c r="N719" s="61"/>
      <c r="O719" s="75">
        <f t="shared" si="3"/>
        <v>0</v>
      </c>
      <c r="P719" s="75">
        <f t="shared" si="4"/>
        <v>0</v>
      </c>
      <c r="Q719" s="64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22"/>
      <c r="B720" s="67"/>
      <c r="C720" s="67"/>
      <c r="D720" s="47" t="s">
        <v>24</v>
      </c>
      <c r="E720" s="35" t="s">
        <v>235</v>
      </c>
      <c r="F720" s="13"/>
      <c r="G720" s="36">
        <v>25.0</v>
      </c>
      <c r="H720" s="36" t="s">
        <v>26</v>
      </c>
      <c r="I720" s="48">
        <v>910000.0</v>
      </c>
      <c r="J720" s="46">
        <f t="shared" ref="J720:J724" si="281">G720*I720</f>
        <v>22750000</v>
      </c>
      <c r="K720" s="46"/>
      <c r="L720" s="26"/>
      <c r="M720" s="53">
        <v>2460000.0</v>
      </c>
      <c r="N720" s="61"/>
      <c r="O720" s="75">
        <f t="shared" si="3"/>
        <v>22750000</v>
      </c>
      <c r="P720" s="75">
        <f t="shared" si="4"/>
        <v>20290000</v>
      </c>
      <c r="Q720" s="64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22"/>
      <c r="B721" s="67"/>
      <c r="C721" s="67"/>
      <c r="D721" s="47" t="s">
        <v>24</v>
      </c>
      <c r="E721" s="35" t="s">
        <v>236</v>
      </c>
      <c r="F721" s="13"/>
      <c r="G721" s="36">
        <v>50.0</v>
      </c>
      <c r="H721" s="36" t="s">
        <v>26</v>
      </c>
      <c r="I721" s="48">
        <v>891000.0</v>
      </c>
      <c r="J721" s="46">
        <f t="shared" si="281"/>
        <v>44550000</v>
      </c>
      <c r="K721" s="46"/>
      <c r="L721" s="26"/>
      <c r="M721" s="53">
        <v>1087490.0</v>
      </c>
      <c r="N721" s="61"/>
      <c r="O721" s="75">
        <f t="shared" si="3"/>
        <v>44550000</v>
      </c>
      <c r="P721" s="75">
        <f t="shared" si="4"/>
        <v>43462510</v>
      </c>
      <c r="Q721" s="64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22"/>
      <c r="B722" s="67"/>
      <c r="C722" s="67"/>
      <c r="D722" s="47" t="s">
        <v>24</v>
      </c>
      <c r="E722" s="35" t="s">
        <v>237</v>
      </c>
      <c r="F722" s="13"/>
      <c r="G722" s="36">
        <v>75.0</v>
      </c>
      <c r="H722" s="36" t="s">
        <v>26</v>
      </c>
      <c r="I722" s="48">
        <v>430000.0</v>
      </c>
      <c r="J722" s="46">
        <f t="shared" si="281"/>
        <v>32250000</v>
      </c>
      <c r="K722" s="46"/>
      <c r="L722" s="26"/>
      <c r="M722" s="53">
        <v>7790000.0</v>
      </c>
      <c r="N722" s="61"/>
      <c r="O722" s="75">
        <f t="shared" si="3"/>
        <v>32250000</v>
      </c>
      <c r="P722" s="75">
        <f t="shared" si="4"/>
        <v>24460000</v>
      </c>
      <c r="Q722" s="64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22"/>
      <c r="B723" s="67"/>
      <c r="C723" s="67"/>
      <c r="D723" s="47" t="s">
        <v>24</v>
      </c>
      <c r="E723" s="35" t="s">
        <v>284</v>
      </c>
      <c r="F723" s="13"/>
      <c r="G723" s="36">
        <v>50.0</v>
      </c>
      <c r="H723" s="36" t="s">
        <v>26</v>
      </c>
      <c r="I723" s="48">
        <v>500000.0</v>
      </c>
      <c r="J723" s="46">
        <f t="shared" si="281"/>
        <v>25000000</v>
      </c>
      <c r="K723" s="46"/>
      <c r="L723" s="26"/>
      <c r="M723" s="46"/>
      <c r="N723" s="61"/>
      <c r="O723" s="75">
        <f t="shared" si="3"/>
        <v>25000000</v>
      </c>
      <c r="P723" s="75">
        <f t="shared" si="4"/>
        <v>25000000</v>
      </c>
      <c r="Q723" s="64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22"/>
      <c r="B724" s="67"/>
      <c r="C724" s="67"/>
      <c r="D724" s="47" t="s">
        <v>24</v>
      </c>
      <c r="E724" s="35" t="s">
        <v>285</v>
      </c>
      <c r="F724" s="13"/>
      <c r="G724" s="36">
        <v>75.0</v>
      </c>
      <c r="H724" s="36" t="s">
        <v>26</v>
      </c>
      <c r="I724" s="48">
        <v>450000.0</v>
      </c>
      <c r="J724" s="46">
        <f t="shared" si="281"/>
        <v>33750000</v>
      </c>
      <c r="K724" s="46"/>
      <c r="L724" s="26"/>
      <c r="M724" s="46"/>
      <c r="N724" s="61"/>
      <c r="O724" s="75">
        <f t="shared" si="3"/>
        <v>33750000</v>
      </c>
      <c r="P724" s="75">
        <f t="shared" si="4"/>
        <v>33750000</v>
      </c>
      <c r="Q724" s="64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35" t="s">
        <v>79</v>
      </c>
      <c r="B725" s="12"/>
      <c r="C725" s="13"/>
      <c r="D725" s="44" t="s">
        <v>80</v>
      </c>
      <c r="E725" s="12"/>
      <c r="F725" s="13"/>
      <c r="G725" s="22"/>
      <c r="H725" s="22"/>
      <c r="I725" s="22"/>
      <c r="J725" s="46">
        <f t="shared" ref="J725:K725" si="282">J727</f>
        <v>24000000</v>
      </c>
      <c r="K725" s="46" t="str">
        <f t="shared" si="282"/>
        <v/>
      </c>
      <c r="L725" s="26"/>
      <c r="M725" s="46">
        <f>M727</f>
        <v>30750000</v>
      </c>
      <c r="N725" s="61"/>
      <c r="O725" s="75">
        <f t="shared" si="3"/>
        <v>24000000</v>
      </c>
      <c r="P725" s="75">
        <f t="shared" si="4"/>
        <v>-6750000</v>
      </c>
      <c r="Q725" s="64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22"/>
      <c r="B726" s="67"/>
      <c r="C726" s="67"/>
      <c r="D726" s="35" t="s">
        <v>23</v>
      </c>
      <c r="E726" s="12"/>
      <c r="F726" s="13"/>
      <c r="G726" s="22"/>
      <c r="H726" s="22"/>
      <c r="I726" s="22"/>
      <c r="J726" s="22"/>
      <c r="K726" s="22"/>
      <c r="L726" s="26"/>
      <c r="M726" s="22"/>
      <c r="N726" s="61"/>
      <c r="O726" s="75">
        <f t="shared" si="3"/>
        <v>0</v>
      </c>
      <c r="P726" s="75">
        <f t="shared" si="4"/>
        <v>0</v>
      </c>
      <c r="Q726" s="64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22"/>
      <c r="B727" s="67"/>
      <c r="C727" s="67"/>
      <c r="D727" s="47" t="s">
        <v>24</v>
      </c>
      <c r="E727" s="35" t="s">
        <v>240</v>
      </c>
      <c r="F727" s="13"/>
      <c r="G727" s="36">
        <v>160.0</v>
      </c>
      <c r="H727" s="36" t="s">
        <v>26</v>
      </c>
      <c r="I727" s="48">
        <v>150000.0</v>
      </c>
      <c r="J727" s="46">
        <f>G727*I727</f>
        <v>24000000</v>
      </c>
      <c r="K727" s="46"/>
      <c r="L727" s="26"/>
      <c r="M727" s="46">
        <v>3.075E7</v>
      </c>
      <c r="N727" s="61"/>
      <c r="O727" s="75">
        <f t="shared" si="3"/>
        <v>24000000</v>
      </c>
      <c r="P727" s="75">
        <f t="shared" si="4"/>
        <v>-6750000</v>
      </c>
      <c r="Q727" s="64"/>
      <c r="R727" s="1"/>
      <c r="S727" s="1"/>
      <c r="T727" s="1"/>
      <c r="U727" s="1"/>
      <c r="V727" s="1"/>
      <c r="W727" s="1"/>
      <c r="X727" s="1"/>
      <c r="Y727" s="1"/>
      <c r="Z727" s="1"/>
    </row>
    <row r="728" ht="20.25" customHeight="1">
      <c r="A728" s="78" t="s">
        <v>215</v>
      </c>
      <c r="B728" s="12"/>
      <c r="C728" s="13"/>
      <c r="D728" s="78" t="s">
        <v>286</v>
      </c>
      <c r="E728" s="12"/>
      <c r="F728" s="13"/>
      <c r="G728" s="82"/>
      <c r="H728" s="82"/>
      <c r="I728" s="83"/>
      <c r="J728" s="84">
        <f t="shared" ref="J728:K728" si="283">J729+J743+J755+J768+J785+J794+J804+J809+J825+J839+J847+J855+J861</f>
        <v>3064496000</v>
      </c>
      <c r="K728" s="84">
        <f t="shared" si="283"/>
        <v>73800000</v>
      </c>
      <c r="L728" s="26"/>
      <c r="M728" s="84">
        <f>M729+M743+M755+M768+M785+M794+M804+M809+M825+M839+M847+M855+M861</f>
        <v>960940010</v>
      </c>
      <c r="N728" s="61"/>
      <c r="O728" s="75">
        <f t="shared" si="3"/>
        <v>2990696000</v>
      </c>
      <c r="P728" s="75">
        <f t="shared" si="4"/>
        <v>2103555990</v>
      </c>
      <c r="Q728" s="64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41" t="s">
        <v>20</v>
      </c>
      <c r="B729" s="12"/>
      <c r="C729" s="13"/>
      <c r="D729" s="41" t="s">
        <v>21</v>
      </c>
      <c r="E729" s="12"/>
      <c r="F729" s="13"/>
      <c r="G729" s="22"/>
      <c r="H729" s="22"/>
      <c r="I729" s="22"/>
      <c r="J729" s="43">
        <f t="shared" ref="J729:K729" si="284">J730+J739</f>
        <v>142640000</v>
      </c>
      <c r="K729" s="43">
        <f t="shared" si="284"/>
        <v>0</v>
      </c>
      <c r="L729" s="26"/>
      <c r="M729" s="43">
        <f>M730+M739</f>
        <v>8718123</v>
      </c>
      <c r="N729" s="61"/>
      <c r="O729" s="75">
        <f t="shared" si="3"/>
        <v>142640000</v>
      </c>
      <c r="P729" s="75">
        <f t="shared" si="4"/>
        <v>133921877</v>
      </c>
      <c r="Q729" s="64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35" t="s">
        <v>40</v>
      </c>
      <c r="B730" s="12"/>
      <c r="C730" s="13"/>
      <c r="D730" s="44" t="s">
        <v>22</v>
      </c>
      <c r="E730" s="12"/>
      <c r="F730" s="13"/>
      <c r="G730" s="22"/>
      <c r="H730" s="22"/>
      <c r="I730" s="22"/>
      <c r="J730" s="46">
        <f t="shared" ref="J730:K730" si="285">SUM(J732:J738)</f>
        <v>130640000</v>
      </c>
      <c r="K730" s="46">
        <f t="shared" si="285"/>
        <v>0</v>
      </c>
      <c r="L730" s="26"/>
      <c r="M730" s="46">
        <f>SUM(M732:M738)</f>
        <v>8718123</v>
      </c>
      <c r="N730" s="61"/>
      <c r="O730" s="75">
        <f t="shared" si="3"/>
        <v>130640000</v>
      </c>
      <c r="P730" s="75">
        <f t="shared" si="4"/>
        <v>121921877</v>
      </c>
      <c r="Q730" s="64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22"/>
      <c r="B731" s="67"/>
      <c r="C731" s="67"/>
      <c r="D731" s="35" t="s">
        <v>23</v>
      </c>
      <c r="E731" s="12"/>
      <c r="F731" s="13"/>
      <c r="G731" s="22"/>
      <c r="H731" s="22"/>
      <c r="I731" s="22"/>
      <c r="J731" s="22"/>
      <c r="K731" s="22"/>
      <c r="L731" s="26"/>
      <c r="M731" s="22"/>
      <c r="N731" s="61"/>
      <c r="O731" s="75">
        <f t="shared" si="3"/>
        <v>0</v>
      </c>
      <c r="P731" s="75">
        <f t="shared" si="4"/>
        <v>0</v>
      </c>
      <c r="Q731" s="64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22"/>
      <c r="B732" s="67"/>
      <c r="C732" s="67"/>
      <c r="D732" s="47" t="s">
        <v>24</v>
      </c>
      <c r="E732" s="35" t="s">
        <v>156</v>
      </c>
      <c r="F732" s="13"/>
      <c r="G732" s="36">
        <v>24.0</v>
      </c>
      <c r="H732" s="36" t="s">
        <v>26</v>
      </c>
      <c r="I732" s="48">
        <v>500000.0</v>
      </c>
      <c r="J732" s="46">
        <f t="shared" ref="J732:J738" si="286">G732*I732</f>
        <v>12000000</v>
      </c>
      <c r="K732" s="46"/>
      <c r="L732" s="26"/>
      <c r="M732" s="46">
        <v>155900.0</v>
      </c>
      <c r="N732" s="61"/>
      <c r="O732" s="75">
        <f t="shared" si="3"/>
        <v>12000000</v>
      </c>
      <c r="P732" s="75">
        <f t="shared" si="4"/>
        <v>11844100</v>
      </c>
      <c r="Q732" s="64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22"/>
      <c r="B733" s="67"/>
      <c r="C733" s="67"/>
      <c r="D733" s="47" t="s">
        <v>24</v>
      </c>
      <c r="E733" s="35" t="s">
        <v>27</v>
      </c>
      <c r="F733" s="13"/>
      <c r="G733" s="36">
        <v>2.0</v>
      </c>
      <c r="H733" s="36" t="s">
        <v>26</v>
      </c>
      <c r="I733" s="48">
        <v>2000000.0</v>
      </c>
      <c r="J733" s="46">
        <f t="shared" si="286"/>
        <v>4000000</v>
      </c>
      <c r="K733" s="46"/>
      <c r="L733" s="26"/>
      <c r="M733" s="46"/>
      <c r="N733" s="61"/>
      <c r="O733" s="75">
        <f t="shared" si="3"/>
        <v>4000000</v>
      </c>
      <c r="P733" s="75">
        <f t="shared" si="4"/>
        <v>4000000</v>
      </c>
      <c r="Q733" s="64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22"/>
      <c r="B734" s="67"/>
      <c r="C734" s="67"/>
      <c r="D734" s="47" t="s">
        <v>24</v>
      </c>
      <c r="E734" s="35" t="s">
        <v>28</v>
      </c>
      <c r="F734" s="13"/>
      <c r="G734" s="36">
        <v>10.0</v>
      </c>
      <c r="H734" s="36" t="s">
        <v>26</v>
      </c>
      <c r="I734" s="48">
        <v>500000.0</v>
      </c>
      <c r="J734" s="46">
        <f t="shared" si="286"/>
        <v>5000000</v>
      </c>
      <c r="K734" s="46"/>
      <c r="L734" s="26"/>
      <c r="M734" s="46"/>
      <c r="N734" s="61"/>
      <c r="O734" s="75">
        <f t="shared" si="3"/>
        <v>5000000</v>
      </c>
      <c r="P734" s="75">
        <f t="shared" si="4"/>
        <v>5000000</v>
      </c>
      <c r="Q734" s="64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22"/>
      <c r="B735" s="67"/>
      <c r="C735" s="67"/>
      <c r="D735" s="47" t="s">
        <v>24</v>
      </c>
      <c r="E735" s="35" t="s">
        <v>157</v>
      </c>
      <c r="F735" s="13"/>
      <c r="G735" s="36">
        <v>200.0</v>
      </c>
      <c r="H735" s="36" t="s">
        <v>26</v>
      </c>
      <c r="I735" s="48">
        <v>25000.0</v>
      </c>
      <c r="J735" s="46">
        <f t="shared" si="286"/>
        <v>5000000</v>
      </c>
      <c r="K735" s="46"/>
      <c r="L735" s="26"/>
      <c r="M735" s="46"/>
      <c r="N735" s="61"/>
      <c r="O735" s="75">
        <f t="shared" si="3"/>
        <v>5000000</v>
      </c>
      <c r="P735" s="75">
        <f t="shared" si="4"/>
        <v>5000000</v>
      </c>
      <c r="Q735" s="64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22"/>
      <c r="B736" s="67"/>
      <c r="C736" s="67"/>
      <c r="D736" s="47" t="s">
        <v>24</v>
      </c>
      <c r="E736" s="35" t="s">
        <v>31</v>
      </c>
      <c r="F736" s="13"/>
      <c r="G736" s="36">
        <v>320.0</v>
      </c>
      <c r="H736" s="36" t="s">
        <v>26</v>
      </c>
      <c r="I736" s="48">
        <v>53000.0</v>
      </c>
      <c r="J736" s="46">
        <f t="shared" si="286"/>
        <v>16960000</v>
      </c>
      <c r="K736" s="46"/>
      <c r="L736" s="26"/>
      <c r="M736" s="46">
        <v>6936000.0</v>
      </c>
      <c r="N736" s="61"/>
      <c r="O736" s="75">
        <f t="shared" si="3"/>
        <v>16960000</v>
      </c>
      <c r="P736" s="75">
        <f t="shared" si="4"/>
        <v>10024000</v>
      </c>
      <c r="Q736" s="64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22"/>
      <c r="B737" s="67"/>
      <c r="C737" s="67"/>
      <c r="D737" s="47" t="s">
        <v>24</v>
      </c>
      <c r="E737" s="35" t="s">
        <v>32</v>
      </c>
      <c r="F737" s="13"/>
      <c r="G737" s="36">
        <v>320.0</v>
      </c>
      <c r="H737" s="36" t="s">
        <v>26</v>
      </c>
      <c r="I737" s="48">
        <v>24000.0</v>
      </c>
      <c r="J737" s="46">
        <f t="shared" si="286"/>
        <v>7680000</v>
      </c>
      <c r="K737" s="46"/>
      <c r="L737" s="26"/>
      <c r="M737" s="46"/>
      <c r="N737" s="61"/>
      <c r="O737" s="75">
        <f t="shared" si="3"/>
        <v>7680000</v>
      </c>
      <c r="P737" s="75">
        <f t="shared" si="4"/>
        <v>7680000</v>
      </c>
      <c r="Q737" s="64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22"/>
      <c r="B738" s="67"/>
      <c r="C738" s="67"/>
      <c r="D738" s="47" t="s">
        <v>24</v>
      </c>
      <c r="E738" s="35" t="s">
        <v>158</v>
      </c>
      <c r="F738" s="13"/>
      <c r="G738" s="36">
        <v>100.0</v>
      </c>
      <c r="H738" s="36" t="s">
        <v>26</v>
      </c>
      <c r="I738" s="48">
        <v>800000.0</v>
      </c>
      <c r="J738" s="46">
        <f t="shared" si="286"/>
        <v>80000000</v>
      </c>
      <c r="K738" s="46"/>
      <c r="L738" s="26"/>
      <c r="M738" s="46">
        <v>1626223.0</v>
      </c>
      <c r="N738" s="61"/>
      <c r="O738" s="75">
        <f t="shared" si="3"/>
        <v>80000000</v>
      </c>
      <c r="P738" s="75">
        <f t="shared" si="4"/>
        <v>78373777</v>
      </c>
      <c r="Q738" s="64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35" t="s">
        <v>58</v>
      </c>
      <c r="B739" s="12"/>
      <c r="C739" s="47"/>
      <c r="D739" s="44" t="s">
        <v>34</v>
      </c>
      <c r="E739" s="12"/>
      <c r="F739" s="13"/>
      <c r="G739" s="22"/>
      <c r="H739" s="22"/>
      <c r="I739" s="22"/>
      <c r="J739" s="46">
        <f t="shared" ref="J739:K739" si="287">SUM(J741:J742)</f>
        <v>12000000</v>
      </c>
      <c r="K739" s="46">
        <f t="shared" si="287"/>
        <v>0</v>
      </c>
      <c r="L739" s="26"/>
      <c r="M739" s="46">
        <f>SUM(M741:M742)</f>
        <v>0</v>
      </c>
      <c r="N739" s="61"/>
      <c r="O739" s="75">
        <f t="shared" si="3"/>
        <v>12000000</v>
      </c>
      <c r="P739" s="75">
        <f t="shared" si="4"/>
        <v>12000000</v>
      </c>
      <c r="Q739" s="64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22"/>
      <c r="B740" s="67"/>
      <c r="C740" s="67"/>
      <c r="D740" s="35" t="s">
        <v>23</v>
      </c>
      <c r="E740" s="12"/>
      <c r="F740" s="13"/>
      <c r="G740" s="22"/>
      <c r="H740" s="22"/>
      <c r="I740" s="22"/>
      <c r="J740" s="22"/>
      <c r="K740" s="22"/>
      <c r="L740" s="26"/>
      <c r="M740" s="22"/>
      <c r="N740" s="61"/>
      <c r="O740" s="75">
        <f t="shared" si="3"/>
        <v>0</v>
      </c>
      <c r="P740" s="75">
        <f t="shared" si="4"/>
        <v>0</v>
      </c>
      <c r="Q740" s="64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22"/>
      <c r="B741" s="67"/>
      <c r="C741" s="67"/>
      <c r="D741" s="47" t="s">
        <v>24</v>
      </c>
      <c r="E741" s="35" t="s">
        <v>159</v>
      </c>
      <c r="F741" s="13"/>
      <c r="G741" s="36">
        <v>16.0</v>
      </c>
      <c r="H741" s="36" t="s">
        <v>26</v>
      </c>
      <c r="I741" s="48">
        <v>500000.0</v>
      </c>
      <c r="J741" s="46">
        <f t="shared" ref="J741:J742" si="288">G741*I741</f>
        <v>8000000</v>
      </c>
      <c r="K741" s="46"/>
      <c r="L741" s="26"/>
      <c r="M741" s="46"/>
      <c r="N741" s="61"/>
      <c r="O741" s="75">
        <f t="shared" si="3"/>
        <v>8000000</v>
      </c>
      <c r="P741" s="75">
        <f t="shared" si="4"/>
        <v>8000000</v>
      </c>
      <c r="Q741" s="64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22"/>
      <c r="B742" s="67"/>
      <c r="C742" s="67"/>
      <c r="D742" s="47" t="s">
        <v>24</v>
      </c>
      <c r="E742" s="35" t="s">
        <v>230</v>
      </c>
      <c r="F742" s="13"/>
      <c r="G742" s="36">
        <v>8.0</v>
      </c>
      <c r="H742" s="36" t="s">
        <v>26</v>
      </c>
      <c r="I742" s="48">
        <v>500000.0</v>
      </c>
      <c r="J742" s="46">
        <f t="shared" si="288"/>
        <v>4000000</v>
      </c>
      <c r="K742" s="46"/>
      <c r="L742" s="26"/>
      <c r="M742" s="46"/>
      <c r="N742" s="61"/>
      <c r="O742" s="75">
        <f t="shared" si="3"/>
        <v>4000000</v>
      </c>
      <c r="P742" s="75">
        <f t="shared" si="4"/>
        <v>4000000</v>
      </c>
      <c r="Q742" s="64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41" t="s">
        <v>37</v>
      </c>
      <c r="B743" s="12"/>
      <c r="C743" s="56"/>
      <c r="D743" s="41" t="s">
        <v>38</v>
      </c>
      <c r="E743" s="12"/>
      <c r="F743" s="13"/>
      <c r="G743" s="22"/>
      <c r="H743" s="22"/>
      <c r="I743" s="22"/>
      <c r="J743" s="43">
        <f t="shared" ref="J743:K743" si="289">J744+J749+J752</f>
        <v>24400000</v>
      </c>
      <c r="K743" s="43">
        <f t="shared" si="289"/>
        <v>0</v>
      </c>
      <c r="L743" s="26"/>
      <c r="M743" s="43">
        <f>M744+M749+M752</f>
        <v>931000</v>
      </c>
      <c r="N743" s="61"/>
      <c r="O743" s="75">
        <f t="shared" si="3"/>
        <v>24400000</v>
      </c>
      <c r="P743" s="75">
        <f t="shared" si="4"/>
        <v>23469000</v>
      </c>
      <c r="Q743" s="64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35" t="s">
        <v>40</v>
      </c>
      <c r="B744" s="12"/>
      <c r="C744" s="47"/>
      <c r="D744" s="44" t="s">
        <v>22</v>
      </c>
      <c r="E744" s="12"/>
      <c r="F744" s="13"/>
      <c r="G744" s="22"/>
      <c r="H744" s="22"/>
      <c r="I744" s="22"/>
      <c r="J744" s="46">
        <f t="shared" ref="J744:K744" si="290">SUM(J746:J748)</f>
        <v>6400000</v>
      </c>
      <c r="K744" s="46">
        <f t="shared" si="290"/>
        <v>0</v>
      </c>
      <c r="L744" s="26"/>
      <c r="M744" s="46">
        <f>SUM(M746:M748)</f>
        <v>81000</v>
      </c>
      <c r="N744" s="61"/>
      <c r="O744" s="75">
        <f t="shared" si="3"/>
        <v>6400000</v>
      </c>
      <c r="P744" s="75">
        <f t="shared" si="4"/>
        <v>6319000</v>
      </c>
      <c r="Q744" s="64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22"/>
      <c r="B745" s="67"/>
      <c r="C745" s="67"/>
      <c r="D745" s="35" t="s">
        <v>23</v>
      </c>
      <c r="E745" s="12"/>
      <c r="F745" s="13"/>
      <c r="G745" s="22"/>
      <c r="H745" s="22"/>
      <c r="I745" s="22"/>
      <c r="J745" s="22"/>
      <c r="K745" s="22"/>
      <c r="L745" s="26"/>
      <c r="M745" s="22"/>
      <c r="N745" s="61"/>
      <c r="O745" s="75">
        <f t="shared" si="3"/>
        <v>0</v>
      </c>
      <c r="P745" s="75">
        <f t="shared" si="4"/>
        <v>0</v>
      </c>
      <c r="Q745" s="64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22"/>
      <c r="B746" s="67"/>
      <c r="C746" s="67"/>
      <c r="D746" s="47" t="s">
        <v>24</v>
      </c>
      <c r="E746" s="35" t="s">
        <v>160</v>
      </c>
      <c r="F746" s="13"/>
      <c r="G746" s="36">
        <v>100.0</v>
      </c>
      <c r="H746" s="36" t="s">
        <v>26</v>
      </c>
      <c r="I746" s="48">
        <v>53000.0</v>
      </c>
      <c r="J746" s="46">
        <f t="shared" ref="J746:J748" si="291">G746*I746</f>
        <v>5300000</v>
      </c>
      <c r="K746" s="46"/>
      <c r="L746" s="26"/>
      <c r="M746" s="46"/>
      <c r="N746" s="61"/>
      <c r="O746" s="75">
        <f t="shared" si="3"/>
        <v>5300000</v>
      </c>
      <c r="P746" s="75">
        <f t="shared" si="4"/>
        <v>5300000</v>
      </c>
      <c r="Q746" s="64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22"/>
      <c r="B747" s="67"/>
      <c r="C747" s="67"/>
      <c r="D747" s="47" t="s">
        <v>24</v>
      </c>
      <c r="E747" s="35" t="s">
        <v>42</v>
      </c>
      <c r="F747" s="13"/>
      <c r="G747" s="36">
        <v>2.0</v>
      </c>
      <c r="H747" s="36" t="s">
        <v>26</v>
      </c>
      <c r="I747" s="48">
        <v>250000.0</v>
      </c>
      <c r="J747" s="46">
        <f t="shared" si="291"/>
        <v>500000</v>
      </c>
      <c r="K747" s="46"/>
      <c r="L747" s="26"/>
      <c r="M747" s="46"/>
      <c r="N747" s="61"/>
      <c r="O747" s="75">
        <f t="shared" si="3"/>
        <v>500000</v>
      </c>
      <c r="P747" s="75">
        <f t="shared" si="4"/>
        <v>500000</v>
      </c>
      <c r="Q747" s="64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22"/>
      <c r="B748" s="67"/>
      <c r="C748" s="67"/>
      <c r="D748" s="47" t="s">
        <v>24</v>
      </c>
      <c r="E748" s="35" t="s">
        <v>43</v>
      </c>
      <c r="F748" s="13"/>
      <c r="G748" s="36">
        <v>2.0</v>
      </c>
      <c r="H748" s="36" t="s">
        <v>26</v>
      </c>
      <c r="I748" s="48">
        <v>300000.0</v>
      </c>
      <c r="J748" s="46">
        <f t="shared" si="291"/>
        <v>600000</v>
      </c>
      <c r="K748" s="46"/>
      <c r="L748" s="26"/>
      <c r="M748" s="46">
        <v>81000.0</v>
      </c>
      <c r="N748" s="61"/>
      <c r="O748" s="75">
        <f t="shared" si="3"/>
        <v>600000</v>
      </c>
      <c r="P748" s="75">
        <f t="shared" si="4"/>
        <v>519000</v>
      </c>
      <c r="Q748" s="64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35" t="s">
        <v>44</v>
      </c>
      <c r="B749" s="12"/>
      <c r="C749" s="13"/>
      <c r="D749" s="44" t="s">
        <v>45</v>
      </c>
      <c r="E749" s="12"/>
      <c r="F749" s="13"/>
      <c r="G749" s="22"/>
      <c r="H749" s="22"/>
      <c r="I749" s="22"/>
      <c r="J749" s="46">
        <f t="shared" ref="J749:K749" si="292">J751</f>
        <v>2000000</v>
      </c>
      <c r="K749" s="46" t="str">
        <f t="shared" si="292"/>
        <v/>
      </c>
      <c r="L749" s="26"/>
      <c r="M749" s="46" t="str">
        <f>M751</f>
        <v/>
      </c>
      <c r="N749" s="61"/>
      <c r="O749" s="75">
        <f t="shared" si="3"/>
        <v>2000000</v>
      </c>
      <c r="P749" s="75">
        <f t="shared" si="4"/>
        <v>2000000</v>
      </c>
      <c r="Q749" s="64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22"/>
      <c r="B750" s="67"/>
      <c r="C750" s="67"/>
      <c r="D750" s="35" t="s">
        <v>23</v>
      </c>
      <c r="E750" s="12"/>
      <c r="F750" s="13"/>
      <c r="G750" s="22"/>
      <c r="H750" s="22"/>
      <c r="I750" s="22"/>
      <c r="J750" s="22"/>
      <c r="K750" s="22"/>
      <c r="L750" s="26"/>
      <c r="M750" s="22"/>
      <c r="N750" s="61"/>
      <c r="O750" s="75">
        <f t="shared" si="3"/>
        <v>0</v>
      </c>
      <c r="P750" s="75">
        <f t="shared" si="4"/>
        <v>0</v>
      </c>
      <c r="Q750" s="64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22"/>
      <c r="B751" s="67"/>
      <c r="C751" s="67"/>
      <c r="D751" s="47" t="s">
        <v>24</v>
      </c>
      <c r="E751" s="35" t="s">
        <v>161</v>
      </c>
      <c r="F751" s="13"/>
      <c r="G751" s="36">
        <v>4.0</v>
      </c>
      <c r="H751" s="36" t="s">
        <v>26</v>
      </c>
      <c r="I751" s="48">
        <v>500000.0</v>
      </c>
      <c r="J751" s="46">
        <f>G751*I751</f>
        <v>2000000</v>
      </c>
      <c r="K751" s="46"/>
      <c r="L751" s="26"/>
      <c r="M751" s="46"/>
      <c r="N751" s="61"/>
      <c r="O751" s="75">
        <f t="shared" si="3"/>
        <v>2000000</v>
      </c>
      <c r="P751" s="75">
        <f t="shared" si="4"/>
        <v>2000000</v>
      </c>
      <c r="Q751" s="64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35" t="s">
        <v>47</v>
      </c>
      <c r="B752" s="12"/>
      <c r="C752" s="13"/>
      <c r="D752" s="44" t="s">
        <v>48</v>
      </c>
      <c r="E752" s="12"/>
      <c r="F752" s="13"/>
      <c r="G752" s="22"/>
      <c r="H752" s="22"/>
      <c r="I752" s="22"/>
      <c r="J752" s="46">
        <f t="shared" ref="J752:K752" si="293">J754</f>
        <v>16000000</v>
      </c>
      <c r="K752" s="46" t="str">
        <f t="shared" si="293"/>
        <v/>
      </c>
      <c r="L752" s="26"/>
      <c r="M752" s="46">
        <f>M754</f>
        <v>850000</v>
      </c>
      <c r="N752" s="61"/>
      <c r="O752" s="75">
        <f t="shared" si="3"/>
        <v>16000000</v>
      </c>
      <c r="P752" s="75">
        <f t="shared" si="4"/>
        <v>15150000</v>
      </c>
      <c r="Q752" s="64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22"/>
      <c r="B753" s="67"/>
      <c r="C753" s="67"/>
      <c r="D753" s="35" t="s">
        <v>23</v>
      </c>
      <c r="E753" s="12"/>
      <c r="F753" s="13"/>
      <c r="G753" s="22"/>
      <c r="H753" s="22"/>
      <c r="I753" s="22"/>
      <c r="J753" s="22"/>
      <c r="K753" s="22"/>
      <c r="L753" s="26"/>
      <c r="M753" s="22"/>
      <c r="N753" s="61"/>
      <c r="O753" s="75">
        <f t="shared" si="3"/>
        <v>0</v>
      </c>
      <c r="P753" s="75">
        <f t="shared" si="4"/>
        <v>0</v>
      </c>
      <c r="Q753" s="64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22"/>
      <c r="B754" s="67"/>
      <c r="C754" s="67"/>
      <c r="D754" s="47" t="s">
        <v>24</v>
      </c>
      <c r="E754" s="35" t="s">
        <v>162</v>
      </c>
      <c r="F754" s="13"/>
      <c r="G754" s="36">
        <v>4.0</v>
      </c>
      <c r="H754" s="36" t="s">
        <v>26</v>
      </c>
      <c r="I754" s="48">
        <v>4000000.0</v>
      </c>
      <c r="J754" s="46">
        <f>G754*I754</f>
        <v>16000000</v>
      </c>
      <c r="K754" s="46"/>
      <c r="L754" s="26"/>
      <c r="M754" s="46">
        <v>850000.0</v>
      </c>
      <c r="N754" s="61"/>
      <c r="O754" s="75">
        <f t="shared" si="3"/>
        <v>16000000</v>
      </c>
      <c r="P754" s="75">
        <f t="shared" si="4"/>
        <v>15150000</v>
      </c>
      <c r="Q754" s="64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41" t="s">
        <v>50</v>
      </c>
      <c r="B755" s="12"/>
      <c r="C755" s="13"/>
      <c r="D755" s="41" t="s">
        <v>51</v>
      </c>
      <c r="E755" s="12"/>
      <c r="F755" s="13"/>
      <c r="G755" s="22"/>
      <c r="H755" s="22"/>
      <c r="I755" s="22"/>
      <c r="J755" s="43">
        <f t="shared" ref="J755:K755" si="294">J756+J762+J765</f>
        <v>56050000</v>
      </c>
      <c r="K755" s="43">
        <f t="shared" si="294"/>
        <v>0</v>
      </c>
      <c r="L755" s="26"/>
      <c r="M755" s="43">
        <f>M756+M762+M765</f>
        <v>0</v>
      </c>
      <c r="N755" s="61"/>
      <c r="O755" s="75">
        <f t="shared" si="3"/>
        <v>56050000</v>
      </c>
      <c r="P755" s="75">
        <f t="shared" si="4"/>
        <v>56050000</v>
      </c>
      <c r="Q755" s="64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35" t="s">
        <v>40</v>
      </c>
      <c r="B756" s="12"/>
      <c r="C756" s="13"/>
      <c r="D756" s="44" t="s">
        <v>22</v>
      </c>
      <c r="E756" s="12"/>
      <c r="F756" s="13"/>
      <c r="G756" s="22"/>
      <c r="H756" s="22"/>
      <c r="I756" s="22"/>
      <c r="J756" s="46">
        <f t="shared" ref="J756:K756" si="295">SUM(J758:J761)</f>
        <v>38050000</v>
      </c>
      <c r="K756" s="46">
        <f t="shared" si="295"/>
        <v>0</v>
      </c>
      <c r="L756" s="26"/>
      <c r="M756" s="46">
        <f>SUM(M758:M761)</f>
        <v>0</v>
      </c>
      <c r="N756" s="61"/>
      <c r="O756" s="75">
        <f t="shared" si="3"/>
        <v>38050000</v>
      </c>
      <c r="P756" s="75">
        <f t="shared" si="4"/>
        <v>38050000</v>
      </c>
      <c r="Q756" s="64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22"/>
      <c r="B757" s="67"/>
      <c r="C757" s="67"/>
      <c r="D757" s="35" t="s">
        <v>23</v>
      </c>
      <c r="E757" s="12"/>
      <c r="F757" s="13"/>
      <c r="G757" s="22"/>
      <c r="H757" s="22"/>
      <c r="I757" s="22"/>
      <c r="J757" s="22"/>
      <c r="K757" s="22"/>
      <c r="L757" s="26"/>
      <c r="M757" s="22"/>
      <c r="N757" s="61"/>
      <c r="O757" s="75">
        <f t="shared" si="3"/>
        <v>0</v>
      </c>
      <c r="P757" s="75">
        <f t="shared" si="4"/>
        <v>0</v>
      </c>
      <c r="Q757" s="64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22"/>
      <c r="B758" s="67"/>
      <c r="C758" s="67"/>
      <c r="D758" s="47" t="s">
        <v>24</v>
      </c>
      <c r="E758" s="35" t="s">
        <v>163</v>
      </c>
      <c r="F758" s="13"/>
      <c r="G758" s="36">
        <v>100.0</v>
      </c>
      <c r="H758" s="36" t="s">
        <v>26</v>
      </c>
      <c r="I758" s="48">
        <v>53000.0</v>
      </c>
      <c r="J758" s="46">
        <f t="shared" ref="J758:J761" si="296">G758*I758</f>
        <v>5300000</v>
      </c>
      <c r="K758" s="46"/>
      <c r="L758" s="26"/>
      <c r="M758" s="46"/>
      <c r="N758" s="61"/>
      <c r="O758" s="75">
        <f t="shared" si="3"/>
        <v>5300000</v>
      </c>
      <c r="P758" s="75">
        <f t="shared" si="4"/>
        <v>5300000</v>
      </c>
      <c r="Q758" s="64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22"/>
      <c r="B759" s="67"/>
      <c r="C759" s="67"/>
      <c r="D759" s="47" t="s">
        <v>24</v>
      </c>
      <c r="E759" s="35" t="s">
        <v>53</v>
      </c>
      <c r="F759" s="13"/>
      <c r="G759" s="36">
        <v>5.0</v>
      </c>
      <c r="H759" s="36" t="s">
        <v>26</v>
      </c>
      <c r="I759" s="48">
        <v>500000.0</v>
      </c>
      <c r="J759" s="46">
        <f t="shared" si="296"/>
        <v>2500000</v>
      </c>
      <c r="K759" s="46"/>
      <c r="L759" s="26"/>
      <c r="M759" s="46"/>
      <c r="N759" s="61"/>
      <c r="O759" s="75">
        <f t="shared" si="3"/>
        <v>2500000</v>
      </c>
      <c r="P759" s="75">
        <f t="shared" si="4"/>
        <v>2500000</v>
      </c>
      <c r="Q759" s="64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22"/>
      <c r="B760" s="67"/>
      <c r="C760" s="67"/>
      <c r="D760" s="47" t="s">
        <v>24</v>
      </c>
      <c r="E760" s="35" t="s">
        <v>54</v>
      </c>
      <c r="F760" s="13"/>
      <c r="G760" s="36">
        <v>1.0</v>
      </c>
      <c r="H760" s="36" t="s">
        <v>55</v>
      </c>
      <c r="I760" s="48">
        <v>250000.0</v>
      </c>
      <c r="J760" s="46">
        <f t="shared" si="296"/>
        <v>250000</v>
      </c>
      <c r="K760" s="46"/>
      <c r="L760" s="26"/>
      <c r="M760" s="46"/>
      <c r="N760" s="61"/>
      <c r="O760" s="75">
        <f t="shared" si="3"/>
        <v>250000</v>
      </c>
      <c r="P760" s="75">
        <f t="shared" si="4"/>
        <v>250000</v>
      </c>
      <c r="Q760" s="64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22"/>
      <c r="B761" s="67"/>
      <c r="C761" s="67"/>
      <c r="D761" s="47" t="s">
        <v>24</v>
      </c>
      <c r="E761" s="35" t="s">
        <v>164</v>
      </c>
      <c r="F761" s="13"/>
      <c r="G761" s="36">
        <v>100.0</v>
      </c>
      <c r="H761" s="36" t="s">
        <v>26</v>
      </c>
      <c r="I761" s="48">
        <v>300000.0</v>
      </c>
      <c r="J761" s="46">
        <f t="shared" si="296"/>
        <v>30000000</v>
      </c>
      <c r="K761" s="46"/>
      <c r="L761" s="26"/>
      <c r="M761" s="46"/>
      <c r="N761" s="61"/>
      <c r="O761" s="75">
        <f t="shared" si="3"/>
        <v>30000000</v>
      </c>
      <c r="P761" s="75">
        <f t="shared" si="4"/>
        <v>30000000</v>
      </c>
      <c r="Q761" s="64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35" t="s">
        <v>47</v>
      </c>
      <c r="B762" s="12"/>
      <c r="C762" s="47"/>
      <c r="D762" s="44" t="s">
        <v>48</v>
      </c>
      <c r="E762" s="12"/>
      <c r="F762" s="13"/>
      <c r="G762" s="22"/>
      <c r="H762" s="22"/>
      <c r="I762" s="22"/>
      <c r="J762" s="46">
        <f t="shared" ref="J762:K762" si="297">J764</f>
        <v>16000000</v>
      </c>
      <c r="K762" s="46" t="str">
        <f t="shared" si="297"/>
        <v/>
      </c>
      <c r="L762" s="26"/>
      <c r="M762" s="46" t="str">
        <f>M764</f>
        <v/>
      </c>
      <c r="N762" s="61"/>
      <c r="O762" s="75">
        <f t="shared" si="3"/>
        <v>16000000</v>
      </c>
      <c r="P762" s="75">
        <f t="shared" si="4"/>
        <v>16000000</v>
      </c>
      <c r="Q762" s="64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22"/>
      <c r="B763" s="67"/>
      <c r="C763" s="67"/>
      <c r="D763" s="35" t="s">
        <v>23</v>
      </c>
      <c r="E763" s="12"/>
      <c r="F763" s="13"/>
      <c r="G763" s="22"/>
      <c r="H763" s="22"/>
      <c r="I763" s="22"/>
      <c r="J763" s="22"/>
      <c r="K763" s="22"/>
      <c r="L763" s="26"/>
      <c r="M763" s="22"/>
      <c r="N763" s="61"/>
      <c r="O763" s="75">
        <f t="shared" si="3"/>
        <v>0</v>
      </c>
      <c r="P763" s="75">
        <f t="shared" si="4"/>
        <v>0</v>
      </c>
      <c r="Q763" s="64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22"/>
      <c r="B764" s="67"/>
      <c r="C764" s="67"/>
      <c r="D764" s="47" t="s">
        <v>24</v>
      </c>
      <c r="E764" s="35" t="s">
        <v>165</v>
      </c>
      <c r="F764" s="13"/>
      <c r="G764" s="36">
        <v>4.0</v>
      </c>
      <c r="H764" s="36" t="s">
        <v>26</v>
      </c>
      <c r="I764" s="48">
        <v>4000000.0</v>
      </c>
      <c r="J764" s="46">
        <f>G764*I764</f>
        <v>16000000</v>
      </c>
      <c r="K764" s="46"/>
      <c r="L764" s="26"/>
      <c r="M764" s="46"/>
      <c r="N764" s="61"/>
      <c r="O764" s="75">
        <f t="shared" si="3"/>
        <v>16000000</v>
      </c>
      <c r="P764" s="75">
        <f t="shared" si="4"/>
        <v>16000000</v>
      </c>
      <c r="Q764" s="64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35" t="s">
        <v>58</v>
      </c>
      <c r="B765" s="12"/>
      <c r="C765" s="47"/>
      <c r="D765" s="44" t="s">
        <v>34</v>
      </c>
      <c r="E765" s="12"/>
      <c r="F765" s="13"/>
      <c r="G765" s="22"/>
      <c r="H765" s="22"/>
      <c r="I765" s="22"/>
      <c r="J765" s="46">
        <f t="shared" ref="J765:K765" si="298">J767</f>
        <v>2000000</v>
      </c>
      <c r="K765" s="46" t="str">
        <f t="shared" si="298"/>
        <v/>
      </c>
      <c r="L765" s="26"/>
      <c r="M765" s="46" t="str">
        <f>M767</f>
        <v/>
      </c>
      <c r="N765" s="61"/>
      <c r="O765" s="75">
        <f t="shared" si="3"/>
        <v>2000000</v>
      </c>
      <c r="P765" s="75">
        <f t="shared" si="4"/>
        <v>2000000</v>
      </c>
      <c r="Q765" s="64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22"/>
      <c r="B766" s="67"/>
      <c r="C766" s="67"/>
      <c r="D766" s="35" t="s">
        <v>23</v>
      </c>
      <c r="E766" s="12"/>
      <c r="F766" s="13"/>
      <c r="G766" s="22"/>
      <c r="H766" s="22"/>
      <c r="I766" s="22"/>
      <c r="J766" s="22"/>
      <c r="K766" s="22"/>
      <c r="L766" s="26"/>
      <c r="M766" s="22"/>
      <c r="N766" s="61"/>
      <c r="O766" s="75">
        <f t="shared" si="3"/>
        <v>0</v>
      </c>
      <c r="P766" s="75">
        <f t="shared" si="4"/>
        <v>0</v>
      </c>
      <c r="Q766" s="64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22"/>
      <c r="B767" s="67"/>
      <c r="C767" s="67"/>
      <c r="D767" s="47" t="s">
        <v>24</v>
      </c>
      <c r="E767" s="35" t="s">
        <v>59</v>
      </c>
      <c r="F767" s="13"/>
      <c r="G767" s="36">
        <v>4.0</v>
      </c>
      <c r="H767" s="36" t="s">
        <v>26</v>
      </c>
      <c r="I767" s="48">
        <v>500000.0</v>
      </c>
      <c r="J767" s="46">
        <f>G767*I767</f>
        <v>2000000</v>
      </c>
      <c r="K767" s="46"/>
      <c r="L767" s="26"/>
      <c r="M767" s="46"/>
      <c r="N767" s="61"/>
      <c r="O767" s="75">
        <f t="shared" si="3"/>
        <v>2000000</v>
      </c>
      <c r="P767" s="75">
        <f t="shared" si="4"/>
        <v>2000000</v>
      </c>
      <c r="Q767" s="64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41" t="s">
        <v>60</v>
      </c>
      <c r="B768" s="12"/>
      <c r="C768" s="56"/>
      <c r="D768" s="41" t="s">
        <v>61</v>
      </c>
      <c r="E768" s="12"/>
      <c r="F768" s="13"/>
      <c r="G768" s="22"/>
      <c r="H768" s="22"/>
      <c r="I768" s="22"/>
      <c r="J768" s="43">
        <f t="shared" ref="J768:K768" si="299">J769+J772+J776+J779+J782</f>
        <v>220800000</v>
      </c>
      <c r="K768" s="43">
        <f t="shared" si="299"/>
        <v>0</v>
      </c>
      <c r="L768" s="26"/>
      <c r="M768" s="43">
        <f>M769+M772+M776+M779+M782</f>
        <v>24033387</v>
      </c>
      <c r="N768" s="61"/>
      <c r="O768" s="75">
        <f t="shared" si="3"/>
        <v>220800000</v>
      </c>
      <c r="P768" s="75">
        <f t="shared" si="4"/>
        <v>196766613</v>
      </c>
      <c r="Q768" s="64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35" t="s">
        <v>40</v>
      </c>
      <c r="B769" s="12"/>
      <c r="C769" s="47"/>
      <c r="D769" s="44" t="s">
        <v>22</v>
      </c>
      <c r="E769" s="12"/>
      <c r="F769" s="13"/>
      <c r="G769" s="22"/>
      <c r="H769" s="22"/>
      <c r="I769" s="22"/>
      <c r="J769" s="46">
        <f t="shared" ref="J769:K769" si="300">J771</f>
        <v>31800000</v>
      </c>
      <c r="K769" s="46" t="str">
        <f t="shared" si="300"/>
        <v/>
      </c>
      <c r="L769" s="26"/>
      <c r="M769" s="46">
        <f>M771</f>
        <v>406000</v>
      </c>
      <c r="N769" s="61"/>
      <c r="O769" s="75">
        <f t="shared" si="3"/>
        <v>31800000</v>
      </c>
      <c r="P769" s="75">
        <f t="shared" si="4"/>
        <v>31394000</v>
      </c>
      <c r="Q769" s="64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22"/>
      <c r="B770" s="67"/>
      <c r="C770" s="67"/>
      <c r="D770" s="35" t="s">
        <v>23</v>
      </c>
      <c r="E770" s="12"/>
      <c r="F770" s="13"/>
      <c r="G770" s="22"/>
      <c r="H770" s="22"/>
      <c r="I770" s="22"/>
      <c r="J770" s="22"/>
      <c r="K770" s="22"/>
      <c r="L770" s="26"/>
      <c r="M770" s="22"/>
      <c r="N770" s="61"/>
      <c r="O770" s="75">
        <f t="shared" si="3"/>
        <v>0</v>
      </c>
      <c r="P770" s="75">
        <f t="shared" si="4"/>
        <v>0</v>
      </c>
      <c r="Q770" s="64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22"/>
      <c r="B771" s="67"/>
      <c r="C771" s="67"/>
      <c r="D771" s="47" t="s">
        <v>24</v>
      </c>
      <c r="E771" s="35" t="s">
        <v>166</v>
      </c>
      <c r="F771" s="13"/>
      <c r="G771" s="36">
        <v>600.0</v>
      </c>
      <c r="H771" s="36" t="s">
        <v>26</v>
      </c>
      <c r="I771" s="48">
        <v>53000.0</v>
      </c>
      <c r="J771" s="46">
        <f>G771*I771</f>
        <v>31800000</v>
      </c>
      <c r="K771" s="46"/>
      <c r="L771" s="26"/>
      <c r="M771" s="46">
        <v>406000.0</v>
      </c>
      <c r="N771" s="61"/>
      <c r="O771" s="75">
        <f t="shared" si="3"/>
        <v>31800000</v>
      </c>
      <c r="P771" s="75">
        <f t="shared" si="4"/>
        <v>31394000</v>
      </c>
      <c r="Q771" s="64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35" t="s">
        <v>63</v>
      </c>
      <c r="B772" s="12"/>
      <c r="C772" s="47"/>
      <c r="D772" s="44" t="s">
        <v>64</v>
      </c>
      <c r="E772" s="12"/>
      <c r="F772" s="13"/>
      <c r="G772" s="22"/>
      <c r="H772" s="22"/>
      <c r="I772" s="22"/>
      <c r="J772" s="46">
        <f t="shared" ref="J772:K772" si="301">SUM(J774:J775)</f>
        <v>115000000</v>
      </c>
      <c r="K772" s="46">
        <f t="shared" si="301"/>
        <v>0</v>
      </c>
      <c r="L772" s="26"/>
      <c r="M772" s="46">
        <f>SUM(M774:M775)</f>
        <v>16669869</v>
      </c>
      <c r="N772" s="61"/>
      <c r="O772" s="75">
        <f t="shared" si="3"/>
        <v>115000000</v>
      </c>
      <c r="P772" s="75">
        <f t="shared" si="4"/>
        <v>98330131</v>
      </c>
      <c r="Q772" s="64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22"/>
      <c r="B773" s="67"/>
      <c r="C773" s="67"/>
      <c r="D773" s="35" t="s">
        <v>23</v>
      </c>
      <c r="E773" s="12"/>
      <c r="F773" s="13"/>
      <c r="G773" s="22"/>
      <c r="H773" s="22"/>
      <c r="I773" s="22"/>
      <c r="J773" s="22"/>
      <c r="K773" s="22"/>
      <c r="L773" s="26"/>
      <c r="M773" s="22"/>
      <c r="N773" s="61"/>
      <c r="O773" s="75">
        <f t="shared" si="3"/>
        <v>0</v>
      </c>
      <c r="P773" s="75">
        <f t="shared" si="4"/>
        <v>0</v>
      </c>
      <c r="Q773" s="64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22"/>
      <c r="B774" s="67"/>
      <c r="C774" s="67"/>
      <c r="D774" s="47" t="s">
        <v>24</v>
      </c>
      <c r="E774" s="35" t="s">
        <v>231</v>
      </c>
      <c r="F774" s="13"/>
      <c r="G774" s="36">
        <v>1.0</v>
      </c>
      <c r="H774" s="36" t="s">
        <v>97</v>
      </c>
      <c r="I774" s="48">
        <v>9.5E7</v>
      </c>
      <c r="J774" s="46">
        <f t="shared" ref="J774:J775" si="302">G774*I774</f>
        <v>95000000</v>
      </c>
      <c r="K774" s="46"/>
      <c r="L774" s="26"/>
      <c r="M774" s="46">
        <v>1.6669869E7</v>
      </c>
      <c r="N774" s="61"/>
      <c r="O774" s="75">
        <f t="shared" si="3"/>
        <v>95000000</v>
      </c>
      <c r="P774" s="75">
        <f t="shared" si="4"/>
        <v>78330131</v>
      </c>
      <c r="Q774" s="64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22"/>
      <c r="B775" s="67"/>
      <c r="C775" s="67"/>
      <c r="D775" s="47" t="s">
        <v>24</v>
      </c>
      <c r="E775" s="35" t="s">
        <v>167</v>
      </c>
      <c r="F775" s="13"/>
      <c r="G775" s="36">
        <v>100.0</v>
      </c>
      <c r="H775" s="36" t="s">
        <v>26</v>
      </c>
      <c r="I775" s="48">
        <v>200000.0</v>
      </c>
      <c r="J775" s="46">
        <f t="shared" si="302"/>
        <v>20000000</v>
      </c>
      <c r="K775" s="46"/>
      <c r="L775" s="26"/>
      <c r="M775" s="46"/>
      <c r="N775" s="61"/>
      <c r="O775" s="75">
        <f t="shared" si="3"/>
        <v>20000000</v>
      </c>
      <c r="P775" s="75">
        <f t="shared" si="4"/>
        <v>20000000</v>
      </c>
      <c r="Q775" s="64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35" t="s">
        <v>68</v>
      </c>
      <c r="B776" s="12"/>
      <c r="C776" s="13"/>
      <c r="D776" s="44" t="s">
        <v>69</v>
      </c>
      <c r="E776" s="12"/>
      <c r="F776" s="13"/>
      <c r="G776" s="22"/>
      <c r="H776" s="22"/>
      <c r="I776" s="22"/>
      <c r="J776" s="46">
        <f t="shared" ref="J776:K776" si="303">J778</f>
        <v>10000000</v>
      </c>
      <c r="K776" s="46" t="str">
        <f t="shared" si="303"/>
        <v/>
      </c>
      <c r="L776" s="26"/>
      <c r="M776" s="46">
        <f>M778</f>
        <v>957518</v>
      </c>
      <c r="N776" s="61"/>
      <c r="O776" s="75">
        <f t="shared" si="3"/>
        <v>10000000</v>
      </c>
      <c r="P776" s="75">
        <f t="shared" si="4"/>
        <v>9042482</v>
      </c>
      <c r="Q776" s="64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22"/>
      <c r="B777" s="67"/>
      <c r="C777" s="67"/>
      <c r="D777" s="35" t="s">
        <v>23</v>
      </c>
      <c r="E777" s="12"/>
      <c r="F777" s="13"/>
      <c r="G777" s="22"/>
      <c r="H777" s="22"/>
      <c r="I777" s="22"/>
      <c r="J777" s="22"/>
      <c r="K777" s="22"/>
      <c r="L777" s="26"/>
      <c r="M777" s="22"/>
      <c r="N777" s="61"/>
      <c r="O777" s="75">
        <f t="shared" si="3"/>
        <v>0</v>
      </c>
      <c r="P777" s="75">
        <f t="shared" si="4"/>
        <v>0</v>
      </c>
      <c r="Q777" s="64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22"/>
      <c r="B778" s="67"/>
      <c r="C778" s="67"/>
      <c r="D778" s="47" t="s">
        <v>24</v>
      </c>
      <c r="E778" s="35" t="s">
        <v>70</v>
      </c>
      <c r="F778" s="13"/>
      <c r="G778" s="36">
        <v>20.0</v>
      </c>
      <c r="H778" s="36" t="s">
        <v>26</v>
      </c>
      <c r="I778" s="48">
        <v>500000.0</v>
      </c>
      <c r="J778" s="46">
        <f>G778*I778</f>
        <v>10000000</v>
      </c>
      <c r="K778" s="46"/>
      <c r="L778" s="26"/>
      <c r="M778" s="46">
        <v>957518.0</v>
      </c>
      <c r="N778" s="61"/>
      <c r="O778" s="75">
        <f t="shared" si="3"/>
        <v>10000000</v>
      </c>
      <c r="P778" s="75">
        <f t="shared" si="4"/>
        <v>9042482</v>
      </c>
      <c r="Q778" s="64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35" t="s">
        <v>47</v>
      </c>
      <c r="B779" s="12"/>
      <c r="C779" s="13"/>
      <c r="D779" s="44" t="s">
        <v>48</v>
      </c>
      <c r="E779" s="12"/>
      <c r="F779" s="13"/>
      <c r="G779" s="22"/>
      <c r="H779" s="22"/>
      <c r="I779" s="22"/>
      <c r="J779" s="46">
        <f t="shared" ref="J779:K779" si="304">J781</f>
        <v>16000000</v>
      </c>
      <c r="K779" s="46" t="str">
        <f t="shared" si="304"/>
        <v/>
      </c>
      <c r="L779" s="26"/>
      <c r="M779" s="46" t="str">
        <f>M781</f>
        <v/>
      </c>
      <c r="N779" s="61"/>
      <c r="O779" s="75">
        <f t="shared" si="3"/>
        <v>16000000</v>
      </c>
      <c r="P779" s="75">
        <f t="shared" si="4"/>
        <v>16000000</v>
      </c>
      <c r="Q779" s="64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22"/>
      <c r="B780" s="67"/>
      <c r="C780" s="67"/>
      <c r="D780" s="35" t="s">
        <v>23</v>
      </c>
      <c r="E780" s="12"/>
      <c r="F780" s="13"/>
      <c r="G780" s="22"/>
      <c r="H780" s="22"/>
      <c r="I780" s="22"/>
      <c r="J780" s="22"/>
      <c r="K780" s="22"/>
      <c r="L780" s="26"/>
      <c r="M780" s="22"/>
      <c r="N780" s="61"/>
      <c r="O780" s="75">
        <f t="shared" si="3"/>
        <v>0</v>
      </c>
      <c r="P780" s="75">
        <f t="shared" si="4"/>
        <v>0</v>
      </c>
      <c r="Q780" s="64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22"/>
      <c r="B781" s="67"/>
      <c r="C781" s="67"/>
      <c r="D781" s="47" t="s">
        <v>24</v>
      </c>
      <c r="E781" s="35" t="s">
        <v>165</v>
      </c>
      <c r="F781" s="13"/>
      <c r="G781" s="36">
        <v>4.0</v>
      </c>
      <c r="H781" s="36" t="s">
        <v>26</v>
      </c>
      <c r="I781" s="48">
        <v>4000000.0</v>
      </c>
      <c r="J781" s="46">
        <f>G781*I781</f>
        <v>16000000</v>
      </c>
      <c r="K781" s="46"/>
      <c r="L781" s="26"/>
      <c r="M781" s="46"/>
      <c r="N781" s="61"/>
      <c r="O781" s="75">
        <f t="shared" si="3"/>
        <v>16000000</v>
      </c>
      <c r="P781" s="75">
        <f t="shared" si="4"/>
        <v>16000000</v>
      </c>
      <c r="Q781" s="64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35" t="s">
        <v>58</v>
      </c>
      <c r="B782" s="12"/>
      <c r="C782" s="13"/>
      <c r="D782" s="44" t="s">
        <v>34</v>
      </c>
      <c r="E782" s="12"/>
      <c r="F782" s="13"/>
      <c r="G782" s="22"/>
      <c r="H782" s="22"/>
      <c r="I782" s="22"/>
      <c r="J782" s="46">
        <f t="shared" ref="J782:K782" si="305">J784</f>
        <v>48000000</v>
      </c>
      <c r="K782" s="46" t="str">
        <f t="shared" si="305"/>
        <v/>
      </c>
      <c r="L782" s="26"/>
      <c r="M782" s="46">
        <f>M784</f>
        <v>6000000</v>
      </c>
      <c r="N782" s="61"/>
      <c r="O782" s="75">
        <f t="shared" si="3"/>
        <v>48000000</v>
      </c>
      <c r="P782" s="75">
        <f t="shared" si="4"/>
        <v>42000000</v>
      </c>
      <c r="Q782" s="64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22"/>
      <c r="B783" s="67"/>
      <c r="C783" s="67"/>
      <c r="D783" s="35" t="s">
        <v>23</v>
      </c>
      <c r="E783" s="12"/>
      <c r="F783" s="13"/>
      <c r="G783" s="22"/>
      <c r="H783" s="22"/>
      <c r="I783" s="22"/>
      <c r="J783" s="22"/>
      <c r="K783" s="22"/>
      <c r="L783" s="26"/>
      <c r="M783" s="22"/>
      <c r="N783" s="61"/>
      <c r="O783" s="75">
        <f t="shared" si="3"/>
        <v>0</v>
      </c>
      <c r="P783" s="75">
        <f t="shared" si="4"/>
        <v>0</v>
      </c>
      <c r="Q783" s="64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22"/>
      <c r="B784" s="67"/>
      <c r="C784" s="67"/>
      <c r="D784" s="47" t="s">
        <v>24</v>
      </c>
      <c r="E784" s="35" t="s">
        <v>71</v>
      </c>
      <c r="F784" s="13"/>
      <c r="G784" s="36">
        <v>96.0</v>
      </c>
      <c r="H784" s="36" t="s">
        <v>26</v>
      </c>
      <c r="I784" s="48">
        <v>500000.0</v>
      </c>
      <c r="J784" s="46">
        <f>G784*I784</f>
        <v>48000000</v>
      </c>
      <c r="K784" s="46"/>
      <c r="L784" s="26"/>
      <c r="M784" s="46">
        <v>6000000.0</v>
      </c>
      <c r="N784" s="61"/>
      <c r="O784" s="75">
        <f t="shared" si="3"/>
        <v>48000000</v>
      </c>
      <c r="P784" s="75">
        <f t="shared" si="4"/>
        <v>42000000</v>
      </c>
      <c r="Q784" s="64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41" t="s">
        <v>72</v>
      </c>
      <c r="B785" s="12"/>
      <c r="C785" s="13"/>
      <c r="D785" s="41" t="s">
        <v>73</v>
      </c>
      <c r="E785" s="12"/>
      <c r="F785" s="13"/>
      <c r="G785" s="22"/>
      <c r="H785" s="22"/>
      <c r="I785" s="22"/>
      <c r="J785" s="43">
        <f t="shared" ref="J785:K785" si="306">J786+J791</f>
        <v>151200000</v>
      </c>
      <c r="K785" s="43">
        <f t="shared" si="306"/>
        <v>0</v>
      </c>
      <c r="L785" s="26"/>
      <c r="M785" s="43">
        <f>M786+M791</f>
        <v>38765000</v>
      </c>
      <c r="N785" s="61"/>
      <c r="O785" s="75">
        <f t="shared" si="3"/>
        <v>151200000</v>
      </c>
      <c r="P785" s="75">
        <f t="shared" si="4"/>
        <v>112435000</v>
      </c>
      <c r="Q785" s="64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35" t="s">
        <v>74</v>
      </c>
      <c r="B786" s="12"/>
      <c r="C786" s="13"/>
      <c r="D786" s="44" t="s">
        <v>75</v>
      </c>
      <c r="E786" s="12"/>
      <c r="F786" s="13"/>
      <c r="G786" s="22"/>
      <c r="H786" s="22"/>
      <c r="I786" s="22"/>
      <c r="J786" s="46">
        <f t="shared" ref="J786:K786" si="307">SUM(J788:J790)</f>
        <v>142700000</v>
      </c>
      <c r="K786" s="46">
        <f t="shared" si="307"/>
        <v>0</v>
      </c>
      <c r="L786" s="26"/>
      <c r="M786" s="46">
        <f>SUM(M788:M790)</f>
        <v>38765000</v>
      </c>
      <c r="N786" s="61"/>
      <c r="O786" s="75">
        <f t="shared" si="3"/>
        <v>142700000</v>
      </c>
      <c r="P786" s="75">
        <f t="shared" si="4"/>
        <v>103935000</v>
      </c>
      <c r="Q786" s="64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22"/>
      <c r="B787" s="67"/>
      <c r="C787" s="67"/>
      <c r="D787" s="35" t="s">
        <v>23</v>
      </c>
      <c r="E787" s="12"/>
      <c r="F787" s="13"/>
      <c r="G787" s="22"/>
      <c r="H787" s="22"/>
      <c r="I787" s="22"/>
      <c r="J787" s="22"/>
      <c r="K787" s="22"/>
      <c r="L787" s="26"/>
      <c r="M787" s="22"/>
      <c r="N787" s="61"/>
      <c r="O787" s="75">
        <f t="shared" si="3"/>
        <v>0</v>
      </c>
      <c r="P787" s="75">
        <f t="shared" si="4"/>
        <v>0</v>
      </c>
      <c r="Q787" s="64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22"/>
      <c r="B788" s="67"/>
      <c r="C788" s="67"/>
      <c r="D788" s="47" t="s">
        <v>24</v>
      </c>
      <c r="E788" s="35" t="s">
        <v>76</v>
      </c>
      <c r="F788" s="13"/>
      <c r="G788" s="36">
        <v>20.0</v>
      </c>
      <c r="H788" s="36" t="s">
        <v>26</v>
      </c>
      <c r="I788" s="48">
        <v>5000000.0</v>
      </c>
      <c r="J788" s="46">
        <f t="shared" ref="J788:J790" si="308">G788*I788</f>
        <v>100000000</v>
      </c>
      <c r="K788" s="46"/>
      <c r="L788" s="26"/>
      <c r="M788" s="46">
        <v>3.0E7</v>
      </c>
      <c r="N788" s="61"/>
      <c r="O788" s="75">
        <f t="shared" si="3"/>
        <v>100000000</v>
      </c>
      <c r="P788" s="75">
        <f t="shared" si="4"/>
        <v>70000000</v>
      </c>
      <c r="Q788" s="64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22"/>
      <c r="B789" s="67"/>
      <c r="C789" s="67"/>
      <c r="D789" s="47" t="s">
        <v>24</v>
      </c>
      <c r="E789" s="35" t="s">
        <v>77</v>
      </c>
      <c r="F789" s="13"/>
      <c r="G789" s="36">
        <v>30.0</v>
      </c>
      <c r="H789" s="36" t="s">
        <v>26</v>
      </c>
      <c r="I789" s="48">
        <v>850000.0</v>
      </c>
      <c r="J789" s="46">
        <f t="shared" si="308"/>
        <v>25500000</v>
      </c>
      <c r="K789" s="46"/>
      <c r="L789" s="26"/>
      <c r="M789" s="46">
        <v>6000000.0</v>
      </c>
      <c r="N789" s="61"/>
      <c r="O789" s="75">
        <f t="shared" si="3"/>
        <v>25500000</v>
      </c>
      <c r="P789" s="75">
        <f t="shared" si="4"/>
        <v>19500000</v>
      </c>
      <c r="Q789" s="64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22"/>
      <c r="B790" s="67"/>
      <c r="C790" s="67"/>
      <c r="D790" s="47" t="s">
        <v>24</v>
      </c>
      <c r="E790" s="35" t="s">
        <v>78</v>
      </c>
      <c r="F790" s="13"/>
      <c r="G790" s="36">
        <v>40.0</v>
      </c>
      <c r="H790" s="36" t="s">
        <v>26</v>
      </c>
      <c r="I790" s="48">
        <v>430000.0</v>
      </c>
      <c r="J790" s="46">
        <f t="shared" si="308"/>
        <v>17200000</v>
      </c>
      <c r="K790" s="46"/>
      <c r="L790" s="26"/>
      <c r="M790" s="46">
        <v>2765000.0</v>
      </c>
      <c r="N790" s="61"/>
      <c r="O790" s="75">
        <f t="shared" si="3"/>
        <v>17200000</v>
      </c>
      <c r="P790" s="75">
        <f t="shared" si="4"/>
        <v>14435000</v>
      </c>
      <c r="Q790" s="64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35" t="s">
        <v>79</v>
      </c>
      <c r="B791" s="12"/>
      <c r="C791" s="47"/>
      <c r="D791" s="44" t="s">
        <v>80</v>
      </c>
      <c r="E791" s="12"/>
      <c r="F791" s="13"/>
      <c r="G791" s="22"/>
      <c r="H791" s="22"/>
      <c r="I791" s="22"/>
      <c r="J791" s="46">
        <f t="shared" ref="J791:K791" si="309">J793</f>
        <v>8500000</v>
      </c>
      <c r="K791" s="46" t="str">
        <f t="shared" si="309"/>
        <v/>
      </c>
      <c r="L791" s="26"/>
      <c r="M791" s="46" t="str">
        <f>M793</f>
        <v/>
      </c>
      <c r="N791" s="61"/>
      <c r="O791" s="75">
        <f t="shared" si="3"/>
        <v>8500000</v>
      </c>
      <c r="P791" s="75">
        <f t="shared" si="4"/>
        <v>8500000</v>
      </c>
      <c r="Q791" s="64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22"/>
      <c r="B792" s="67"/>
      <c r="C792" s="67"/>
      <c r="D792" s="35" t="s">
        <v>23</v>
      </c>
      <c r="E792" s="12"/>
      <c r="F792" s="13"/>
      <c r="G792" s="22"/>
      <c r="H792" s="22"/>
      <c r="I792" s="22"/>
      <c r="J792" s="22"/>
      <c r="K792" s="22"/>
      <c r="L792" s="26"/>
      <c r="M792" s="22"/>
      <c r="N792" s="61"/>
      <c r="O792" s="75">
        <f t="shared" si="3"/>
        <v>0</v>
      </c>
      <c r="P792" s="75">
        <f t="shared" si="4"/>
        <v>0</v>
      </c>
      <c r="Q792" s="64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22"/>
      <c r="B793" s="67"/>
      <c r="C793" s="67"/>
      <c r="D793" s="47" t="s">
        <v>24</v>
      </c>
      <c r="E793" s="35" t="s">
        <v>81</v>
      </c>
      <c r="F793" s="13"/>
      <c r="G793" s="36">
        <v>50.0</v>
      </c>
      <c r="H793" s="36" t="s">
        <v>26</v>
      </c>
      <c r="I793" s="48">
        <v>170000.0</v>
      </c>
      <c r="J793" s="46">
        <f>G793*I793</f>
        <v>8500000</v>
      </c>
      <c r="K793" s="46"/>
      <c r="L793" s="26"/>
      <c r="M793" s="46"/>
      <c r="N793" s="61"/>
      <c r="O793" s="75">
        <f t="shared" si="3"/>
        <v>8500000</v>
      </c>
      <c r="P793" s="75">
        <f t="shared" si="4"/>
        <v>8500000</v>
      </c>
      <c r="Q793" s="64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41" t="s">
        <v>82</v>
      </c>
      <c r="B794" s="12"/>
      <c r="C794" s="56"/>
      <c r="D794" s="41" t="s">
        <v>83</v>
      </c>
      <c r="E794" s="12"/>
      <c r="F794" s="13"/>
      <c r="G794" s="22"/>
      <c r="H794" s="22"/>
      <c r="I794" s="22"/>
      <c r="J794" s="43">
        <f t="shared" ref="J794:K794" si="310">J795+J800</f>
        <v>1434000000</v>
      </c>
      <c r="K794" s="43">
        <f t="shared" si="310"/>
        <v>73800000</v>
      </c>
      <c r="L794" s="26"/>
      <c r="M794" s="43">
        <f>M795+M800</f>
        <v>869245000</v>
      </c>
      <c r="N794" s="61"/>
      <c r="O794" s="75">
        <f t="shared" si="3"/>
        <v>1360200000</v>
      </c>
      <c r="P794" s="75">
        <f t="shared" si="4"/>
        <v>564755000</v>
      </c>
      <c r="Q794" s="64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35" t="s">
        <v>84</v>
      </c>
      <c r="B795" s="12"/>
      <c r="C795" s="47"/>
      <c r="D795" s="44" t="s">
        <v>85</v>
      </c>
      <c r="E795" s="12"/>
      <c r="F795" s="13"/>
      <c r="G795" s="22"/>
      <c r="H795" s="22"/>
      <c r="I795" s="22"/>
      <c r="J795" s="46">
        <f t="shared" ref="J795:K795" si="311">SUM(J797:J799)</f>
        <v>1320000000</v>
      </c>
      <c r="K795" s="46">
        <f t="shared" si="311"/>
        <v>73800000</v>
      </c>
      <c r="L795" s="26"/>
      <c r="M795" s="46">
        <f>SUM(M797:M799)</f>
        <v>869245000</v>
      </c>
      <c r="N795" s="61"/>
      <c r="O795" s="75">
        <f t="shared" si="3"/>
        <v>1246200000</v>
      </c>
      <c r="P795" s="75">
        <f t="shared" si="4"/>
        <v>450755000</v>
      </c>
      <c r="Q795" s="64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22"/>
      <c r="B796" s="67"/>
      <c r="C796" s="67"/>
      <c r="D796" s="35" t="s">
        <v>23</v>
      </c>
      <c r="E796" s="12"/>
      <c r="F796" s="13"/>
      <c r="G796" s="22"/>
      <c r="H796" s="22"/>
      <c r="I796" s="22"/>
      <c r="J796" s="22"/>
      <c r="K796" s="22"/>
      <c r="L796" s="26"/>
      <c r="M796" s="22"/>
      <c r="N796" s="61"/>
      <c r="O796" s="75">
        <f t="shared" si="3"/>
        <v>0</v>
      </c>
      <c r="P796" s="75">
        <f t="shared" si="4"/>
        <v>0</v>
      </c>
      <c r="Q796" s="64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22"/>
      <c r="B797" s="67"/>
      <c r="C797" s="67"/>
      <c r="D797" s="47" t="s">
        <v>24</v>
      </c>
      <c r="E797" s="35" t="s">
        <v>168</v>
      </c>
      <c r="F797" s="13"/>
      <c r="G797" s="36">
        <v>54750.0</v>
      </c>
      <c r="H797" s="36" t="s">
        <v>87</v>
      </c>
      <c r="I797" s="48">
        <v>15000.0</v>
      </c>
      <c r="J797" s="46">
        <f t="shared" ref="J797:J799" si="312">G797*I797</f>
        <v>821250000</v>
      </c>
      <c r="K797" s="46">
        <v>5.535E7</v>
      </c>
      <c r="L797" s="26"/>
      <c r="M797" s="46">
        <v>8.34115E8</v>
      </c>
      <c r="N797" s="61"/>
      <c r="O797" s="75">
        <f t="shared" si="3"/>
        <v>765900000</v>
      </c>
      <c r="P797" s="75">
        <f t="shared" si="4"/>
        <v>-12865000</v>
      </c>
      <c r="Q797" s="64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22"/>
      <c r="B798" s="67"/>
      <c r="C798" s="67"/>
      <c r="D798" s="47" t="s">
        <v>24</v>
      </c>
      <c r="E798" s="35" t="s">
        <v>88</v>
      </c>
      <c r="F798" s="13"/>
      <c r="G798" s="36">
        <v>9000.0</v>
      </c>
      <c r="H798" s="36" t="s">
        <v>87</v>
      </c>
      <c r="I798" s="48">
        <v>25000.0</v>
      </c>
      <c r="J798" s="46">
        <f t="shared" si="312"/>
        <v>225000000</v>
      </c>
      <c r="K798" s="46"/>
      <c r="L798" s="26"/>
      <c r="M798" s="46">
        <v>7200000.0</v>
      </c>
      <c r="N798" s="61"/>
      <c r="O798" s="75">
        <f t="shared" si="3"/>
        <v>225000000</v>
      </c>
      <c r="P798" s="75">
        <f t="shared" si="4"/>
        <v>217800000</v>
      </c>
      <c r="Q798" s="64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22"/>
      <c r="B799" s="67"/>
      <c r="C799" s="67"/>
      <c r="D799" s="47" t="s">
        <v>24</v>
      </c>
      <c r="E799" s="35" t="s">
        <v>169</v>
      </c>
      <c r="F799" s="13"/>
      <c r="G799" s="36">
        <v>36500.0</v>
      </c>
      <c r="H799" s="36" t="s">
        <v>87</v>
      </c>
      <c r="I799" s="48">
        <v>7500.0</v>
      </c>
      <c r="J799" s="46">
        <f t="shared" si="312"/>
        <v>273750000</v>
      </c>
      <c r="K799" s="46">
        <v>1.845E7</v>
      </c>
      <c r="L799" s="26"/>
      <c r="M799" s="46">
        <v>2.793E7</v>
      </c>
      <c r="N799" s="61"/>
      <c r="O799" s="75">
        <f t="shared" si="3"/>
        <v>255300000</v>
      </c>
      <c r="P799" s="75">
        <f t="shared" si="4"/>
        <v>245820000</v>
      </c>
      <c r="Q799" s="64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35" t="s">
        <v>63</v>
      </c>
      <c r="B800" s="12"/>
      <c r="C800" s="47"/>
      <c r="D800" s="44" t="s">
        <v>64</v>
      </c>
      <c r="E800" s="12"/>
      <c r="F800" s="13"/>
      <c r="G800" s="22"/>
      <c r="H800" s="22"/>
      <c r="I800" s="22"/>
      <c r="J800" s="88">
        <f t="shared" ref="J800:N800" si="313">J802+J803</f>
        <v>114000000</v>
      </c>
      <c r="K800" s="88">
        <f t="shared" si="313"/>
        <v>0</v>
      </c>
      <c r="L800" s="88">
        <f t="shared" si="313"/>
        <v>0</v>
      </c>
      <c r="M800" s="88">
        <f t="shared" si="313"/>
        <v>0</v>
      </c>
      <c r="N800" s="88">
        <f t="shared" si="313"/>
        <v>0</v>
      </c>
      <c r="O800" s="75">
        <f t="shared" si="3"/>
        <v>114000000</v>
      </c>
      <c r="P800" s="75">
        <f t="shared" si="4"/>
        <v>114000000</v>
      </c>
      <c r="Q800" s="64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22"/>
      <c r="B801" s="67"/>
      <c r="C801" s="67"/>
      <c r="D801" s="35" t="s">
        <v>23</v>
      </c>
      <c r="E801" s="12"/>
      <c r="F801" s="13"/>
      <c r="G801" s="22"/>
      <c r="H801" s="22"/>
      <c r="I801" s="22"/>
      <c r="J801" s="22"/>
      <c r="K801" s="22"/>
      <c r="L801" s="26"/>
      <c r="M801" s="22"/>
      <c r="N801" s="61"/>
      <c r="O801" s="75">
        <f t="shared" si="3"/>
        <v>0</v>
      </c>
      <c r="P801" s="75">
        <f t="shared" si="4"/>
        <v>0</v>
      </c>
      <c r="Q801" s="64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22"/>
      <c r="B802" s="67"/>
      <c r="C802" s="67"/>
      <c r="D802" s="47" t="s">
        <v>24</v>
      </c>
      <c r="E802" s="35" t="s">
        <v>90</v>
      </c>
      <c r="F802" s="13"/>
      <c r="G802" s="36">
        <v>180.0</v>
      </c>
      <c r="H802" s="36" t="s">
        <v>87</v>
      </c>
      <c r="I802" s="48">
        <v>500000.0</v>
      </c>
      <c r="J802" s="46">
        <f t="shared" ref="J802:J803" si="314">G802*I802</f>
        <v>90000000</v>
      </c>
      <c r="K802" s="46"/>
      <c r="L802" s="26"/>
      <c r="M802" s="46"/>
      <c r="N802" s="61"/>
      <c r="O802" s="75">
        <f t="shared" si="3"/>
        <v>90000000</v>
      </c>
      <c r="P802" s="75">
        <f t="shared" si="4"/>
        <v>90000000</v>
      </c>
      <c r="Q802" s="64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22"/>
      <c r="B803" s="67"/>
      <c r="C803" s="67"/>
      <c r="D803" s="47" t="s">
        <v>24</v>
      </c>
      <c r="E803" s="35" t="s">
        <v>170</v>
      </c>
      <c r="F803" s="13"/>
      <c r="G803" s="36">
        <v>600.0</v>
      </c>
      <c r="H803" s="36" t="s">
        <v>87</v>
      </c>
      <c r="I803" s="48">
        <v>40000.0</v>
      </c>
      <c r="J803" s="46">
        <f t="shared" si="314"/>
        <v>24000000</v>
      </c>
      <c r="K803" s="46"/>
      <c r="L803" s="26"/>
      <c r="M803" s="46"/>
      <c r="N803" s="61"/>
      <c r="O803" s="75">
        <f t="shared" si="3"/>
        <v>24000000</v>
      </c>
      <c r="P803" s="75">
        <f t="shared" si="4"/>
        <v>24000000</v>
      </c>
      <c r="Q803" s="64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41" t="s">
        <v>92</v>
      </c>
      <c r="B804" s="12"/>
      <c r="C804" s="56"/>
      <c r="D804" s="41" t="s">
        <v>93</v>
      </c>
      <c r="E804" s="12"/>
      <c r="F804" s="13"/>
      <c r="G804" s="22"/>
      <c r="H804" s="22"/>
      <c r="I804" s="22"/>
      <c r="J804" s="43">
        <f t="shared" ref="J804:K804" si="315">J805</f>
        <v>41836000</v>
      </c>
      <c r="K804" s="43">
        <f t="shared" si="315"/>
        <v>0</v>
      </c>
      <c r="L804" s="26"/>
      <c r="M804" s="43">
        <f>M805</f>
        <v>0</v>
      </c>
      <c r="N804" s="61"/>
      <c r="O804" s="75">
        <f t="shared" si="3"/>
        <v>41836000</v>
      </c>
      <c r="P804" s="75">
        <f t="shared" si="4"/>
        <v>41836000</v>
      </c>
      <c r="Q804" s="64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35" t="s">
        <v>68</v>
      </c>
      <c r="B805" s="12"/>
      <c r="C805" s="47"/>
      <c r="D805" s="44" t="s">
        <v>69</v>
      </c>
      <c r="E805" s="12"/>
      <c r="F805" s="13"/>
      <c r="G805" s="22"/>
      <c r="H805" s="22"/>
      <c r="I805" s="22"/>
      <c r="J805" s="46">
        <f t="shared" ref="J805:K805" si="316">SUM(J807:J808)</f>
        <v>41836000</v>
      </c>
      <c r="K805" s="46">
        <f t="shared" si="316"/>
        <v>0</v>
      </c>
      <c r="L805" s="26"/>
      <c r="M805" s="46">
        <f>SUM(M807:M808)</f>
        <v>0</v>
      </c>
      <c r="N805" s="61"/>
      <c r="O805" s="75">
        <f t="shared" si="3"/>
        <v>41836000</v>
      </c>
      <c r="P805" s="75">
        <f t="shared" si="4"/>
        <v>41836000</v>
      </c>
      <c r="Q805" s="64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22"/>
      <c r="B806" s="67"/>
      <c r="C806" s="67"/>
      <c r="D806" s="35" t="s">
        <v>23</v>
      </c>
      <c r="E806" s="12"/>
      <c r="F806" s="13"/>
      <c r="G806" s="22"/>
      <c r="H806" s="22"/>
      <c r="I806" s="22"/>
      <c r="J806" s="22"/>
      <c r="K806" s="22"/>
      <c r="L806" s="26"/>
      <c r="M806" s="22"/>
      <c r="N806" s="61"/>
      <c r="O806" s="75">
        <f t="shared" si="3"/>
        <v>0</v>
      </c>
      <c r="P806" s="75">
        <f t="shared" si="4"/>
        <v>0</v>
      </c>
      <c r="Q806" s="64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22"/>
      <c r="B807" s="67"/>
      <c r="C807" s="67"/>
      <c r="D807" s="47" t="s">
        <v>24</v>
      </c>
      <c r="E807" s="35" t="s">
        <v>94</v>
      </c>
      <c r="F807" s="13"/>
      <c r="G807" s="36">
        <v>12.0</v>
      </c>
      <c r="H807" s="36" t="s">
        <v>95</v>
      </c>
      <c r="I807" s="48">
        <v>2500000.0</v>
      </c>
      <c r="J807" s="46">
        <f t="shared" ref="J807:J808" si="317">G807*I807</f>
        <v>30000000</v>
      </c>
      <c r="K807" s="46"/>
      <c r="L807" s="26"/>
      <c r="M807" s="46"/>
      <c r="N807" s="61"/>
      <c r="O807" s="75">
        <f t="shared" si="3"/>
        <v>30000000</v>
      </c>
      <c r="P807" s="75">
        <f t="shared" si="4"/>
        <v>30000000</v>
      </c>
      <c r="Q807" s="64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22"/>
      <c r="B808" s="67"/>
      <c r="C808" s="67"/>
      <c r="D808" s="47" t="s">
        <v>24</v>
      </c>
      <c r="E808" s="35" t="s">
        <v>232</v>
      </c>
      <c r="F808" s="13"/>
      <c r="G808" s="36">
        <v>1.0</v>
      </c>
      <c r="H808" s="36" t="s">
        <v>97</v>
      </c>
      <c r="I808" s="48">
        <v>1.1836E7</v>
      </c>
      <c r="J808" s="46">
        <f t="shared" si="317"/>
        <v>11836000</v>
      </c>
      <c r="K808" s="46"/>
      <c r="L808" s="26"/>
      <c r="M808" s="46"/>
      <c r="N808" s="61"/>
      <c r="O808" s="75">
        <f t="shared" si="3"/>
        <v>11836000</v>
      </c>
      <c r="P808" s="75">
        <f t="shared" si="4"/>
        <v>11836000</v>
      </c>
      <c r="Q808" s="64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41" t="s">
        <v>98</v>
      </c>
      <c r="B809" s="12"/>
      <c r="C809" s="56"/>
      <c r="D809" s="41" t="s">
        <v>99</v>
      </c>
      <c r="E809" s="12"/>
      <c r="F809" s="13"/>
      <c r="G809" s="22"/>
      <c r="H809" s="22"/>
      <c r="I809" s="22"/>
      <c r="J809" s="43">
        <f t="shared" ref="J809:K809" si="318">J810+J819</f>
        <v>6760000</v>
      </c>
      <c r="K809" s="43">
        <f t="shared" si="318"/>
        <v>0</v>
      </c>
      <c r="L809" s="26"/>
      <c r="M809" s="43">
        <f>M810+M819</f>
        <v>0</v>
      </c>
      <c r="N809" s="61"/>
      <c r="O809" s="75">
        <f t="shared" si="3"/>
        <v>6760000</v>
      </c>
      <c r="P809" s="75">
        <f t="shared" si="4"/>
        <v>6760000</v>
      </c>
      <c r="Q809" s="64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35" t="s">
        <v>100</v>
      </c>
      <c r="B810" s="12"/>
      <c r="C810" s="47"/>
      <c r="D810" s="44" t="s">
        <v>101</v>
      </c>
      <c r="E810" s="12"/>
      <c r="F810" s="13"/>
      <c r="G810" s="22"/>
      <c r="H810" s="22"/>
      <c r="I810" s="22"/>
      <c r="J810" s="46">
        <f t="shared" ref="J810:K810" si="319">SUM(J812:J818)</f>
        <v>5600000</v>
      </c>
      <c r="K810" s="46">
        <f t="shared" si="319"/>
        <v>0</v>
      </c>
      <c r="L810" s="26"/>
      <c r="M810" s="46">
        <f>SUM(M812:M818)</f>
        <v>0</v>
      </c>
      <c r="N810" s="61"/>
      <c r="O810" s="75">
        <f t="shared" si="3"/>
        <v>5600000</v>
      </c>
      <c r="P810" s="75">
        <f t="shared" si="4"/>
        <v>5600000</v>
      </c>
      <c r="Q810" s="64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22"/>
      <c r="B811" s="67"/>
      <c r="C811" s="67"/>
      <c r="D811" s="35" t="s">
        <v>23</v>
      </c>
      <c r="E811" s="12"/>
      <c r="F811" s="13"/>
      <c r="G811" s="22"/>
      <c r="H811" s="22"/>
      <c r="I811" s="22"/>
      <c r="J811" s="22"/>
      <c r="K811" s="22"/>
      <c r="L811" s="26"/>
      <c r="M811" s="22"/>
      <c r="N811" s="61"/>
      <c r="O811" s="75">
        <f t="shared" si="3"/>
        <v>0</v>
      </c>
      <c r="P811" s="75">
        <f t="shared" si="4"/>
        <v>0</v>
      </c>
      <c r="Q811" s="64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22"/>
      <c r="B812" s="67"/>
      <c r="C812" s="67"/>
      <c r="D812" s="47" t="s">
        <v>24</v>
      </c>
      <c r="E812" s="35" t="s">
        <v>102</v>
      </c>
      <c r="F812" s="13"/>
      <c r="G812" s="36">
        <v>2.0</v>
      </c>
      <c r="H812" s="36" t="s">
        <v>95</v>
      </c>
      <c r="I812" s="48">
        <v>350000.0</v>
      </c>
      <c r="J812" s="46">
        <f t="shared" ref="J812:J818" si="320">G812*I812</f>
        <v>700000</v>
      </c>
      <c r="K812" s="46"/>
      <c r="L812" s="26"/>
      <c r="M812" s="46"/>
      <c r="N812" s="61"/>
      <c r="O812" s="75">
        <f t="shared" si="3"/>
        <v>700000</v>
      </c>
      <c r="P812" s="75">
        <f t="shared" si="4"/>
        <v>700000</v>
      </c>
      <c r="Q812" s="64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22"/>
      <c r="B813" s="67"/>
      <c r="C813" s="67"/>
      <c r="D813" s="47" t="s">
        <v>24</v>
      </c>
      <c r="E813" s="35" t="s">
        <v>103</v>
      </c>
      <c r="F813" s="13"/>
      <c r="G813" s="36">
        <v>2.0</v>
      </c>
      <c r="H813" s="36" t="s">
        <v>95</v>
      </c>
      <c r="I813" s="48">
        <v>225000.0</v>
      </c>
      <c r="J813" s="46">
        <f t="shared" si="320"/>
        <v>450000</v>
      </c>
      <c r="K813" s="46"/>
      <c r="L813" s="26"/>
      <c r="M813" s="46"/>
      <c r="N813" s="61"/>
      <c r="O813" s="75">
        <f t="shared" si="3"/>
        <v>450000</v>
      </c>
      <c r="P813" s="75">
        <f t="shared" si="4"/>
        <v>450000</v>
      </c>
      <c r="Q813" s="64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22"/>
      <c r="B814" s="67"/>
      <c r="C814" s="67"/>
      <c r="D814" s="47" t="s">
        <v>24</v>
      </c>
      <c r="E814" s="35" t="s">
        <v>104</v>
      </c>
      <c r="F814" s="13"/>
      <c r="G814" s="36">
        <v>2.0</v>
      </c>
      <c r="H814" s="36" t="s">
        <v>95</v>
      </c>
      <c r="I814" s="48">
        <v>450000.0</v>
      </c>
      <c r="J814" s="46">
        <f t="shared" si="320"/>
        <v>900000</v>
      </c>
      <c r="K814" s="46"/>
      <c r="L814" s="26"/>
      <c r="M814" s="46"/>
      <c r="N814" s="61"/>
      <c r="O814" s="75">
        <f t="shared" si="3"/>
        <v>900000</v>
      </c>
      <c r="P814" s="75">
        <f t="shared" si="4"/>
        <v>900000</v>
      </c>
      <c r="Q814" s="64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22"/>
      <c r="B815" s="67"/>
      <c r="C815" s="67"/>
      <c r="D815" s="47" t="s">
        <v>24</v>
      </c>
      <c r="E815" s="35" t="s">
        <v>105</v>
      </c>
      <c r="F815" s="13"/>
      <c r="G815" s="36">
        <v>2.0</v>
      </c>
      <c r="H815" s="36" t="s">
        <v>95</v>
      </c>
      <c r="I815" s="48">
        <v>250000.0</v>
      </c>
      <c r="J815" s="46">
        <f t="shared" si="320"/>
        <v>500000</v>
      </c>
      <c r="K815" s="46"/>
      <c r="L815" s="26"/>
      <c r="M815" s="46"/>
      <c r="N815" s="61"/>
      <c r="O815" s="75">
        <f t="shared" si="3"/>
        <v>500000</v>
      </c>
      <c r="P815" s="75">
        <f t="shared" si="4"/>
        <v>500000</v>
      </c>
      <c r="Q815" s="64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22"/>
      <c r="B816" s="67"/>
      <c r="C816" s="67"/>
      <c r="D816" s="47" t="s">
        <v>24</v>
      </c>
      <c r="E816" s="35" t="s">
        <v>106</v>
      </c>
      <c r="F816" s="13"/>
      <c r="G816" s="36">
        <v>2.0</v>
      </c>
      <c r="H816" s="36" t="s">
        <v>95</v>
      </c>
      <c r="I816" s="48">
        <v>100000.0</v>
      </c>
      <c r="J816" s="46">
        <f t="shared" si="320"/>
        <v>200000</v>
      </c>
      <c r="K816" s="46"/>
      <c r="L816" s="26"/>
      <c r="M816" s="46"/>
      <c r="N816" s="61"/>
      <c r="O816" s="75">
        <f t="shared" si="3"/>
        <v>200000</v>
      </c>
      <c r="P816" s="75">
        <f t="shared" si="4"/>
        <v>200000</v>
      </c>
      <c r="Q816" s="64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22"/>
      <c r="B817" s="67"/>
      <c r="C817" s="67"/>
      <c r="D817" s="47" t="s">
        <v>24</v>
      </c>
      <c r="E817" s="35" t="s">
        <v>107</v>
      </c>
      <c r="F817" s="13"/>
      <c r="G817" s="36">
        <v>2.0</v>
      </c>
      <c r="H817" s="36" t="s">
        <v>95</v>
      </c>
      <c r="I817" s="48">
        <v>725000.0</v>
      </c>
      <c r="J817" s="46">
        <f t="shared" si="320"/>
        <v>1450000</v>
      </c>
      <c r="K817" s="46"/>
      <c r="L817" s="26"/>
      <c r="M817" s="46"/>
      <c r="N817" s="61"/>
      <c r="O817" s="75">
        <f t="shared" si="3"/>
        <v>1450000</v>
      </c>
      <c r="P817" s="75">
        <f t="shared" si="4"/>
        <v>1450000</v>
      </c>
      <c r="Q817" s="64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22"/>
      <c r="B818" s="67"/>
      <c r="C818" s="67"/>
      <c r="D818" s="47" t="s">
        <v>24</v>
      </c>
      <c r="E818" s="35" t="s">
        <v>108</v>
      </c>
      <c r="F818" s="13"/>
      <c r="G818" s="36">
        <v>2.0</v>
      </c>
      <c r="H818" s="36" t="s">
        <v>95</v>
      </c>
      <c r="I818" s="48">
        <v>700000.0</v>
      </c>
      <c r="J818" s="46">
        <f t="shared" si="320"/>
        <v>1400000</v>
      </c>
      <c r="K818" s="46"/>
      <c r="L818" s="26"/>
      <c r="M818" s="46"/>
      <c r="N818" s="61"/>
      <c r="O818" s="75">
        <f t="shared" si="3"/>
        <v>1400000</v>
      </c>
      <c r="P818" s="75">
        <f t="shared" si="4"/>
        <v>1400000</v>
      </c>
      <c r="Q818" s="64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35" t="s">
        <v>68</v>
      </c>
      <c r="B819" s="12"/>
      <c r="C819" s="47"/>
      <c r="D819" s="44" t="s">
        <v>69</v>
      </c>
      <c r="E819" s="12"/>
      <c r="F819" s="13"/>
      <c r="G819" s="22"/>
      <c r="H819" s="22"/>
      <c r="I819" s="22"/>
      <c r="J819" s="46">
        <f t="shared" ref="J819:K819" si="321">SUM(J821:J824)</f>
        <v>1160000</v>
      </c>
      <c r="K819" s="46">
        <f t="shared" si="321"/>
        <v>0</v>
      </c>
      <c r="L819" s="26"/>
      <c r="M819" s="46">
        <f>SUM(M821:M824)</f>
        <v>0</v>
      </c>
      <c r="N819" s="61"/>
      <c r="O819" s="75">
        <f t="shared" si="3"/>
        <v>1160000</v>
      </c>
      <c r="P819" s="75">
        <f t="shared" si="4"/>
        <v>1160000</v>
      </c>
      <c r="Q819" s="64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22"/>
      <c r="B820" s="67"/>
      <c r="C820" s="67"/>
      <c r="D820" s="35" t="s">
        <v>23</v>
      </c>
      <c r="E820" s="12"/>
      <c r="F820" s="13"/>
      <c r="G820" s="22"/>
      <c r="H820" s="22"/>
      <c r="I820" s="22"/>
      <c r="J820" s="22"/>
      <c r="K820" s="22"/>
      <c r="L820" s="26"/>
      <c r="M820" s="22"/>
      <c r="N820" s="61"/>
      <c r="O820" s="75">
        <f t="shared" si="3"/>
        <v>0</v>
      </c>
      <c r="P820" s="75">
        <f t="shared" si="4"/>
        <v>0</v>
      </c>
      <c r="Q820" s="64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22"/>
      <c r="B821" s="67"/>
      <c r="C821" s="67"/>
      <c r="D821" s="47" t="s">
        <v>24</v>
      </c>
      <c r="E821" s="35" t="s">
        <v>109</v>
      </c>
      <c r="F821" s="13"/>
      <c r="G821" s="36">
        <v>10.0</v>
      </c>
      <c r="H821" s="36" t="s">
        <v>95</v>
      </c>
      <c r="I821" s="48">
        <v>50000.0</v>
      </c>
      <c r="J821" s="46">
        <f t="shared" ref="J821:J824" si="322">G821*I821</f>
        <v>500000</v>
      </c>
      <c r="K821" s="46"/>
      <c r="L821" s="26"/>
      <c r="M821" s="46"/>
      <c r="N821" s="61"/>
      <c r="O821" s="75">
        <f t="shared" si="3"/>
        <v>500000</v>
      </c>
      <c r="P821" s="75">
        <f t="shared" si="4"/>
        <v>500000</v>
      </c>
      <c r="Q821" s="64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22"/>
      <c r="B822" s="67"/>
      <c r="C822" s="67"/>
      <c r="D822" s="47" t="s">
        <v>24</v>
      </c>
      <c r="E822" s="35" t="s">
        <v>110</v>
      </c>
      <c r="F822" s="13"/>
      <c r="G822" s="36">
        <v>2.0</v>
      </c>
      <c r="H822" s="36" t="s">
        <v>95</v>
      </c>
      <c r="I822" s="48">
        <v>100000.0</v>
      </c>
      <c r="J822" s="46">
        <f t="shared" si="322"/>
        <v>200000</v>
      </c>
      <c r="K822" s="46"/>
      <c r="L822" s="26"/>
      <c r="M822" s="46"/>
      <c r="N822" s="61"/>
      <c r="O822" s="75">
        <f t="shared" si="3"/>
        <v>200000</v>
      </c>
      <c r="P822" s="75">
        <f t="shared" si="4"/>
        <v>200000</v>
      </c>
      <c r="Q822" s="64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22"/>
      <c r="B823" s="67"/>
      <c r="C823" s="67"/>
      <c r="D823" s="47" t="s">
        <v>24</v>
      </c>
      <c r="E823" s="35" t="s">
        <v>111</v>
      </c>
      <c r="F823" s="13"/>
      <c r="G823" s="36">
        <v>2.0</v>
      </c>
      <c r="H823" s="36" t="s">
        <v>95</v>
      </c>
      <c r="I823" s="48">
        <v>200000.0</v>
      </c>
      <c r="J823" s="46">
        <f t="shared" si="322"/>
        <v>400000</v>
      </c>
      <c r="K823" s="46"/>
      <c r="L823" s="26"/>
      <c r="M823" s="46"/>
      <c r="N823" s="61"/>
      <c r="O823" s="75">
        <f t="shared" si="3"/>
        <v>400000</v>
      </c>
      <c r="P823" s="75">
        <f t="shared" si="4"/>
        <v>400000</v>
      </c>
      <c r="Q823" s="64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22"/>
      <c r="B824" s="67"/>
      <c r="C824" s="67"/>
      <c r="D824" s="47" t="s">
        <v>24</v>
      </c>
      <c r="E824" s="35" t="s">
        <v>112</v>
      </c>
      <c r="F824" s="13"/>
      <c r="G824" s="36">
        <v>2.0</v>
      </c>
      <c r="H824" s="36" t="s">
        <v>95</v>
      </c>
      <c r="I824" s="48">
        <v>30000.0</v>
      </c>
      <c r="J824" s="46">
        <f t="shared" si="322"/>
        <v>60000</v>
      </c>
      <c r="K824" s="46"/>
      <c r="L824" s="26"/>
      <c r="M824" s="46"/>
      <c r="N824" s="61"/>
      <c r="O824" s="75">
        <f t="shared" si="3"/>
        <v>60000</v>
      </c>
      <c r="P824" s="75">
        <f t="shared" si="4"/>
        <v>60000</v>
      </c>
      <c r="Q824" s="64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41" t="s">
        <v>113</v>
      </c>
      <c r="B825" s="12"/>
      <c r="C825" s="56"/>
      <c r="D825" s="41" t="s">
        <v>114</v>
      </c>
      <c r="E825" s="12"/>
      <c r="F825" s="13"/>
      <c r="G825" s="22"/>
      <c r="H825" s="22"/>
      <c r="I825" s="22"/>
      <c r="J825" s="43">
        <f t="shared" ref="J825:K825" si="323">J826</f>
        <v>410750000</v>
      </c>
      <c r="K825" s="43">
        <f t="shared" si="323"/>
        <v>0</v>
      </c>
      <c r="L825" s="26"/>
      <c r="M825" s="43">
        <f>M826</f>
        <v>19247500</v>
      </c>
      <c r="N825" s="61"/>
      <c r="O825" s="75">
        <f t="shared" si="3"/>
        <v>410750000</v>
      </c>
      <c r="P825" s="75">
        <f t="shared" si="4"/>
        <v>391502500</v>
      </c>
      <c r="Q825" s="64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35" t="s">
        <v>68</v>
      </c>
      <c r="B826" s="12"/>
      <c r="C826" s="47"/>
      <c r="D826" s="44" t="s">
        <v>69</v>
      </c>
      <c r="E826" s="12"/>
      <c r="F826" s="13"/>
      <c r="G826" s="22"/>
      <c r="H826" s="22"/>
      <c r="I826" s="22"/>
      <c r="J826" s="46">
        <f t="shared" ref="J826:K826" si="324">SUM(J828:J838)</f>
        <v>410750000</v>
      </c>
      <c r="K826" s="46">
        <f t="shared" si="324"/>
        <v>0</v>
      </c>
      <c r="L826" s="26"/>
      <c r="M826" s="46">
        <f>SUM(M828:M838)</f>
        <v>19247500</v>
      </c>
      <c r="N826" s="61"/>
      <c r="O826" s="75">
        <f t="shared" si="3"/>
        <v>410750000</v>
      </c>
      <c r="P826" s="75">
        <f t="shared" si="4"/>
        <v>391502500</v>
      </c>
      <c r="Q826" s="64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22"/>
      <c r="B827" s="67"/>
      <c r="C827" s="67"/>
      <c r="D827" s="35" t="s">
        <v>23</v>
      </c>
      <c r="E827" s="12"/>
      <c r="F827" s="13"/>
      <c r="G827" s="22"/>
      <c r="H827" s="22"/>
      <c r="I827" s="22"/>
      <c r="J827" s="22"/>
      <c r="K827" s="22"/>
      <c r="L827" s="26"/>
      <c r="M827" s="22"/>
      <c r="N827" s="61"/>
      <c r="O827" s="75">
        <f t="shared" si="3"/>
        <v>0</v>
      </c>
      <c r="P827" s="75">
        <f t="shared" si="4"/>
        <v>0</v>
      </c>
      <c r="Q827" s="64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22"/>
      <c r="B828" s="67"/>
      <c r="C828" s="67"/>
      <c r="D828" s="47" t="s">
        <v>24</v>
      </c>
      <c r="E828" s="35" t="s">
        <v>172</v>
      </c>
      <c r="F828" s="13"/>
      <c r="G828" s="36">
        <v>100.0</v>
      </c>
      <c r="H828" s="36" t="s">
        <v>95</v>
      </c>
      <c r="I828" s="48">
        <v>110000.0</v>
      </c>
      <c r="J828" s="46">
        <f t="shared" ref="J828:J838" si="325">G828*I828</f>
        <v>11000000</v>
      </c>
      <c r="K828" s="46"/>
      <c r="L828" s="26"/>
      <c r="M828" s="46"/>
      <c r="N828" s="61"/>
      <c r="O828" s="75">
        <f t="shared" si="3"/>
        <v>11000000</v>
      </c>
      <c r="P828" s="75">
        <f t="shared" si="4"/>
        <v>11000000</v>
      </c>
      <c r="Q828" s="64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22"/>
      <c r="B829" s="67"/>
      <c r="C829" s="67"/>
      <c r="D829" s="47" t="s">
        <v>24</v>
      </c>
      <c r="E829" s="35" t="s">
        <v>173</v>
      </c>
      <c r="F829" s="13"/>
      <c r="G829" s="36">
        <v>100.0</v>
      </c>
      <c r="H829" s="36" t="s">
        <v>95</v>
      </c>
      <c r="I829" s="48">
        <v>120000.0</v>
      </c>
      <c r="J829" s="46">
        <f t="shared" si="325"/>
        <v>12000000</v>
      </c>
      <c r="K829" s="46"/>
      <c r="L829" s="26"/>
      <c r="M829" s="46"/>
      <c r="N829" s="61"/>
      <c r="O829" s="75">
        <f t="shared" si="3"/>
        <v>12000000</v>
      </c>
      <c r="P829" s="75">
        <f t="shared" si="4"/>
        <v>12000000</v>
      </c>
      <c r="Q829" s="64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22"/>
      <c r="B830" s="67"/>
      <c r="C830" s="67"/>
      <c r="D830" s="47" t="s">
        <v>24</v>
      </c>
      <c r="E830" s="35" t="s">
        <v>174</v>
      </c>
      <c r="F830" s="13"/>
      <c r="G830" s="36">
        <v>100.0</v>
      </c>
      <c r="H830" s="36" t="s">
        <v>95</v>
      </c>
      <c r="I830" s="48">
        <v>150000.0</v>
      </c>
      <c r="J830" s="46">
        <f t="shared" si="325"/>
        <v>15000000</v>
      </c>
      <c r="K830" s="46"/>
      <c r="L830" s="26"/>
      <c r="M830" s="46"/>
      <c r="N830" s="61"/>
      <c r="O830" s="75">
        <f t="shared" si="3"/>
        <v>15000000</v>
      </c>
      <c r="P830" s="75">
        <f t="shared" si="4"/>
        <v>15000000</v>
      </c>
      <c r="Q830" s="64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22"/>
      <c r="B831" s="67"/>
      <c r="C831" s="67"/>
      <c r="D831" s="47" t="s">
        <v>24</v>
      </c>
      <c r="E831" s="35" t="s">
        <v>175</v>
      </c>
      <c r="F831" s="13"/>
      <c r="G831" s="36">
        <v>100.0</v>
      </c>
      <c r="H831" s="36" t="s">
        <v>95</v>
      </c>
      <c r="I831" s="48">
        <v>100000.0</v>
      </c>
      <c r="J831" s="46">
        <f t="shared" si="325"/>
        <v>10000000</v>
      </c>
      <c r="K831" s="46"/>
      <c r="L831" s="26"/>
      <c r="M831" s="46"/>
      <c r="N831" s="61"/>
      <c r="O831" s="75">
        <f t="shared" si="3"/>
        <v>10000000</v>
      </c>
      <c r="P831" s="75">
        <f t="shared" si="4"/>
        <v>10000000</v>
      </c>
      <c r="Q831" s="64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22"/>
      <c r="B832" s="67"/>
      <c r="C832" s="67"/>
      <c r="D832" s="47" t="s">
        <v>24</v>
      </c>
      <c r="E832" s="35" t="s">
        <v>176</v>
      </c>
      <c r="F832" s="13"/>
      <c r="G832" s="36">
        <v>100.0</v>
      </c>
      <c r="H832" s="36" t="s">
        <v>95</v>
      </c>
      <c r="I832" s="48">
        <v>350000.0</v>
      </c>
      <c r="J832" s="46">
        <f t="shared" si="325"/>
        <v>35000000</v>
      </c>
      <c r="K832" s="46"/>
      <c r="L832" s="26"/>
      <c r="M832" s="46"/>
      <c r="N832" s="61"/>
      <c r="O832" s="75">
        <f t="shared" si="3"/>
        <v>35000000</v>
      </c>
      <c r="P832" s="75">
        <f t="shared" si="4"/>
        <v>35000000</v>
      </c>
      <c r="Q832" s="64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22"/>
      <c r="B833" s="67"/>
      <c r="C833" s="67"/>
      <c r="D833" s="47" t="s">
        <v>24</v>
      </c>
      <c r="E833" s="35" t="s">
        <v>177</v>
      </c>
      <c r="F833" s="13"/>
      <c r="G833" s="36">
        <v>50.0</v>
      </c>
      <c r="H833" s="36" t="s">
        <v>95</v>
      </c>
      <c r="I833" s="48">
        <v>175000.0</v>
      </c>
      <c r="J833" s="46">
        <f t="shared" si="325"/>
        <v>8750000</v>
      </c>
      <c r="K833" s="46"/>
      <c r="L833" s="26"/>
      <c r="M833" s="46"/>
      <c r="N833" s="61"/>
      <c r="O833" s="75">
        <f t="shared" si="3"/>
        <v>8750000</v>
      </c>
      <c r="P833" s="75">
        <f t="shared" si="4"/>
        <v>8750000</v>
      </c>
      <c r="Q833" s="64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22"/>
      <c r="B834" s="67"/>
      <c r="C834" s="67"/>
      <c r="D834" s="47" t="s">
        <v>24</v>
      </c>
      <c r="E834" s="35" t="s">
        <v>178</v>
      </c>
      <c r="F834" s="13"/>
      <c r="G834" s="36">
        <v>350.0</v>
      </c>
      <c r="H834" s="36" t="s">
        <v>95</v>
      </c>
      <c r="I834" s="48">
        <v>150000.0</v>
      </c>
      <c r="J834" s="46">
        <f t="shared" si="325"/>
        <v>52500000</v>
      </c>
      <c r="K834" s="46"/>
      <c r="L834" s="26"/>
      <c r="M834" s="46"/>
      <c r="N834" s="61"/>
      <c r="O834" s="75">
        <f t="shared" si="3"/>
        <v>52500000</v>
      </c>
      <c r="P834" s="75">
        <f t="shared" si="4"/>
        <v>52500000</v>
      </c>
      <c r="Q834" s="64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22"/>
      <c r="B835" s="67"/>
      <c r="C835" s="67"/>
      <c r="D835" s="47" t="s">
        <v>24</v>
      </c>
      <c r="E835" s="35" t="s">
        <v>179</v>
      </c>
      <c r="F835" s="13"/>
      <c r="G835" s="36">
        <v>350.0</v>
      </c>
      <c r="H835" s="36" t="s">
        <v>95</v>
      </c>
      <c r="I835" s="48">
        <v>200000.0</v>
      </c>
      <c r="J835" s="46">
        <f t="shared" si="325"/>
        <v>70000000</v>
      </c>
      <c r="K835" s="46"/>
      <c r="L835" s="26"/>
      <c r="M835" s="46"/>
      <c r="N835" s="61"/>
      <c r="O835" s="75">
        <f t="shared" si="3"/>
        <v>70000000</v>
      </c>
      <c r="P835" s="75">
        <f t="shared" si="4"/>
        <v>70000000</v>
      </c>
      <c r="Q835" s="64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22"/>
      <c r="B836" s="67"/>
      <c r="C836" s="67"/>
      <c r="D836" s="47" t="s">
        <v>24</v>
      </c>
      <c r="E836" s="35" t="s">
        <v>180</v>
      </c>
      <c r="F836" s="13"/>
      <c r="G836" s="36">
        <v>600.0</v>
      </c>
      <c r="H836" s="36" t="s">
        <v>95</v>
      </c>
      <c r="I836" s="48">
        <v>250000.0</v>
      </c>
      <c r="J836" s="46">
        <f t="shared" si="325"/>
        <v>150000000</v>
      </c>
      <c r="K836" s="46"/>
      <c r="L836" s="26"/>
      <c r="M836" s="46">
        <v>1.74475E7</v>
      </c>
      <c r="N836" s="61"/>
      <c r="O836" s="75">
        <f t="shared" si="3"/>
        <v>150000000</v>
      </c>
      <c r="P836" s="75">
        <f t="shared" si="4"/>
        <v>132552500</v>
      </c>
      <c r="Q836" s="64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22"/>
      <c r="B837" s="67"/>
      <c r="C837" s="67"/>
      <c r="D837" s="47" t="s">
        <v>24</v>
      </c>
      <c r="E837" s="35" t="s">
        <v>181</v>
      </c>
      <c r="F837" s="13"/>
      <c r="G837" s="36">
        <v>360.0</v>
      </c>
      <c r="H837" s="36" t="s">
        <v>95</v>
      </c>
      <c r="I837" s="48">
        <v>100000.0</v>
      </c>
      <c r="J837" s="46">
        <f t="shared" si="325"/>
        <v>36000000</v>
      </c>
      <c r="K837" s="46"/>
      <c r="L837" s="26"/>
      <c r="M837" s="46">
        <v>1800000.0</v>
      </c>
      <c r="N837" s="61"/>
      <c r="O837" s="75">
        <f t="shared" si="3"/>
        <v>36000000</v>
      </c>
      <c r="P837" s="75">
        <f t="shared" si="4"/>
        <v>34200000</v>
      </c>
      <c r="Q837" s="64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22"/>
      <c r="B838" s="67"/>
      <c r="C838" s="67"/>
      <c r="D838" s="47" t="s">
        <v>24</v>
      </c>
      <c r="E838" s="35" t="s">
        <v>182</v>
      </c>
      <c r="F838" s="13"/>
      <c r="G838" s="36">
        <v>210.0</v>
      </c>
      <c r="H838" s="36" t="s">
        <v>95</v>
      </c>
      <c r="I838" s="48">
        <v>50000.0</v>
      </c>
      <c r="J838" s="46">
        <f t="shared" si="325"/>
        <v>10500000</v>
      </c>
      <c r="K838" s="46"/>
      <c r="L838" s="26"/>
      <c r="M838" s="46"/>
      <c r="N838" s="61"/>
      <c r="O838" s="75">
        <f t="shared" si="3"/>
        <v>10500000</v>
      </c>
      <c r="P838" s="75">
        <f t="shared" si="4"/>
        <v>10500000</v>
      </c>
      <c r="Q838" s="64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41" t="s">
        <v>126</v>
      </c>
      <c r="B839" s="12"/>
      <c r="C839" s="56"/>
      <c r="D839" s="41" t="s">
        <v>127</v>
      </c>
      <c r="E839" s="12"/>
      <c r="F839" s="13"/>
      <c r="G839" s="22"/>
      <c r="H839" s="22"/>
      <c r="I839" s="22"/>
      <c r="J839" s="43">
        <f t="shared" ref="J839:K839" si="326">J840</f>
        <v>190740000</v>
      </c>
      <c r="K839" s="43">
        <f t="shared" si="326"/>
        <v>0</v>
      </c>
      <c r="L839" s="26"/>
      <c r="M839" s="43">
        <f>M840</f>
        <v>0</v>
      </c>
      <c r="N839" s="61"/>
      <c r="O839" s="75">
        <f t="shared" si="3"/>
        <v>190740000</v>
      </c>
      <c r="P839" s="75">
        <f t="shared" si="4"/>
        <v>190740000</v>
      </c>
      <c r="Q839" s="64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35" t="s">
        <v>68</v>
      </c>
      <c r="B840" s="12"/>
      <c r="C840" s="47"/>
      <c r="D840" s="44" t="s">
        <v>69</v>
      </c>
      <c r="E840" s="12"/>
      <c r="F840" s="13"/>
      <c r="G840" s="22"/>
      <c r="H840" s="22"/>
      <c r="I840" s="22"/>
      <c r="J840" s="46">
        <f t="shared" ref="J840:K840" si="327">SUM(J842:J846)</f>
        <v>190740000</v>
      </c>
      <c r="K840" s="46">
        <f t="shared" si="327"/>
        <v>0</v>
      </c>
      <c r="L840" s="26"/>
      <c r="M840" s="46">
        <f>SUM(M842:M846)</f>
        <v>0</v>
      </c>
      <c r="N840" s="61"/>
      <c r="O840" s="75">
        <f t="shared" si="3"/>
        <v>190740000</v>
      </c>
      <c r="P840" s="75">
        <f t="shared" si="4"/>
        <v>190740000</v>
      </c>
      <c r="Q840" s="64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22"/>
      <c r="B841" s="67"/>
      <c r="C841" s="67"/>
      <c r="D841" s="35" t="s">
        <v>23</v>
      </c>
      <c r="E841" s="12"/>
      <c r="F841" s="13"/>
      <c r="G841" s="22"/>
      <c r="H841" s="22"/>
      <c r="I841" s="22"/>
      <c r="J841" s="22"/>
      <c r="K841" s="22"/>
      <c r="L841" s="26"/>
      <c r="M841" s="22"/>
      <c r="N841" s="61"/>
      <c r="O841" s="75">
        <f t="shared" si="3"/>
        <v>0</v>
      </c>
      <c r="P841" s="75">
        <f t="shared" si="4"/>
        <v>0</v>
      </c>
      <c r="Q841" s="64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22"/>
      <c r="B842" s="67"/>
      <c r="C842" s="67"/>
      <c r="D842" s="47" t="s">
        <v>24</v>
      </c>
      <c r="E842" s="35" t="s">
        <v>128</v>
      </c>
      <c r="F842" s="13"/>
      <c r="G842" s="36">
        <v>88.0</v>
      </c>
      <c r="H842" s="36" t="s">
        <v>233</v>
      </c>
      <c r="I842" s="48">
        <v>110000.0</v>
      </c>
      <c r="J842" s="46">
        <f t="shared" ref="J842:J846" si="328">G842*I842</f>
        <v>9680000</v>
      </c>
      <c r="K842" s="46"/>
      <c r="L842" s="26"/>
      <c r="M842" s="46"/>
      <c r="N842" s="61"/>
      <c r="O842" s="75">
        <f t="shared" si="3"/>
        <v>9680000</v>
      </c>
      <c r="P842" s="75">
        <f t="shared" si="4"/>
        <v>9680000</v>
      </c>
      <c r="Q842" s="64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22"/>
      <c r="B843" s="67"/>
      <c r="C843" s="67"/>
      <c r="D843" s="47" t="s">
        <v>24</v>
      </c>
      <c r="E843" s="35" t="s">
        <v>130</v>
      </c>
      <c r="F843" s="13"/>
      <c r="G843" s="36">
        <v>88.0</v>
      </c>
      <c r="H843" s="36" t="s">
        <v>233</v>
      </c>
      <c r="I843" s="48">
        <v>120000.0</v>
      </c>
      <c r="J843" s="46">
        <f t="shared" si="328"/>
        <v>10560000</v>
      </c>
      <c r="K843" s="46"/>
      <c r="L843" s="26"/>
      <c r="M843" s="46"/>
      <c r="N843" s="61"/>
      <c r="O843" s="75">
        <f t="shared" si="3"/>
        <v>10560000</v>
      </c>
      <c r="P843" s="75">
        <f t="shared" si="4"/>
        <v>10560000</v>
      </c>
      <c r="Q843" s="64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22"/>
      <c r="B844" s="67"/>
      <c r="C844" s="67"/>
      <c r="D844" s="47" t="s">
        <v>24</v>
      </c>
      <c r="E844" s="35" t="s">
        <v>131</v>
      </c>
      <c r="F844" s="13"/>
      <c r="G844" s="36">
        <v>88.0</v>
      </c>
      <c r="H844" s="36" t="s">
        <v>233</v>
      </c>
      <c r="I844" s="48">
        <v>350000.0</v>
      </c>
      <c r="J844" s="46">
        <f t="shared" si="328"/>
        <v>30800000</v>
      </c>
      <c r="K844" s="46"/>
      <c r="L844" s="26"/>
      <c r="M844" s="46"/>
      <c r="N844" s="61"/>
      <c r="O844" s="75">
        <f t="shared" si="3"/>
        <v>30800000</v>
      </c>
      <c r="P844" s="75">
        <f t="shared" si="4"/>
        <v>30800000</v>
      </c>
      <c r="Q844" s="64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22"/>
      <c r="B845" s="67"/>
      <c r="C845" s="67"/>
      <c r="D845" s="47" t="s">
        <v>24</v>
      </c>
      <c r="E845" s="35" t="s">
        <v>132</v>
      </c>
      <c r="F845" s="13"/>
      <c r="G845" s="36">
        <v>44.0</v>
      </c>
      <c r="H845" s="36" t="s">
        <v>233</v>
      </c>
      <c r="I845" s="48">
        <v>175000.0</v>
      </c>
      <c r="J845" s="46">
        <f t="shared" si="328"/>
        <v>7700000</v>
      </c>
      <c r="K845" s="46"/>
      <c r="L845" s="26"/>
      <c r="M845" s="46"/>
      <c r="N845" s="61"/>
      <c r="O845" s="75">
        <f t="shared" si="3"/>
        <v>7700000</v>
      </c>
      <c r="P845" s="75">
        <f t="shared" si="4"/>
        <v>7700000</v>
      </c>
      <c r="Q845" s="64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22"/>
      <c r="B846" s="67"/>
      <c r="C846" s="67"/>
      <c r="D846" s="47" t="s">
        <v>24</v>
      </c>
      <c r="E846" s="35" t="s">
        <v>133</v>
      </c>
      <c r="F846" s="13"/>
      <c r="G846" s="36">
        <v>528.0</v>
      </c>
      <c r="H846" s="36" t="s">
        <v>233</v>
      </c>
      <c r="I846" s="48">
        <v>250000.0</v>
      </c>
      <c r="J846" s="46">
        <f t="shared" si="328"/>
        <v>132000000</v>
      </c>
      <c r="K846" s="46"/>
      <c r="L846" s="26"/>
      <c r="M846" s="46"/>
      <c r="N846" s="61"/>
      <c r="O846" s="75">
        <f t="shared" si="3"/>
        <v>132000000</v>
      </c>
      <c r="P846" s="75">
        <f t="shared" si="4"/>
        <v>132000000</v>
      </c>
      <c r="Q846" s="64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41" t="s">
        <v>134</v>
      </c>
      <c r="B847" s="12"/>
      <c r="C847" s="56"/>
      <c r="D847" s="41" t="s">
        <v>135</v>
      </c>
      <c r="E847" s="12"/>
      <c r="F847" s="13"/>
      <c r="G847" s="22"/>
      <c r="H847" s="22"/>
      <c r="I847" s="22"/>
      <c r="J847" s="43">
        <f t="shared" ref="J847:K847" si="329">J848</f>
        <v>20020000</v>
      </c>
      <c r="K847" s="43">
        <f t="shared" si="329"/>
        <v>0</v>
      </c>
      <c r="L847" s="26"/>
      <c r="M847" s="43">
        <f>M848</f>
        <v>0</v>
      </c>
      <c r="N847" s="61"/>
      <c r="O847" s="75">
        <f t="shared" si="3"/>
        <v>20020000</v>
      </c>
      <c r="P847" s="75">
        <f t="shared" si="4"/>
        <v>20020000</v>
      </c>
      <c r="Q847" s="64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35" t="s">
        <v>68</v>
      </c>
      <c r="B848" s="12"/>
      <c r="C848" s="47"/>
      <c r="D848" s="44" t="s">
        <v>69</v>
      </c>
      <c r="E848" s="12"/>
      <c r="F848" s="13"/>
      <c r="G848" s="22"/>
      <c r="H848" s="22"/>
      <c r="I848" s="22"/>
      <c r="J848" s="46">
        <f t="shared" ref="J848:K848" si="330">SUM(J850:J854)</f>
        <v>20020000</v>
      </c>
      <c r="K848" s="46">
        <f t="shared" si="330"/>
        <v>0</v>
      </c>
      <c r="L848" s="26"/>
      <c r="M848" s="46">
        <f>SUM(M850:M854)</f>
        <v>0</v>
      </c>
      <c r="N848" s="61"/>
      <c r="O848" s="75">
        <f t="shared" si="3"/>
        <v>20020000</v>
      </c>
      <c r="P848" s="75">
        <f t="shared" si="4"/>
        <v>20020000</v>
      </c>
      <c r="Q848" s="64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22"/>
      <c r="B849" s="67"/>
      <c r="C849" s="67"/>
      <c r="D849" s="35" t="s">
        <v>23</v>
      </c>
      <c r="E849" s="12"/>
      <c r="F849" s="13"/>
      <c r="G849" s="22"/>
      <c r="H849" s="22"/>
      <c r="I849" s="22"/>
      <c r="J849" s="22"/>
      <c r="K849" s="22"/>
      <c r="L849" s="26"/>
      <c r="M849" s="22"/>
      <c r="N849" s="61"/>
      <c r="O849" s="75">
        <f t="shared" si="3"/>
        <v>0</v>
      </c>
      <c r="P849" s="75">
        <f t="shared" si="4"/>
        <v>0</v>
      </c>
      <c r="Q849" s="64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22"/>
      <c r="B850" s="67"/>
      <c r="C850" s="67"/>
      <c r="D850" s="47" t="s">
        <v>24</v>
      </c>
      <c r="E850" s="35" t="s">
        <v>183</v>
      </c>
      <c r="F850" s="13"/>
      <c r="G850" s="36">
        <v>150.0</v>
      </c>
      <c r="H850" s="36" t="s">
        <v>95</v>
      </c>
      <c r="I850" s="48">
        <v>75000.0</v>
      </c>
      <c r="J850" s="46">
        <f t="shared" ref="J850:J854" si="331">G850*I850</f>
        <v>11250000</v>
      </c>
      <c r="K850" s="46"/>
      <c r="L850" s="26"/>
      <c r="M850" s="46"/>
      <c r="N850" s="61"/>
      <c r="O850" s="75">
        <f t="shared" si="3"/>
        <v>11250000</v>
      </c>
      <c r="P850" s="75">
        <f t="shared" si="4"/>
        <v>11250000</v>
      </c>
      <c r="Q850" s="64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22"/>
      <c r="B851" s="67"/>
      <c r="C851" s="67"/>
      <c r="D851" s="47" t="s">
        <v>24</v>
      </c>
      <c r="E851" s="35" t="s">
        <v>137</v>
      </c>
      <c r="F851" s="13"/>
      <c r="G851" s="36">
        <v>2.0</v>
      </c>
      <c r="H851" s="36" t="s">
        <v>95</v>
      </c>
      <c r="I851" s="48">
        <v>360000.0</v>
      </c>
      <c r="J851" s="46">
        <f t="shared" si="331"/>
        <v>720000</v>
      </c>
      <c r="K851" s="46"/>
      <c r="L851" s="26"/>
      <c r="M851" s="46"/>
      <c r="N851" s="61"/>
      <c r="O851" s="75">
        <f t="shared" si="3"/>
        <v>720000</v>
      </c>
      <c r="P851" s="75">
        <f t="shared" si="4"/>
        <v>720000</v>
      </c>
      <c r="Q851" s="64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22"/>
      <c r="B852" s="67"/>
      <c r="C852" s="67"/>
      <c r="D852" s="47" t="s">
        <v>24</v>
      </c>
      <c r="E852" s="35" t="s">
        <v>184</v>
      </c>
      <c r="F852" s="13"/>
      <c r="G852" s="36">
        <v>50.0</v>
      </c>
      <c r="H852" s="36" t="s">
        <v>95</v>
      </c>
      <c r="I852" s="48">
        <v>93000.0</v>
      </c>
      <c r="J852" s="46">
        <f t="shared" si="331"/>
        <v>4650000</v>
      </c>
      <c r="K852" s="46"/>
      <c r="L852" s="26"/>
      <c r="M852" s="46"/>
      <c r="N852" s="61"/>
      <c r="O852" s="75">
        <f t="shared" si="3"/>
        <v>4650000</v>
      </c>
      <c r="P852" s="75">
        <f t="shared" si="4"/>
        <v>4650000</v>
      </c>
      <c r="Q852" s="64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22"/>
      <c r="B853" s="67"/>
      <c r="C853" s="67"/>
      <c r="D853" s="47" t="s">
        <v>24</v>
      </c>
      <c r="E853" s="35" t="s">
        <v>185</v>
      </c>
      <c r="F853" s="13"/>
      <c r="G853" s="36">
        <v>50.0</v>
      </c>
      <c r="H853" s="36" t="s">
        <v>95</v>
      </c>
      <c r="I853" s="48">
        <v>53000.0</v>
      </c>
      <c r="J853" s="46">
        <f t="shared" si="331"/>
        <v>2650000</v>
      </c>
      <c r="K853" s="46"/>
      <c r="L853" s="26"/>
      <c r="M853" s="46"/>
      <c r="N853" s="61"/>
      <c r="O853" s="75">
        <f t="shared" si="3"/>
        <v>2650000</v>
      </c>
      <c r="P853" s="75">
        <f t="shared" si="4"/>
        <v>2650000</v>
      </c>
      <c r="Q853" s="64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22"/>
      <c r="B854" s="67"/>
      <c r="C854" s="67"/>
      <c r="D854" s="47" t="s">
        <v>24</v>
      </c>
      <c r="E854" s="35" t="s">
        <v>186</v>
      </c>
      <c r="F854" s="13"/>
      <c r="G854" s="36">
        <v>50.0</v>
      </c>
      <c r="H854" s="36" t="s">
        <v>95</v>
      </c>
      <c r="I854" s="48">
        <v>15000.0</v>
      </c>
      <c r="J854" s="46">
        <f t="shared" si="331"/>
        <v>750000</v>
      </c>
      <c r="K854" s="46"/>
      <c r="L854" s="26"/>
      <c r="M854" s="46"/>
      <c r="N854" s="61"/>
      <c r="O854" s="75">
        <f t="shared" si="3"/>
        <v>750000</v>
      </c>
      <c r="P854" s="75">
        <f t="shared" si="4"/>
        <v>750000</v>
      </c>
      <c r="Q854" s="64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41" t="s">
        <v>141</v>
      </c>
      <c r="B855" s="12"/>
      <c r="C855" s="56"/>
      <c r="D855" s="41" t="s">
        <v>142</v>
      </c>
      <c r="E855" s="12"/>
      <c r="F855" s="13"/>
      <c r="G855" s="22"/>
      <c r="H855" s="22"/>
      <c r="I855" s="22"/>
      <c r="J855" s="43">
        <f t="shared" ref="J855:K855" si="332">J856</f>
        <v>145500000</v>
      </c>
      <c r="K855" s="43">
        <f t="shared" si="332"/>
        <v>0</v>
      </c>
      <c r="L855" s="26"/>
      <c r="M855" s="43">
        <f>M856</f>
        <v>0</v>
      </c>
      <c r="N855" s="61"/>
      <c r="O855" s="75">
        <f t="shared" si="3"/>
        <v>145500000</v>
      </c>
      <c r="P855" s="75">
        <f t="shared" si="4"/>
        <v>145500000</v>
      </c>
      <c r="Q855" s="64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35" t="s">
        <v>68</v>
      </c>
      <c r="B856" s="12"/>
      <c r="C856" s="47"/>
      <c r="D856" s="44" t="s">
        <v>69</v>
      </c>
      <c r="E856" s="12"/>
      <c r="F856" s="13"/>
      <c r="G856" s="22"/>
      <c r="H856" s="22"/>
      <c r="I856" s="22"/>
      <c r="J856" s="46">
        <f t="shared" ref="J856:K856" si="333">SUM(J858:J860)</f>
        <v>145500000</v>
      </c>
      <c r="K856" s="46">
        <f t="shared" si="333"/>
        <v>0</v>
      </c>
      <c r="L856" s="26"/>
      <c r="M856" s="46">
        <f>SUM(M858:M860)</f>
        <v>0</v>
      </c>
      <c r="N856" s="61"/>
      <c r="O856" s="75">
        <f t="shared" si="3"/>
        <v>145500000</v>
      </c>
      <c r="P856" s="75">
        <f t="shared" si="4"/>
        <v>145500000</v>
      </c>
      <c r="Q856" s="64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22"/>
      <c r="B857" s="67"/>
      <c r="C857" s="67"/>
      <c r="D857" s="35" t="s">
        <v>23</v>
      </c>
      <c r="E857" s="12"/>
      <c r="F857" s="13"/>
      <c r="G857" s="22"/>
      <c r="H857" s="22"/>
      <c r="I857" s="22"/>
      <c r="J857" s="22"/>
      <c r="K857" s="22"/>
      <c r="L857" s="26"/>
      <c r="M857" s="22"/>
      <c r="N857" s="61"/>
      <c r="O857" s="75">
        <f t="shared" si="3"/>
        <v>0</v>
      </c>
      <c r="P857" s="75">
        <f t="shared" si="4"/>
        <v>0</v>
      </c>
      <c r="Q857" s="64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22"/>
      <c r="B858" s="67"/>
      <c r="C858" s="67"/>
      <c r="D858" s="47" t="s">
        <v>24</v>
      </c>
      <c r="E858" s="35" t="s">
        <v>187</v>
      </c>
      <c r="F858" s="13"/>
      <c r="G858" s="36">
        <v>50.0</v>
      </c>
      <c r="H858" s="36" t="s">
        <v>95</v>
      </c>
      <c r="I858" s="48">
        <v>2000000.0</v>
      </c>
      <c r="J858" s="46">
        <f t="shared" ref="J858:J860" si="334">G858*I858</f>
        <v>100000000</v>
      </c>
      <c r="K858" s="46"/>
      <c r="L858" s="26"/>
      <c r="M858" s="46"/>
      <c r="N858" s="61"/>
      <c r="O858" s="75">
        <f t="shared" si="3"/>
        <v>100000000</v>
      </c>
      <c r="P858" s="75">
        <f t="shared" si="4"/>
        <v>100000000</v>
      </c>
      <c r="Q858" s="64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22"/>
      <c r="B859" s="67"/>
      <c r="C859" s="67"/>
      <c r="D859" s="47" t="s">
        <v>24</v>
      </c>
      <c r="E859" s="35" t="s">
        <v>188</v>
      </c>
      <c r="F859" s="13"/>
      <c r="G859" s="36">
        <v>50.0</v>
      </c>
      <c r="H859" s="36" t="s">
        <v>95</v>
      </c>
      <c r="I859" s="48">
        <v>750000.0</v>
      </c>
      <c r="J859" s="46">
        <f t="shared" si="334"/>
        <v>37500000</v>
      </c>
      <c r="K859" s="46"/>
      <c r="L859" s="26"/>
      <c r="M859" s="46"/>
      <c r="N859" s="61"/>
      <c r="O859" s="75">
        <f t="shared" si="3"/>
        <v>37500000</v>
      </c>
      <c r="P859" s="75">
        <f t="shared" si="4"/>
        <v>37500000</v>
      </c>
      <c r="Q859" s="64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22"/>
      <c r="B860" s="67"/>
      <c r="C860" s="67"/>
      <c r="D860" s="47" t="s">
        <v>24</v>
      </c>
      <c r="E860" s="35" t="s">
        <v>145</v>
      </c>
      <c r="F860" s="13"/>
      <c r="G860" s="36">
        <v>4.0</v>
      </c>
      <c r="H860" s="36" t="s">
        <v>95</v>
      </c>
      <c r="I860" s="48">
        <v>2000000.0</v>
      </c>
      <c r="J860" s="46">
        <f t="shared" si="334"/>
        <v>8000000</v>
      </c>
      <c r="K860" s="46"/>
      <c r="L860" s="26"/>
      <c r="M860" s="46"/>
      <c r="N860" s="61"/>
      <c r="O860" s="75">
        <f t="shared" si="3"/>
        <v>8000000</v>
      </c>
      <c r="P860" s="75">
        <f t="shared" si="4"/>
        <v>8000000</v>
      </c>
      <c r="Q860" s="64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41" t="s">
        <v>146</v>
      </c>
      <c r="B861" s="12"/>
      <c r="C861" s="56"/>
      <c r="D861" s="41" t="s">
        <v>234</v>
      </c>
      <c r="E861" s="12"/>
      <c r="F861" s="13"/>
      <c r="G861" s="22"/>
      <c r="H861" s="22"/>
      <c r="I861" s="22"/>
      <c r="J861" s="43">
        <f t="shared" ref="J861:K861" si="335">J862+J869</f>
        <v>219800000</v>
      </c>
      <c r="K861" s="43">
        <f t="shared" si="335"/>
        <v>0</v>
      </c>
      <c r="L861" s="26"/>
      <c r="M861" s="43">
        <f>M862+M869</f>
        <v>0</v>
      </c>
      <c r="N861" s="61"/>
      <c r="O861" s="75">
        <f t="shared" si="3"/>
        <v>219800000</v>
      </c>
      <c r="P861" s="75">
        <f t="shared" si="4"/>
        <v>219800000</v>
      </c>
      <c r="Q861" s="64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35" t="s">
        <v>74</v>
      </c>
      <c r="B862" s="12"/>
      <c r="C862" s="13"/>
      <c r="D862" s="44" t="s">
        <v>75</v>
      </c>
      <c r="E862" s="12"/>
      <c r="F862" s="13"/>
      <c r="G862" s="22"/>
      <c r="H862" s="22"/>
      <c r="I862" s="22"/>
      <c r="J862" s="46">
        <f t="shared" ref="J862:K862" si="336">SUM(J864:J868)</f>
        <v>195800000</v>
      </c>
      <c r="K862" s="46">
        <f t="shared" si="336"/>
        <v>0</v>
      </c>
      <c r="L862" s="26"/>
      <c r="M862" s="46">
        <f>SUM(M864:M868)</f>
        <v>0</v>
      </c>
      <c r="N862" s="61"/>
      <c r="O862" s="75">
        <f t="shared" si="3"/>
        <v>195800000</v>
      </c>
      <c r="P862" s="75">
        <f t="shared" si="4"/>
        <v>195800000</v>
      </c>
      <c r="Q862" s="64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22"/>
      <c r="B863" s="67"/>
      <c r="C863" s="67"/>
      <c r="D863" s="35" t="s">
        <v>23</v>
      </c>
      <c r="E863" s="12"/>
      <c r="F863" s="13"/>
      <c r="G863" s="22"/>
      <c r="H863" s="22"/>
      <c r="I863" s="22"/>
      <c r="J863" s="22"/>
      <c r="K863" s="22"/>
      <c r="L863" s="26"/>
      <c r="M863" s="22"/>
      <c r="N863" s="61"/>
      <c r="O863" s="75">
        <f t="shared" si="3"/>
        <v>0</v>
      </c>
      <c r="P863" s="75">
        <f t="shared" si="4"/>
        <v>0</v>
      </c>
      <c r="Q863" s="64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22"/>
      <c r="B864" s="67"/>
      <c r="C864" s="67"/>
      <c r="D864" s="47" t="s">
        <v>24</v>
      </c>
      <c r="E864" s="35" t="s">
        <v>235</v>
      </c>
      <c r="F864" s="13"/>
      <c r="G864" s="36">
        <v>25.0</v>
      </c>
      <c r="H864" s="36" t="s">
        <v>26</v>
      </c>
      <c r="I864" s="48">
        <v>875000.0</v>
      </c>
      <c r="J864" s="46">
        <f t="shared" ref="J864:J868" si="337">G864*I864</f>
        <v>21875000</v>
      </c>
      <c r="K864" s="46"/>
      <c r="L864" s="26"/>
      <c r="M864" s="46"/>
      <c r="N864" s="61"/>
      <c r="O864" s="75">
        <f t="shared" si="3"/>
        <v>21875000</v>
      </c>
      <c r="P864" s="75">
        <f t="shared" si="4"/>
        <v>21875000</v>
      </c>
      <c r="Q864" s="64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22"/>
      <c r="B865" s="67"/>
      <c r="C865" s="67"/>
      <c r="D865" s="47" t="s">
        <v>24</v>
      </c>
      <c r="E865" s="35" t="s">
        <v>236</v>
      </c>
      <c r="F865" s="13"/>
      <c r="G865" s="36">
        <v>50.0</v>
      </c>
      <c r="H865" s="36" t="s">
        <v>26</v>
      </c>
      <c r="I865" s="48">
        <v>783500.0</v>
      </c>
      <c r="J865" s="46">
        <f t="shared" si="337"/>
        <v>39175000</v>
      </c>
      <c r="K865" s="46"/>
      <c r="L865" s="26"/>
      <c r="M865" s="46"/>
      <c r="N865" s="61"/>
      <c r="O865" s="75">
        <f t="shared" si="3"/>
        <v>39175000</v>
      </c>
      <c r="P865" s="75">
        <f t="shared" si="4"/>
        <v>39175000</v>
      </c>
      <c r="Q865" s="64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22"/>
      <c r="B866" s="67"/>
      <c r="C866" s="67"/>
      <c r="D866" s="47" t="s">
        <v>24</v>
      </c>
      <c r="E866" s="35" t="s">
        <v>237</v>
      </c>
      <c r="F866" s="13"/>
      <c r="G866" s="36">
        <v>75.0</v>
      </c>
      <c r="H866" s="36" t="s">
        <v>26</v>
      </c>
      <c r="I866" s="48">
        <v>430000.0</v>
      </c>
      <c r="J866" s="46">
        <f t="shared" si="337"/>
        <v>32250000</v>
      </c>
      <c r="K866" s="46"/>
      <c r="L866" s="26"/>
      <c r="M866" s="46"/>
      <c r="N866" s="61"/>
      <c r="O866" s="75">
        <f t="shared" si="3"/>
        <v>32250000</v>
      </c>
      <c r="P866" s="75">
        <f t="shared" si="4"/>
        <v>32250000</v>
      </c>
      <c r="Q866" s="64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22"/>
      <c r="B867" s="67"/>
      <c r="C867" s="67"/>
      <c r="D867" s="47" t="s">
        <v>24</v>
      </c>
      <c r="E867" s="35" t="s">
        <v>238</v>
      </c>
      <c r="F867" s="13"/>
      <c r="G867" s="36">
        <v>100.0</v>
      </c>
      <c r="H867" s="36" t="s">
        <v>26</v>
      </c>
      <c r="I867" s="48">
        <v>500000.0</v>
      </c>
      <c r="J867" s="46">
        <f t="shared" si="337"/>
        <v>50000000</v>
      </c>
      <c r="K867" s="46"/>
      <c r="L867" s="26"/>
      <c r="M867" s="46"/>
      <c r="N867" s="61"/>
      <c r="O867" s="75">
        <f t="shared" si="3"/>
        <v>50000000</v>
      </c>
      <c r="P867" s="75">
        <f t="shared" si="4"/>
        <v>50000000</v>
      </c>
      <c r="Q867" s="64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22"/>
      <c r="B868" s="67"/>
      <c r="C868" s="67"/>
      <c r="D868" s="47" t="s">
        <v>24</v>
      </c>
      <c r="E868" s="35" t="s">
        <v>239</v>
      </c>
      <c r="F868" s="13"/>
      <c r="G868" s="36">
        <v>150.0</v>
      </c>
      <c r="H868" s="36" t="s">
        <v>26</v>
      </c>
      <c r="I868" s="48">
        <v>350000.0</v>
      </c>
      <c r="J868" s="46">
        <f t="shared" si="337"/>
        <v>52500000</v>
      </c>
      <c r="K868" s="46"/>
      <c r="L868" s="26"/>
      <c r="M868" s="46"/>
      <c r="N868" s="61"/>
      <c r="O868" s="75">
        <f t="shared" si="3"/>
        <v>52500000</v>
      </c>
      <c r="P868" s="75">
        <f t="shared" si="4"/>
        <v>52500000</v>
      </c>
      <c r="Q868" s="64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35" t="s">
        <v>79</v>
      </c>
      <c r="B869" s="12"/>
      <c r="C869" s="13"/>
      <c r="D869" s="44" t="s">
        <v>80</v>
      </c>
      <c r="E869" s="12"/>
      <c r="F869" s="13"/>
      <c r="G869" s="22"/>
      <c r="H869" s="22"/>
      <c r="I869" s="22"/>
      <c r="J869" s="46">
        <f t="shared" ref="J869:K869" si="338">J871</f>
        <v>24000000</v>
      </c>
      <c r="K869" s="46" t="str">
        <f t="shared" si="338"/>
        <v/>
      </c>
      <c r="L869" s="26"/>
      <c r="M869" s="46" t="str">
        <f>M871</f>
        <v/>
      </c>
      <c r="N869" s="61"/>
      <c r="O869" s="75">
        <f t="shared" si="3"/>
        <v>24000000</v>
      </c>
      <c r="P869" s="75">
        <f t="shared" si="4"/>
        <v>24000000</v>
      </c>
      <c r="Q869" s="64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22"/>
      <c r="B870" s="67"/>
      <c r="C870" s="67"/>
      <c r="D870" s="35" t="s">
        <v>23</v>
      </c>
      <c r="E870" s="12"/>
      <c r="F870" s="13"/>
      <c r="G870" s="22"/>
      <c r="H870" s="22"/>
      <c r="I870" s="22"/>
      <c r="J870" s="22"/>
      <c r="K870" s="22"/>
      <c r="L870" s="26"/>
      <c r="M870" s="22"/>
      <c r="N870" s="61"/>
      <c r="O870" s="75">
        <f t="shared" si="3"/>
        <v>0</v>
      </c>
      <c r="P870" s="75">
        <f t="shared" si="4"/>
        <v>0</v>
      </c>
      <c r="Q870" s="64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22"/>
      <c r="B871" s="67"/>
      <c r="C871" s="67"/>
      <c r="D871" s="47" t="s">
        <v>24</v>
      </c>
      <c r="E871" s="35" t="s">
        <v>240</v>
      </c>
      <c r="F871" s="13"/>
      <c r="G871" s="36">
        <v>160.0</v>
      </c>
      <c r="H871" s="36" t="s">
        <v>26</v>
      </c>
      <c r="I871" s="48">
        <v>150000.0</v>
      </c>
      <c r="J871" s="46">
        <f>G871*I871</f>
        <v>24000000</v>
      </c>
      <c r="K871" s="46"/>
      <c r="L871" s="26"/>
      <c r="M871" s="46"/>
      <c r="N871" s="61"/>
      <c r="O871" s="75">
        <f t="shared" si="3"/>
        <v>24000000</v>
      </c>
      <c r="P871" s="75">
        <f t="shared" si="4"/>
        <v>24000000</v>
      </c>
      <c r="Q871" s="64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22"/>
      <c r="B872" s="89" t="s">
        <v>287</v>
      </c>
      <c r="C872" s="12"/>
      <c r="D872" s="13"/>
      <c r="E872" s="90" t="s">
        <v>219</v>
      </c>
      <c r="F872" s="13"/>
      <c r="G872" s="82"/>
      <c r="H872" s="82"/>
      <c r="I872" s="83"/>
      <c r="J872" s="84">
        <f t="shared" ref="J872:K872" si="339">J873+J887+J899+J912+J929+J938+J948+J953+J969+J983+J991+J999+J1005</f>
        <v>3064496000</v>
      </c>
      <c r="K872" s="84">
        <f t="shared" si="339"/>
        <v>100440000</v>
      </c>
      <c r="L872" s="26"/>
      <c r="M872" s="84">
        <f>M873+M887+M899+M912+M929+M938+M948+M953+M969+M983+M991+M999+M1005</f>
        <v>219022054</v>
      </c>
      <c r="N872" s="61"/>
      <c r="O872" s="75">
        <f t="shared" si="3"/>
        <v>2964056000</v>
      </c>
      <c r="P872" s="75">
        <f t="shared" si="4"/>
        <v>2845473946</v>
      </c>
      <c r="Q872" s="64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22"/>
      <c r="B873" s="22"/>
      <c r="C873" s="41" t="s">
        <v>20</v>
      </c>
      <c r="D873" s="13"/>
      <c r="E873" s="41" t="s">
        <v>21</v>
      </c>
      <c r="F873" s="13"/>
      <c r="G873" s="22"/>
      <c r="H873" s="22"/>
      <c r="I873" s="22"/>
      <c r="J873" s="43">
        <f t="shared" ref="J873:K873" si="340">J874+J883</f>
        <v>142640000</v>
      </c>
      <c r="K873" s="43">
        <f t="shared" si="340"/>
        <v>0</v>
      </c>
      <c r="L873" s="26"/>
      <c r="M873" s="43">
        <f>M874+M883</f>
        <v>53650850</v>
      </c>
      <c r="N873" s="61"/>
      <c r="O873" s="75">
        <f t="shared" si="3"/>
        <v>142640000</v>
      </c>
      <c r="P873" s="75">
        <f t="shared" si="4"/>
        <v>88989150</v>
      </c>
      <c r="Q873" s="64"/>
      <c r="R873" s="1"/>
      <c r="S873" s="1"/>
      <c r="T873" s="1"/>
      <c r="U873" s="1"/>
      <c r="V873" s="1"/>
      <c r="W873" s="1"/>
      <c r="X873" s="1"/>
      <c r="Y873" s="1"/>
      <c r="Z873" s="1"/>
    </row>
    <row r="874" ht="9.75" customHeight="1">
      <c r="A874" s="61"/>
      <c r="B874" s="61"/>
      <c r="C874" s="35" t="s">
        <v>40</v>
      </c>
      <c r="D874" s="13"/>
      <c r="E874" s="44" t="s">
        <v>22</v>
      </c>
      <c r="F874" s="13"/>
      <c r="G874" s="22"/>
      <c r="H874" s="22"/>
      <c r="I874" s="22"/>
      <c r="J874" s="46">
        <f t="shared" ref="J874:K874" si="341">SUM(J876:J882)</f>
        <v>130640000</v>
      </c>
      <c r="K874" s="46">
        <f t="shared" si="341"/>
        <v>0</v>
      </c>
      <c r="L874" s="26"/>
      <c r="M874" s="46">
        <f>SUM(M876:M882)</f>
        <v>53650850</v>
      </c>
      <c r="N874" s="61"/>
      <c r="O874" s="75">
        <f t="shared" si="3"/>
        <v>130640000</v>
      </c>
      <c r="P874" s="75">
        <f t="shared" si="4"/>
        <v>76989150</v>
      </c>
      <c r="Q874" s="64"/>
      <c r="R874" s="1"/>
      <c r="S874" s="1"/>
      <c r="T874" s="1"/>
      <c r="U874" s="1"/>
      <c r="V874" s="1"/>
      <c r="W874" s="1"/>
      <c r="X874" s="1"/>
      <c r="Y874" s="1"/>
      <c r="Z874" s="1"/>
    </row>
    <row r="875" ht="9.75" customHeight="1">
      <c r="A875" s="61"/>
      <c r="B875" s="91"/>
      <c r="C875" s="67"/>
      <c r="D875" s="22"/>
      <c r="E875" s="35" t="s">
        <v>23</v>
      </c>
      <c r="F875" s="13"/>
      <c r="G875" s="22"/>
      <c r="H875" s="22"/>
      <c r="I875" s="22"/>
      <c r="J875" s="22"/>
      <c r="K875" s="22"/>
      <c r="L875" s="26"/>
      <c r="M875" s="22"/>
      <c r="N875" s="61"/>
      <c r="O875" s="75">
        <f t="shared" si="3"/>
        <v>0</v>
      </c>
      <c r="P875" s="75">
        <f t="shared" si="4"/>
        <v>0</v>
      </c>
      <c r="Q875" s="64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61"/>
      <c r="B876" s="91"/>
      <c r="C876" s="67"/>
      <c r="D876" s="22"/>
      <c r="E876" s="59" t="s">
        <v>156</v>
      </c>
      <c r="F876" s="47"/>
      <c r="G876" s="36">
        <v>24.0</v>
      </c>
      <c r="H876" s="36" t="s">
        <v>26</v>
      </c>
      <c r="I876" s="48">
        <v>500000.0</v>
      </c>
      <c r="J876" s="46">
        <f t="shared" ref="J876:J882" si="342">G876*I876</f>
        <v>12000000</v>
      </c>
      <c r="K876" s="46"/>
      <c r="L876" s="26"/>
      <c r="M876" s="53">
        <v>4150500.0</v>
      </c>
      <c r="N876" s="61"/>
      <c r="O876" s="75">
        <f t="shared" si="3"/>
        <v>12000000</v>
      </c>
      <c r="P876" s="75">
        <f t="shared" si="4"/>
        <v>7849500</v>
      </c>
      <c r="Q876" s="64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61"/>
      <c r="B877" s="91"/>
      <c r="C877" s="67"/>
      <c r="D877" s="22"/>
      <c r="E877" s="59" t="s">
        <v>27</v>
      </c>
      <c r="F877" s="47"/>
      <c r="G877" s="36">
        <v>2.0</v>
      </c>
      <c r="H877" s="36" t="s">
        <v>26</v>
      </c>
      <c r="I877" s="48">
        <v>2000000.0</v>
      </c>
      <c r="J877" s="46">
        <f t="shared" si="342"/>
        <v>4000000</v>
      </c>
      <c r="K877" s="46"/>
      <c r="L877" s="26"/>
      <c r="M877" s="46"/>
      <c r="N877" s="61"/>
      <c r="O877" s="75">
        <f t="shared" si="3"/>
        <v>4000000</v>
      </c>
      <c r="P877" s="75">
        <f t="shared" si="4"/>
        <v>4000000</v>
      </c>
      <c r="Q877" s="64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61"/>
      <c r="B878" s="91"/>
      <c r="C878" s="67"/>
      <c r="D878" s="22"/>
      <c r="E878" s="59" t="s">
        <v>28</v>
      </c>
      <c r="F878" s="47"/>
      <c r="G878" s="36">
        <v>10.0</v>
      </c>
      <c r="H878" s="36" t="s">
        <v>26</v>
      </c>
      <c r="I878" s="48">
        <v>500000.0</v>
      </c>
      <c r="J878" s="46">
        <f t="shared" si="342"/>
        <v>5000000</v>
      </c>
      <c r="K878" s="46"/>
      <c r="L878" s="26"/>
      <c r="M878" s="46"/>
      <c r="N878" s="61"/>
      <c r="O878" s="75">
        <f t="shared" si="3"/>
        <v>5000000</v>
      </c>
      <c r="P878" s="75">
        <f t="shared" si="4"/>
        <v>5000000</v>
      </c>
      <c r="Q878" s="64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61"/>
      <c r="B879" s="91"/>
      <c r="C879" s="67"/>
      <c r="D879" s="22"/>
      <c r="E879" s="59" t="s">
        <v>157</v>
      </c>
      <c r="F879" s="47"/>
      <c r="G879" s="36">
        <v>200.0</v>
      </c>
      <c r="H879" s="36" t="s">
        <v>26</v>
      </c>
      <c r="I879" s="48">
        <v>25000.0</v>
      </c>
      <c r="J879" s="46">
        <f t="shared" si="342"/>
        <v>5000000</v>
      </c>
      <c r="K879" s="46"/>
      <c r="L879" s="26"/>
      <c r="M879" s="53">
        <v>446000.0</v>
      </c>
      <c r="N879" s="61"/>
      <c r="O879" s="75">
        <f t="shared" si="3"/>
        <v>5000000</v>
      </c>
      <c r="P879" s="75">
        <f t="shared" si="4"/>
        <v>4554000</v>
      </c>
      <c r="Q879" s="64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61"/>
      <c r="B880" s="91"/>
      <c r="C880" s="67"/>
      <c r="D880" s="22"/>
      <c r="E880" s="59" t="s">
        <v>31</v>
      </c>
      <c r="F880" s="47"/>
      <c r="G880" s="36">
        <v>320.0</v>
      </c>
      <c r="H880" s="36" t="s">
        <v>26</v>
      </c>
      <c r="I880" s="48">
        <v>53000.0</v>
      </c>
      <c r="J880" s="46">
        <f t="shared" si="342"/>
        <v>16960000</v>
      </c>
      <c r="K880" s="46"/>
      <c r="L880" s="26"/>
      <c r="M880" s="53">
        <v>8556000.0</v>
      </c>
      <c r="N880" s="61"/>
      <c r="O880" s="75">
        <f t="shared" si="3"/>
        <v>16960000</v>
      </c>
      <c r="P880" s="75">
        <f t="shared" si="4"/>
        <v>8404000</v>
      </c>
      <c r="Q880" s="64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61"/>
      <c r="B881" s="91"/>
      <c r="C881" s="67"/>
      <c r="D881" s="22"/>
      <c r="E881" s="59" t="s">
        <v>32</v>
      </c>
      <c r="F881" s="47"/>
      <c r="G881" s="36">
        <v>320.0</v>
      </c>
      <c r="H881" s="36" t="s">
        <v>26</v>
      </c>
      <c r="I881" s="48">
        <v>24000.0</v>
      </c>
      <c r="J881" s="46">
        <f t="shared" si="342"/>
        <v>7680000</v>
      </c>
      <c r="K881" s="46"/>
      <c r="L881" s="26"/>
      <c r="M881" s="46"/>
      <c r="N881" s="61"/>
      <c r="O881" s="75">
        <f t="shared" si="3"/>
        <v>7680000</v>
      </c>
      <c r="P881" s="75">
        <f t="shared" si="4"/>
        <v>7680000</v>
      </c>
      <c r="Q881" s="64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61"/>
      <c r="B882" s="91"/>
      <c r="C882" s="67"/>
      <c r="D882" s="22"/>
      <c r="E882" s="59" t="s">
        <v>288</v>
      </c>
      <c r="F882" s="47"/>
      <c r="G882" s="36">
        <v>100.0</v>
      </c>
      <c r="H882" s="36" t="s">
        <v>26</v>
      </c>
      <c r="I882" s="48">
        <v>800000.0</v>
      </c>
      <c r="J882" s="46">
        <f t="shared" si="342"/>
        <v>80000000</v>
      </c>
      <c r="K882" s="46"/>
      <c r="L882" s="26"/>
      <c r="M882" s="53">
        <v>4.049835E7</v>
      </c>
      <c r="N882" s="61"/>
      <c r="O882" s="75">
        <f t="shared" si="3"/>
        <v>80000000</v>
      </c>
      <c r="P882" s="75">
        <f t="shared" si="4"/>
        <v>39501650</v>
      </c>
      <c r="Q882" s="64"/>
      <c r="R882" s="1"/>
      <c r="S882" s="1"/>
      <c r="T882" s="1"/>
      <c r="U882" s="1"/>
      <c r="V882" s="1"/>
      <c r="W882" s="1"/>
      <c r="X882" s="1"/>
      <c r="Y882" s="1"/>
      <c r="Z882" s="1"/>
    </row>
    <row r="883" ht="9.75" customHeight="1">
      <c r="A883" s="61"/>
      <c r="B883" s="61"/>
      <c r="C883" s="35" t="s">
        <v>58</v>
      </c>
      <c r="D883" s="13"/>
      <c r="E883" s="44" t="s">
        <v>34</v>
      </c>
      <c r="F883" s="13"/>
      <c r="G883" s="22"/>
      <c r="H883" s="22"/>
      <c r="I883" s="22"/>
      <c r="J883" s="46">
        <f t="shared" ref="J883:K883" si="343">SUM(J885:J886)</f>
        <v>12000000</v>
      </c>
      <c r="K883" s="46">
        <f t="shared" si="343"/>
        <v>0</v>
      </c>
      <c r="L883" s="26"/>
      <c r="M883" s="46">
        <f>SUM(M885:M886)</f>
        <v>0</v>
      </c>
      <c r="N883" s="61"/>
      <c r="O883" s="75">
        <f t="shared" si="3"/>
        <v>12000000</v>
      </c>
      <c r="P883" s="75">
        <f t="shared" si="4"/>
        <v>12000000</v>
      </c>
      <c r="Q883" s="64"/>
      <c r="R883" s="1"/>
      <c r="S883" s="1"/>
      <c r="T883" s="1"/>
      <c r="U883" s="1"/>
      <c r="V883" s="1"/>
      <c r="W883" s="1"/>
      <c r="X883" s="1"/>
      <c r="Y883" s="1"/>
      <c r="Z883" s="1"/>
    </row>
    <row r="884" ht="9.75" customHeight="1">
      <c r="A884" s="61"/>
      <c r="B884" s="91"/>
      <c r="C884" s="67"/>
      <c r="D884" s="22"/>
      <c r="E884" s="35" t="s">
        <v>23</v>
      </c>
      <c r="F884" s="13"/>
      <c r="G884" s="22"/>
      <c r="H884" s="22"/>
      <c r="I884" s="22"/>
      <c r="J884" s="22"/>
      <c r="K884" s="22"/>
      <c r="L884" s="26"/>
      <c r="M884" s="22"/>
      <c r="N884" s="61"/>
      <c r="O884" s="75">
        <f t="shared" si="3"/>
        <v>0</v>
      </c>
      <c r="P884" s="75">
        <f t="shared" si="4"/>
        <v>0</v>
      </c>
      <c r="Q884" s="64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61"/>
      <c r="B885" s="91"/>
      <c r="C885" s="67"/>
      <c r="D885" s="22"/>
      <c r="E885" s="59" t="s">
        <v>159</v>
      </c>
      <c r="F885" s="59"/>
      <c r="G885" s="36">
        <v>16.0</v>
      </c>
      <c r="H885" s="36" t="s">
        <v>26</v>
      </c>
      <c r="I885" s="48">
        <v>500000.0</v>
      </c>
      <c r="J885" s="46">
        <f t="shared" ref="J885:J886" si="344">G885*I885</f>
        <v>8000000</v>
      </c>
      <c r="K885" s="46"/>
      <c r="L885" s="26"/>
      <c r="M885" s="46"/>
      <c r="N885" s="61"/>
      <c r="O885" s="75">
        <f t="shared" si="3"/>
        <v>8000000</v>
      </c>
      <c r="P885" s="75">
        <f t="shared" si="4"/>
        <v>8000000</v>
      </c>
      <c r="Q885" s="64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61"/>
      <c r="B886" s="91"/>
      <c r="C886" s="67"/>
      <c r="D886" s="22"/>
      <c r="E886" s="59" t="s">
        <v>230</v>
      </c>
      <c r="F886" s="59"/>
      <c r="G886" s="36">
        <v>8.0</v>
      </c>
      <c r="H886" s="36" t="s">
        <v>26</v>
      </c>
      <c r="I886" s="48">
        <v>500000.0</v>
      </c>
      <c r="J886" s="46">
        <f t="shared" si="344"/>
        <v>4000000</v>
      </c>
      <c r="K886" s="46"/>
      <c r="L886" s="26"/>
      <c r="M886" s="46"/>
      <c r="N886" s="61"/>
      <c r="O886" s="75">
        <f t="shared" si="3"/>
        <v>4000000</v>
      </c>
      <c r="P886" s="75">
        <f t="shared" si="4"/>
        <v>4000000</v>
      </c>
      <c r="Q886" s="64"/>
      <c r="R886" s="1"/>
      <c r="S886" s="1"/>
      <c r="T886" s="1"/>
      <c r="U886" s="1"/>
      <c r="V886" s="1"/>
      <c r="W886" s="1"/>
      <c r="X886" s="1"/>
      <c r="Y886" s="1"/>
      <c r="Z886" s="1"/>
    </row>
    <row r="887" ht="9.75" customHeight="1">
      <c r="A887" s="61"/>
      <c r="B887" s="61"/>
      <c r="C887" s="41" t="s">
        <v>37</v>
      </c>
      <c r="D887" s="13"/>
      <c r="E887" s="59" t="s">
        <v>38</v>
      </c>
      <c r="F887" s="59"/>
      <c r="G887" s="22"/>
      <c r="H887" s="22"/>
      <c r="I887" s="22"/>
      <c r="J887" s="43">
        <f t="shared" ref="J887:K887" si="345">J888+J893+J896</f>
        <v>24400000</v>
      </c>
      <c r="K887" s="43">
        <f t="shared" si="345"/>
        <v>0</v>
      </c>
      <c r="L887" s="26"/>
      <c r="M887" s="43">
        <f>M888+M893+M896</f>
        <v>6123375</v>
      </c>
      <c r="N887" s="61"/>
      <c r="O887" s="75">
        <f t="shared" si="3"/>
        <v>24400000</v>
      </c>
      <c r="P887" s="75">
        <f t="shared" si="4"/>
        <v>18276625</v>
      </c>
      <c r="Q887" s="64"/>
      <c r="R887" s="1"/>
      <c r="S887" s="1"/>
      <c r="T887" s="1"/>
      <c r="U887" s="1"/>
      <c r="V887" s="1"/>
      <c r="W887" s="1"/>
      <c r="X887" s="1"/>
      <c r="Y887" s="1"/>
      <c r="Z887" s="1"/>
    </row>
    <row r="888" ht="9.75" customHeight="1">
      <c r="A888" s="61"/>
      <c r="B888" s="61"/>
      <c r="C888" s="35" t="s">
        <v>40</v>
      </c>
      <c r="D888" s="13"/>
      <c r="E888" s="59" t="s">
        <v>22</v>
      </c>
      <c r="F888" s="59"/>
      <c r="G888" s="22"/>
      <c r="H888" s="22"/>
      <c r="I888" s="22"/>
      <c r="J888" s="46">
        <f t="shared" ref="J888:K888" si="346">SUM(J890:J892)</f>
        <v>6400000</v>
      </c>
      <c r="K888" s="46">
        <f t="shared" si="346"/>
        <v>0</v>
      </c>
      <c r="L888" s="26"/>
      <c r="M888" s="46">
        <f>SUM(M890:M892)</f>
        <v>2870000</v>
      </c>
      <c r="N888" s="61"/>
      <c r="O888" s="75">
        <f t="shared" si="3"/>
        <v>6400000</v>
      </c>
      <c r="P888" s="75">
        <f t="shared" si="4"/>
        <v>3530000</v>
      </c>
      <c r="Q888" s="64"/>
      <c r="R888" s="1"/>
      <c r="S888" s="1"/>
      <c r="T888" s="1"/>
      <c r="U888" s="1"/>
      <c r="V888" s="1"/>
      <c r="W888" s="1"/>
      <c r="X888" s="1"/>
      <c r="Y888" s="1"/>
      <c r="Z888" s="1"/>
    </row>
    <row r="889" ht="9.75" customHeight="1">
      <c r="A889" s="61"/>
      <c r="B889" s="91"/>
      <c r="C889" s="67"/>
      <c r="D889" s="22"/>
      <c r="E889" s="59" t="s">
        <v>23</v>
      </c>
      <c r="F889" s="59"/>
      <c r="G889" s="22"/>
      <c r="H889" s="22"/>
      <c r="I889" s="22"/>
      <c r="J889" s="22"/>
      <c r="K889" s="22"/>
      <c r="L889" s="26"/>
      <c r="M889" s="22"/>
      <c r="N889" s="61"/>
      <c r="O889" s="75">
        <f t="shared" si="3"/>
        <v>0</v>
      </c>
      <c r="P889" s="75">
        <f t="shared" si="4"/>
        <v>0</v>
      </c>
      <c r="Q889" s="64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61"/>
      <c r="B890" s="91"/>
      <c r="C890" s="67"/>
      <c r="D890" s="22"/>
      <c r="E890" s="59" t="s">
        <v>160</v>
      </c>
      <c r="F890" s="59"/>
      <c r="G890" s="36">
        <v>100.0</v>
      </c>
      <c r="H890" s="36" t="s">
        <v>26</v>
      </c>
      <c r="I890" s="48">
        <v>53000.0</v>
      </c>
      <c r="J890" s="46">
        <f t="shared" ref="J890:J892" si="347">G890*I890</f>
        <v>5300000</v>
      </c>
      <c r="K890" s="46"/>
      <c r="L890" s="26"/>
      <c r="M890" s="53">
        <v>2870000.0</v>
      </c>
      <c r="N890" s="61"/>
      <c r="O890" s="75">
        <f t="shared" si="3"/>
        <v>5300000</v>
      </c>
      <c r="P890" s="75">
        <f t="shared" si="4"/>
        <v>2430000</v>
      </c>
      <c r="Q890" s="64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61"/>
      <c r="B891" s="91"/>
      <c r="C891" s="67"/>
      <c r="D891" s="22"/>
      <c r="E891" s="59" t="s">
        <v>42</v>
      </c>
      <c r="F891" s="59"/>
      <c r="G891" s="36">
        <v>2.0</v>
      </c>
      <c r="H891" s="36" t="s">
        <v>26</v>
      </c>
      <c r="I891" s="48">
        <v>250000.0</v>
      </c>
      <c r="J891" s="46">
        <f t="shared" si="347"/>
        <v>500000</v>
      </c>
      <c r="K891" s="46"/>
      <c r="L891" s="26"/>
      <c r="M891" s="46"/>
      <c r="N891" s="61"/>
      <c r="O891" s="75">
        <f t="shared" si="3"/>
        <v>500000</v>
      </c>
      <c r="P891" s="75">
        <f t="shared" si="4"/>
        <v>500000</v>
      </c>
      <c r="Q891" s="64"/>
      <c r="R891" s="1"/>
      <c r="S891" s="1"/>
      <c r="T891" s="1"/>
      <c r="U891" s="1"/>
      <c r="V891" s="1"/>
      <c r="W891" s="1"/>
      <c r="X891" s="1"/>
      <c r="Y891" s="1"/>
      <c r="Z891" s="1"/>
    </row>
    <row r="892" ht="9.75" customHeight="1">
      <c r="A892" s="61"/>
      <c r="B892" s="91"/>
      <c r="C892" s="67"/>
      <c r="D892" s="22"/>
      <c r="E892" s="59" t="s">
        <v>43</v>
      </c>
      <c r="F892" s="59"/>
      <c r="G892" s="36">
        <v>2.0</v>
      </c>
      <c r="H892" s="36" t="s">
        <v>26</v>
      </c>
      <c r="I892" s="48">
        <v>300000.0</v>
      </c>
      <c r="J892" s="46">
        <f t="shared" si="347"/>
        <v>600000</v>
      </c>
      <c r="K892" s="46"/>
      <c r="L892" s="26"/>
      <c r="M892" s="46"/>
      <c r="N892" s="61"/>
      <c r="O892" s="75">
        <f t="shared" si="3"/>
        <v>600000</v>
      </c>
      <c r="P892" s="75">
        <f t="shared" si="4"/>
        <v>600000</v>
      </c>
      <c r="Q892" s="64"/>
      <c r="R892" s="1"/>
      <c r="S892" s="1"/>
      <c r="T892" s="1"/>
      <c r="U892" s="1"/>
      <c r="V892" s="1"/>
      <c r="W892" s="1"/>
      <c r="X892" s="1"/>
      <c r="Y892" s="1"/>
      <c r="Z892" s="1"/>
    </row>
    <row r="893" ht="9.75" customHeight="1">
      <c r="A893" s="61"/>
      <c r="B893" s="61"/>
      <c r="C893" s="35" t="s">
        <v>44</v>
      </c>
      <c r="D893" s="13"/>
      <c r="E893" s="59" t="s">
        <v>45</v>
      </c>
      <c r="F893" s="59"/>
      <c r="G893" s="22"/>
      <c r="H893" s="22"/>
      <c r="I893" s="22"/>
      <c r="J893" s="46">
        <f t="shared" ref="J893:K893" si="348">J895</f>
        <v>2000000</v>
      </c>
      <c r="K893" s="46" t="str">
        <f t="shared" si="348"/>
        <v/>
      </c>
      <c r="L893" s="26"/>
      <c r="M893" s="46" t="str">
        <f>M895</f>
        <v/>
      </c>
      <c r="N893" s="61"/>
      <c r="O893" s="75">
        <f t="shared" si="3"/>
        <v>2000000</v>
      </c>
      <c r="P893" s="75">
        <f t="shared" si="4"/>
        <v>2000000</v>
      </c>
      <c r="Q893" s="64"/>
      <c r="R893" s="1"/>
      <c r="S893" s="1"/>
      <c r="T893" s="1"/>
      <c r="U893" s="1"/>
      <c r="V893" s="1"/>
      <c r="W893" s="1"/>
      <c r="X893" s="1"/>
      <c r="Y893" s="1"/>
      <c r="Z893" s="1"/>
    </row>
    <row r="894" ht="9.75" customHeight="1">
      <c r="A894" s="61"/>
      <c r="B894" s="91"/>
      <c r="C894" s="67"/>
      <c r="D894" s="22"/>
      <c r="E894" s="59" t="s">
        <v>23</v>
      </c>
      <c r="F894" s="59"/>
      <c r="G894" s="22"/>
      <c r="H894" s="22"/>
      <c r="I894" s="22"/>
      <c r="J894" s="22"/>
      <c r="K894" s="22"/>
      <c r="L894" s="26"/>
      <c r="M894" s="22"/>
      <c r="N894" s="61"/>
      <c r="O894" s="75">
        <f t="shared" si="3"/>
        <v>0</v>
      </c>
      <c r="P894" s="75">
        <f t="shared" si="4"/>
        <v>0</v>
      </c>
      <c r="Q894" s="64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61"/>
      <c r="B895" s="91"/>
      <c r="C895" s="67"/>
      <c r="D895" s="22"/>
      <c r="E895" s="59" t="s">
        <v>161</v>
      </c>
      <c r="F895" s="59"/>
      <c r="G895" s="36">
        <v>4.0</v>
      </c>
      <c r="H895" s="36" t="s">
        <v>26</v>
      </c>
      <c r="I895" s="48">
        <v>500000.0</v>
      </c>
      <c r="J895" s="46">
        <f>G895*I895</f>
        <v>2000000</v>
      </c>
      <c r="K895" s="46"/>
      <c r="L895" s="26"/>
      <c r="M895" s="46"/>
      <c r="N895" s="61"/>
      <c r="O895" s="75">
        <f t="shared" si="3"/>
        <v>2000000</v>
      </c>
      <c r="P895" s="75">
        <f t="shared" si="4"/>
        <v>2000000</v>
      </c>
      <c r="Q895" s="64"/>
      <c r="R895" s="1"/>
      <c r="S895" s="1"/>
      <c r="T895" s="1"/>
      <c r="U895" s="1"/>
      <c r="V895" s="1"/>
      <c r="W895" s="1"/>
      <c r="X895" s="1"/>
      <c r="Y895" s="1"/>
      <c r="Z895" s="1"/>
    </row>
    <row r="896" ht="9.75" customHeight="1">
      <c r="A896" s="61"/>
      <c r="B896" s="61"/>
      <c r="C896" s="35" t="s">
        <v>47</v>
      </c>
      <c r="D896" s="13"/>
      <c r="E896" s="59" t="s">
        <v>48</v>
      </c>
      <c r="F896" s="59"/>
      <c r="G896" s="22"/>
      <c r="H896" s="22"/>
      <c r="I896" s="22"/>
      <c r="J896" s="46">
        <f t="shared" ref="J896:K896" si="349">J898</f>
        <v>16000000</v>
      </c>
      <c r="K896" s="46" t="str">
        <f t="shared" si="349"/>
        <v/>
      </c>
      <c r="L896" s="26"/>
      <c r="M896" s="46">
        <f>M898</f>
        <v>3253375</v>
      </c>
      <c r="N896" s="61"/>
      <c r="O896" s="75">
        <f t="shared" si="3"/>
        <v>16000000</v>
      </c>
      <c r="P896" s="75">
        <f t="shared" si="4"/>
        <v>12746625</v>
      </c>
      <c r="Q896" s="64"/>
      <c r="R896" s="1"/>
      <c r="S896" s="1"/>
      <c r="T896" s="1"/>
      <c r="U896" s="1"/>
      <c r="V896" s="1"/>
      <c r="W896" s="1"/>
      <c r="X896" s="1"/>
      <c r="Y896" s="1"/>
      <c r="Z896" s="1"/>
    </row>
    <row r="897" ht="9.75" customHeight="1">
      <c r="A897" s="61"/>
      <c r="B897" s="91"/>
      <c r="C897" s="67"/>
      <c r="D897" s="22"/>
      <c r="E897" s="59" t="s">
        <v>23</v>
      </c>
      <c r="F897" s="59"/>
      <c r="G897" s="22"/>
      <c r="H897" s="22"/>
      <c r="I897" s="22"/>
      <c r="J897" s="22"/>
      <c r="K897" s="22"/>
      <c r="L897" s="26"/>
      <c r="M897" s="22"/>
      <c r="N897" s="61"/>
      <c r="O897" s="75">
        <f t="shared" si="3"/>
        <v>0</v>
      </c>
      <c r="P897" s="75">
        <f t="shared" si="4"/>
        <v>0</v>
      </c>
      <c r="Q897" s="64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61"/>
      <c r="B898" s="91"/>
      <c r="C898" s="67"/>
      <c r="D898" s="22"/>
      <c r="E898" s="59" t="s">
        <v>162</v>
      </c>
      <c r="F898" s="59"/>
      <c r="G898" s="36">
        <v>4.0</v>
      </c>
      <c r="H898" s="36" t="s">
        <v>26</v>
      </c>
      <c r="I898" s="48">
        <v>4000000.0</v>
      </c>
      <c r="J898" s="46">
        <f>G898*I898</f>
        <v>16000000</v>
      </c>
      <c r="K898" s="46"/>
      <c r="L898" s="26"/>
      <c r="M898" s="53">
        <v>3253375.0</v>
      </c>
      <c r="N898" s="61"/>
      <c r="O898" s="75">
        <f t="shared" si="3"/>
        <v>16000000</v>
      </c>
      <c r="P898" s="75">
        <f t="shared" si="4"/>
        <v>12746625</v>
      </c>
      <c r="Q898" s="64"/>
      <c r="R898" s="1"/>
      <c r="S898" s="1"/>
      <c r="T898" s="1"/>
      <c r="U898" s="1"/>
      <c r="V898" s="1"/>
      <c r="W898" s="1"/>
      <c r="X898" s="1"/>
      <c r="Y898" s="1"/>
      <c r="Z898" s="1"/>
    </row>
    <row r="899" ht="9.75" customHeight="1">
      <c r="A899" s="61"/>
      <c r="B899" s="61"/>
      <c r="C899" s="41" t="s">
        <v>50</v>
      </c>
      <c r="D899" s="13"/>
      <c r="E899" s="59" t="s">
        <v>51</v>
      </c>
      <c r="F899" s="59"/>
      <c r="G899" s="22"/>
      <c r="H899" s="22"/>
      <c r="I899" s="22"/>
      <c r="J899" s="43">
        <f t="shared" ref="J899:K899" si="350">J900+J906+J909</f>
        <v>56050000</v>
      </c>
      <c r="K899" s="43">
        <f t="shared" si="350"/>
        <v>0</v>
      </c>
      <c r="L899" s="26"/>
      <c r="M899" s="43">
        <f>M900+M906+M909</f>
        <v>10390285</v>
      </c>
      <c r="N899" s="61"/>
      <c r="O899" s="75">
        <f t="shared" si="3"/>
        <v>56050000</v>
      </c>
      <c r="P899" s="75">
        <f t="shared" si="4"/>
        <v>45659715</v>
      </c>
      <c r="Q899" s="64"/>
      <c r="R899" s="1"/>
      <c r="S899" s="1"/>
      <c r="T899" s="1"/>
      <c r="U899" s="1"/>
      <c r="V899" s="1"/>
      <c r="W899" s="1"/>
      <c r="X899" s="1"/>
      <c r="Y899" s="1"/>
      <c r="Z899" s="1"/>
    </row>
    <row r="900" ht="9.75" customHeight="1">
      <c r="A900" s="61"/>
      <c r="B900" s="61"/>
      <c r="C900" s="35" t="s">
        <v>40</v>
      </c>
      <c r="D900" s="13"/>
      <c r="E900" s="59" t="s">
        <v>22</v>
      </c>
      <c r="F900" s="59"/>
      <c r="G900" s="22"/>
      <c r="H900" s="22"/>
      <c r="I900" s="22"/>
      <c r="J900" s="46">
        <f t="shared" ref="J900:K900" si="351">SUM(J902:J905)</f>
        <v>38050000</v>
      </c>
      <c r="K900" s="46">
        <f t="shared" si="351"/>
        <v>0</v>
      </c>
      <c r="L900" s="26"/>
      <c r="M900" s="46">
        <f>SUM(M902:M905)</f>
        <v>7136910</v>
      </c>
      <c r="N900" s="61"/>
      <c r="O900" s="75">
        <f t="shared" si="3"/>
        <v>38050000</v>
      </c>
      <c r="P900" s="75">
        <f t="shared" si="4"/>
        <v>30913090</v>
      </c>
      <c r="Q900" s="64"/>
      <c r="R900" s="1"/>
      <c r="S900" s="1"/>
      <c r="T900" s="1"/>
      <c r="U900" s="1"/>
      <c r="V900" s="1"/>
      <c r="W900" s="1"/>
      <c r="X900" s="1"/>
      <c r="Y900" s="1"/>
      <c r="Z900" s="1"/>
    </row>
    <row r="901" ht="9.75" customHeight="1">
      <c r="A901" s="61"/>
      <c r="B901" s="91"/>
      <c r="C901" s="67"/>
      <c r="D901" s="22"/>
      <c r="E901" s="59" t="s">
        <v>23</v>
      </c>
      <c r="F901" s="59"/>
      <c r="G901" s="22"/>
      <c r="H901" s="22"/>
      <c r="I901" s="22"/>
      <c r="J901" s="22"/>
      <c r="K901" s="22"/>
      <c r="L901" s="26"/>
      <c r="M901" s="22"/>
      <c r="N901" s="61"/>
      <c r="O901" s="75">
        <f t="shared" si="3"/>
        <v>0</v>
      </c>
      <c r="P901" s="75">
        <f t="shared" si="4"/>
        <v>0</v>
      </c>
      <c r="Q901" s="64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61"/>
      <c r="B902" s="91"/>
      <c r="C902" s="67"/>
      <c r="D902" s="22"/>
      <c r="E902" s="59" t="s">
        <v>163</v>
      </c>
      <c r="F902" s="59"/>
      <c r="G902" s="36">
        <v>100.0</v>
      </c>
      <c r="H902" s="36" t="s">
        <v>26</v>
      </c>
      <c r="I902" s="48">
        <v>53000.0</v>
      </c>
      <c r="J902" s="46">
        <f t="shared" ref="J902:J905" si="352">G902*I902</f>
        <v>5300000</v>
      </c>
      <c r="K902" s="46"/>
      <c r="L902" s="26"/>
      <c r="M902" s="46"/>
      <c r="N902" s="61"/>
      <c r="O902" s="75">
        <f t="shared" si="3"/>
        <v>5300000</v>
      </c>
      <c r="P902" s="75">
        <f t="shared" si="4"/>
        <v>5300000</v>
      </c>
      <c r="Q902" s="64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61"/>
      <c r="B903" s="91"/>
      <c r="C903" s="67"/>
      <c r="D903" s="22"/>
      <c r="E903" s="59" t="s">
        <v>53</v>
      </c>
      <c r="F903" s="59"/>
      <c r="G903" s="36">
        <v>5.0</v>
      </c>
      <c r="H903" s="36" t="s">
        <v>26</v>
      </c>
      <c r="I903" s="48">
        <v>500000.0</v>
      </c>
      <c r="J903" s="46">
        <f t="shared" si="352"/>
        <v>2500000</v>
      </c>
      <c r="K903" s="46"/>
      <c r="L903" s="26"/>
      <c r="M903" s="46"/>
      <c r="N903" s="61"/>
      <c r="O903" s="75">
        <f t="shared" si="3"/>
        <v>2500000</v>
      </c>
      <c r="P903" s="75">
        <f t="shared" si="4"/>
        <v>2500000</v>
      </c>
      <c r="Q903" s="64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61"/>
      <c r="B904" s="91"/>
      <c r="C904" s="67"/>
      <c r="D904" s="22"/>
      <c r="E904" s="59" t="s">
        <v>54</v>
      </c>
      <c r="F904" s="59"/>
      <c r="G904" s="36">
        <v>1.0</v>
      </c>
      <c r="H904" s="36" t="s">
        <v>55</v>
      </c>
      <c r="I904" s="48">
        <v>250000.0</v>
      </c>
      <c r="J904" s="46">
        <f t="shared" si="352"/>
        <v>250000</v>
      </c>
      <c r="K904" s="46"/>
      <c r="L904" s="26"/>
      <c r="M904" s="46"/>
      <c r="N904" s="61"/>
      <c r="O904" s="75">
        <f t="shared" si="3"/>
        <v>250000</v>
      </c>
      <c r="P904" s="75">
        <f t="shared" si="4"/>
        <v>250000</v>
      </c>
      <c r="Q904" s="64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61"/>
      <c r="B905" s="91"/>
      <c r="C905" s="67"/>
      <c r="D905" s="22"/>
      <c r="E905" s="59" t="s">
        <v>164</v>
      </c>
      <c r="F905" s="59"/>
      <c r="G905" s="36">
        <v>100.0</v>
      </c>
      <c r="H905" s="36" t="s">
        <v>26</v>
      </c>
      <c r="I905" s="48">
        <v>300000.0</v>
      </c>
      <c r="J905" s="46">
        <f t="shared" si="352"/>
        <v>30000000</v>
      </c>
      <c r="K905" s="46"/>
      <c r="L905" s="26"/>
      <c r="M905" s="53">
        <v>7136910.0</v>
      </c>
      <c r="N905" s="61"/>
      <c r="O905" s="75">
        <f t="shared" si="3"/>
        <v>30000000</v>
      </c>
      <c r="P905" s="75">
        <f t="shared" si="4"/>
        <v>22863090</v>
      </c>
      <c r="Q905" s="64"/>
      <c r="R905" s="1"/>
      <c r="S905" s="1"/>
      <c r="T905" s="1"/>
      <c r="U905" s="1"/>
      <c r="V905" s="1"/>
      <c r="W905" s="1"/>
      <c r="X905" s="1"/>
      <c r="Y905" s="1"/>
      <c r="Z905" s="1"/>
    </row>
    <row r="906" ht="9.75" customHeight="1">
      <c r="A906" s="61"/>
      <c r="B906" s="61"/>
      <c r="C906" s="35" t="s">
        <v>47</v>
      </c>
      <c r="D906" s="13"/>
      <c r="E906" s="59" t="s">
        <v>48</v>
      </c>
      <c r="F906" s="59"/>
      <c r="G906" s="22"/>
      <c r="H906" s="22"/>
      <c r="I906" s="22"/>
      <c r="J906" s="46">
        <f t="shared" ref="J906:K906" si="353">J908</f>
        <v>16000000</v>
      </c>
      <c r="K906" s="46" t="str">
        <f t="shared" si="353"/>
        <v/>
      </c>
      <c r="L906" s="26"/>
      <c r="M906" s="46">
        <f>M908</f>
        <v>3253375</v>
      </c>
      <c r="N906" s="61"/>
      <c r="O906" s="75">
        <f t="shared" si="3"/>
        <v>16000000</v>
      </c>
      <c r="P906" s="75">
        <f t="shared" si="4"/>
        <v>12746625</v>
      </c>
      <c r="Q906" s="64"/>
      <c r="R906" s="1"/>
      <c r="S906" s="1"/>
      <c r="T906" s="1"/>
      <c r="U906" s="1"/>
      <c r="V906" s="1"/>
      <c r="W906" s="1"/>
      <c r="X906" s="1"/>
      <c r="Y906" s="1"/>
      <c r="Z906" s="1"/>
    </row>
    <row r="907" ht="9.75" customHeight="1">
      <c r="A907" s="61"/>
      <c r="B907" s="91"/>
      <c r="C907" s="67"/>
      <c r="D907" s="22"/>
      <c r="E907" s="59" t="s">
        <v>23</v>
      </c>
      <c r="F907" s="59"/>
      <c r="G907" s="22"/>
      <c r="H907" s="22"/>
      <c r="I907" s="22"/>
      <c r="J907" s="22"/>
      <c r="K907" s="22"/>
      <c r="L907" s="26"/>
      <c r="M907" s="22"/>
      <c r="N907" s="61"/>
      <c r="O907" s="75">
        <f t="shared" si="3"/>
        <v>0</v>
      </c>
      <c r="P907" s="75">
        <f t="shared" si="4"/>
        <v>0</v>
      </c>
      <c r="Q907" s="64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61"/>
      <c r="B908" s="91"/>
      <c r="C908" s="67"/>
      <c r="D908" s="22"/>
      <c r="E908" s="59" t="s">
        <v>165</v>
      </c>
      <c r="F908" s="59"/>
      <c r="G908" s="36">
        <v>4.0</v>
      </c>
      <c r="H908" s="36" t="s">
        <v>26</v>
      </c>
      <c r="I908" s="48">
        <v>4000000.0</v>
      </c>
      <c r="J908" s="46">
        <f>G908*I908</f>
        <v>16000000</v>
      </c>
      <c r="K908" s="46"/>
      <c r="L908" s="26"/>
      <c r="M908" s="53">
        <v>3253375.0</v>
      </c>
      <c r="N908" s="61"/>
      <c r="O908" s="75">
        <f t="shared" si="3"/>
        <v>16000000</v>
      </c>
      <c r="P908" s="75">
        <f t="shared" si="4"/>
        <v>12746625</v>
      </c>
      <c r="Q908" s="64"/>
      <c r="R908" s="1"/>
      <c r="S908" s="1"/>
      <c r="T908" s="1"/>
      <c r="U908" s="1"/>
      <c r="V908" s="1"/>
      <c r="W908" s="1"/>
      <c r="X908" s="1"/>
      <c r="Y908" s="1"/>
      <c r="Z908" s="1"/>
    </row>
    <row r="909" ht="9.75" customHeight="1">
      <c r="A909" s="61"/>
      <c r="B909" s="61"/>
      <c r="C909" s="35" t="s">
        <v>58</v>
      </c>
      <c r="D909" s="13"/>
      <c r="E909" s="59" t="s">
        <v>34</v>
      </c>
      <c r="F909" s="59"/>
      <c r="G909" s="22"/>
      <c r="H909" s="22"/>
      <c r="I909" s="22"/>
      <c r="J909" s="46">
        <f t="shared" ref="J909:K909" si="354">J911</f>
        <v>2000000</v>
      </c>
      <c r="K909" s="46" t="str">
        <f t="shared" si="354"/>
        <v/>
      </c>
      <c r="L909" s="26"/>
      <c r="M909" s="46" t="str">
        <f>M911</f>
        <v/>
      </c>
      <c r="N909" s="61"/>
      <c r="O909" s="75">
        <f t="shared" si="3"/>
        <v>2000000</v>
      </c>
      <c r="P909" s="75">
        <f t="shared" si="4"/>
        <v>2000000</v>
      </c>
      <c r="Q909" s="64"/>
      <c r="R909" s="1"/>
      <c r="S909" s="1"/>
      <c r="T909" s="1"/>
      <c r="U909" s="1"/>
      <c r="V909" s="1"/>
      <c r="W909" s="1"/>
      <c r="X909" s="1"/>
      <c r="Y909" s="1"/>
      <c r="Z909" s="1"/>
    </row>
    <row r="910" ht="9.75" customHeight="1">
      <c r="A910" s="61"/>
      <c r="B910" s="91"/>
      <c r="C910" s="67"/>
      <c r="D910" s="22"/>
      <c r="E910" s="59" t="s">
        <v>23</v>
      </c>
      <c r="F910" s="59"/>
      <c r="G910" s="22"/>
      <c r="H910" s="22"/>
      <c r="I910" s="22"/>
      <c r="J910" s="22"/>
      <c r="K910" s="22"/>
      <c r="L910" s="26"/>
      <c r="M910" s="22"/>
      <c r="N910" s="61"/>
      <c r="O910" s="75">
        <f t="shared" si="3"/>
        <v>0</v>
      </c>
      <c r="P910" s="75">
        <f t="shared" si="4"/>
        <v>0</v>
      </c>
      <c r="Q910" s="64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61"/>
      <c r="B911" s="91"/>
      <c r="C911" s="67"/>
      <c r="D911" s="22"/>
      <c r="E911" s="59" t="s">
        <v>59</v>
      </c>
      <c r="F911" s="59"/>
      <c r="G911" s="36">
        <v>4.0</v>
      </c>
      <c r="H911" s="36" t="s">
        <v>26</v>
      </c>
      <c r="I911" s="48">
        <v>500000.0</v>
      </c>
      <c r="J911" s="46">
        <f>G911*I911</f>
        <v>2000000</v>
      </c>
      <c r="K911" s="46"/>
      <c r="L911" s="26"/>
      <c r="M911" s="46"/>
      <c r="N911" s="61"/>
      <c r="O911" s="75">
        <f t="shared" si="3"/>
        <v>2000000</v>
      </c>
      <c r="P911" s="75">
        <f t="shared" si="4"/>
        <v>2000000</v>
      </c>
      <c r="Q911" s="64"/>
      <c r="R911" s="1"/>
      <c r="S911" s="1"/>
      <c r="T911" s="1"/>
      <c r="U911" s="1"/>
      <c r="V911" s="1"/>
      <c r="W911" s="1"/>
      <c r="X911" s="1"/>
      <c r="Y911" s="1"/>
      <c r="Z911" s="1"/>
    </row>
    <row r="912" ht="9.75" customHeight="1">
      <c r="A912" s="61"/>
      <c r="B912" s="61"/>
      <c r="C912" s="41" t="s">
        <v>60</v>
      </c>
      <c r="D912" s="13"/>
      <c r="E912" s="59" t="s">
        <v>61</v>
      </c>
      <c r="F912" s="59"/>
      <c r="G912" s="22"/>
      <c r="H912" s="22"/>
      <c r="I912" s="22"/>
      <c r="J912" s="43">
        <f t="shared" ref="J912:K912" si="355">J913+J916+J920+J923+J926</f>
        <v>220800000</v>
      </c>
      <c r="K912" s="43">
        <f t="shared" si="355"/>
        <v>0</v>
      </c>
      <c r="L912" s="26"/>
      <c r="M912" s="43">
        <f>M913+M916+M920+M923+M926</f>
        <v>96773000</v>
      </c>
      <c r="N912" s="61"/>
      <c r="O912" s="75">
        <f t="shared" si="3"/>
        <v>220800000</v>
      </c>
      <c r="P912" s="75">
        <f t="shared" si="4"/>
        <v>124027000</v>
      </c>
      <c r="Q912" s="64"/>
      <c r="R912" s="1"/>
      <c r="S912" s="1"/>
      <c r="T912" s="1"/>
      <c r="U912" s="1"/>
      <c r="V912" s="1"/>
      <c r="W912" s="1"/>
      <c r="X912" s="1"/>
      <c r="Y912" s="1"/>
      <c r="Z912" s="1"/>
    </row>
    <row r="913" ht="9.75" customHeight="1">
      <c r="A913" s="61"/>
      <c r="B913" s="61"/>
      <c r="C913" s="35" t="s">
        <v>40</v>
      </c>
      <c r="D913" s="13"/>
      <c r="E913" s="59" t="s">
        <v>22</v>
      </c>
      <c r="F913" s="59"/>
      <c r="G913" s="22"/>
      <c r="H913" s="22"/>
      <c r="I913" s="22"/>
      <c r="J913" s="46">
        <f t="shared" ref="J913:K913" si="356">J915</f>
        <v>31800000</v>
      </c>
      <c r="K913" s="46" t="str">
        <f t="shared" si="356"/>
        <v/>
      </c>
      <c r="L913" s="26"/>
      <c r="M913" s="46">
        <f>M915</f>
        <v>1638000</v>
      </c>
      <c r="N913" s="61"/>
      <c r="O913" s="75">
        <f t="shared" si="3"/>
        <v>31800000</v>
      </c>
      <c r="P913" s="75">
        <f t="shared" si="4"/>
        <v>30162000</v>
      </c>
      <c r="Q913" s="64"/>
      <c r="R913" s="1"/>
      <c r="S913" s="1"/>
      <c r="T913" s="1"/>
      <c r="U913" s="1"/>
      <c r="V913" s="1"/>
      <c r="W913" s="1"/>
      <c r="X913" s="1"/>
      <c r="Y913" s="1"/>
      <c r="Z913" s="1"/>
    </row>
    <row r="914" ht="9.75" customHeight="1">
      <c r="A914" s="61"/>
      <c r="B914" s="91"/>
      <c r="C914" s="67"/>
      <c r="D914" s="22"/>
      <c r="E914" s="59" t="s">
        <v>23</v>
      </c>
      <c r="F914" s="59"/>
      <c r="G914" s="22"/>
      <c r="H914" s="22"/>
      <c r="I914" s="22"/>
      <c r="J914" s="22"/>
      <c r="K914" s="22"/>
      <c r="L914" s="26"/>
      <c r="M914" s="22"/>
      <c r="N914" s="61"/>
      <c r="O914" s="75">
        <f t="shared" si="3"/>
        <v>0</v>
      </c>
      <c r="P914" s="75">
        <f t="shared" si="4"/>
        <v>0</v>
      </c>
      <c r="Q914" s="64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61"/>
      <c r="B915" s="91"/>
      <c r="C915" s="67"/>
      <c r="D915" s="22"/>
      <c r="E915" s="59" t="s">
        <v>166</v>
      </c>
      <c r="F915" s="59"/>
      <c r="G915" s="36">
        <v>600.0</v>
      </c>
      <c r="H915" s="36" t="s">
        <v>26</v>
      </c>
      <c r="I915" s="48">
        <v>53000.0</v>
      </c>
      <c r="J915" s="46">
        <f>G915*I915</f>
        <v>31800000</v>
      </c>
      <c r="K915" s="46"/>
      <c r="L915" s="26"/>
      <c r="M915" s="53">
        <v>1638000.0</v>
      </c>
      <c r="N915" s="61"/>
      <c r="O915" s="75">
        <f t="shared" si="3"/>
        <v>31800000</v>
      </c>
      <c r="P915" s="75">
        <f t="shared" si="4"/>
        <v>30162000</v>
      </c>
      <c r="Q915" s="64"/>
      <c r="R915" s="1"/>
      <c r="S915" s="1"/>
      <c r="T915" s="1"/>
      <c r="U915" s="1"/>
      <c r="V915" s="1"/>
      <c r="W915" s="1"/>
      <c r="X915" s="1"/>
      <c r="Y915" s="1"/>
      <c r="Z915" s="1"/>
    </row>
    <row r="916" ht="9.75" customHeight="1">
      <c r="A916" s="61"/>
      <c r="B916" s="61"/>
      <c r="C916" s="35" t="s">
        <v>63</v>
      </c>
      <c r="D916" s="13"/>
      <c r="E916" s="59" t="s">
        <v>64</v>
      </c>
      <c r="F916" s="59"/>
      <c r="G916" s="22"/>
      <c r="H916" s="22"/>
      <c r="I916" s="22"/>
      <c r="J916" s="46">
        <f t="shared" ref="J916:K916" si="357">SUM(J918:J919)</f>
        <v>115000000</v>
      </c>
      <c r="K916" s="46">
        <f t="shared" si="357"/>
        <v>0</v>
      </c>
      <c r="L916" s="26"/>
      <c r="M916" s="46">
        <f>SUM(M918:M919)</f>
        <v>55335000</v>
      </c>
      <c r="N916" s="61"/>
      <c r="O916" s="75">
        <f t="shared" si="3"/>
        <v>115000000</v>
      </c>
      <c r="P916" s="75">
        <f t="shared" si="4"/>
        <v>59665000</v>
      </c>
      <c r="Q916" s="64"/>
      <c r="R916" s="1"/>
      <c r="S916" s="1"/>
      <c r="T916" s="1"/>
      <c r="U916" s="1"/>
      <c r="V916" s="1"/>
      <c r="W916" s="1"/>
      <c r="X916" s="1"/>
      <c r="Y916" s="1"/>
      <c r="Z916" s="1"/>
    </row>
    <row r="917" ht="9.75" customHeight="1">
      <c r="A917" s="61"/>
      <c r="B917" s="91"/>
      <c r="C917" s="67"/>
      <c r="D917" s="22"/>
      <c r="E917" s="59" t="s">
        <v>23</v>
      </c>
      <c r="F917" s="59"/>
      <c r="G917" s="22"/>
      <c r="H917" s="22"/>
      <c r="I917" s="22"/>
      <c r="J917" s="22"/>
      <c r="K917" s="22"/>
      <c r="L917" s="26"/>
      <c r="M917" s="22"/>
      <c r="N917" s="61"/>
      <c r="O917" s="75">
        <f t="shared" si="3"/>
        <v>0</v>
      </c>
      <c r="P917" s="75">
        <f t="shared" si="4"/>
        <v>0</v>
      </c>
      <c r="Q917" s="64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61"/>
      <c r="B918" s="91"/>
      <c r="C918" s="67"/>
      <c r="D918" s="22"/>
      <c r="E918" s="59" t="s">
        <v>289</v>
      </c>
      <c r="F918" s="59"/>
      <c r="G918" s="36">
        <v>1.0</v>
      </c>
      <c r="H918" s="36" t="s">
        <v>97</v>
      </c>
      <c r="I918" s="48">
        <v>9.5E7</v>
      </c>
      <c r="J918" s="46">
        <f t="shared" ref="J918:J919" si="358">G918*I918</f>
        <v>95000000</v>
      </c>
      <c r="K918" s="46"/>
      <c r="L918" s="26"/>
      <c r="M918" s="53">
        <v>3.1825E7</v>
      </c>
      <c r="N918" s="61"/>
      <c r="O918" s="75">
        <f t="shared" si="3"/>
        <v>95000000</v>
      </c>
      <c r="P918" s="75">
        <f t="shared" si="4"/>
        <v>63175000</v>
      </c>
      <c r="Q918" s="64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61"/>
      <c r="B919" s="91"/>
      <c r="C919" s="67"/>
      <c r="D919" s="22"/>
      <c r="E919" s="59" t="s">
        <v>167</v>
      </c>
      <c r="F919" s="59"/>
      <c r="G919" s="36">
        <v>100.0</v>
      </c>
      <c r="H919" s="36" t="s">
        <v>26</v>
      </c>
      <c r="I919" s="48">
        <v>200000.0</v>
      </c>
      <c r="J919" s="46">
        <f t="shared" si="358"/>
        <v>20000000</v>
      </c>
      <c r="K919" s="46"/>
      <c r="L919" s="26"/>
      <c r="M919" s="53">
        <v>2.351E7</v>
      </c>
      <c r="N919" s="61"/>
      <c r="O919" s="75">
        <f t="shared" si="3"/>
        <v>20000000</v>
      </c>
      <c r="P919" s="75">
        <f t="shared" si="4"/>
        <v>-3510000</v>
      </c>
      <c r="Q919" s="64"/>
      <c r="R919" s="1"/>
      <c r="S919" s="1"/>
      <c r="T919" s="1"/>
      <c r="U919" s="1"/>
      <c r="V919" s="1"/>
      <c r="W919" s="1"/>
      <c r="X919" s="1"/>
      <c r="Y919" s="1"/>
      <c r="Z919" s="1"/>
    </row>
    <row r="920" ht="9.75" customHeight="1">
      <c r="A920" s="61"/>
      <c r="B920" s="61"/>
      <c r="C920" s="35" t="s">
        <v>68</v>
      </c>
      <c r="D920" s="13"/>
      <c r="E920" s="59" t="s">
        <v>69</v>
      </c>
      <c r="F920" s="59"/>
      <c r="G920" s="22"/>
      <c r="H920" s="22"/>
      <c r="I920" s="22"/>
      <c r="J920" s="46">
        <f t="shared" ref="J920:K920" si="359">J922</f>
        <v>10000000</v>
      </c>
      <c r="K920" s="46" t="str">
        <f t="shared" si="359"/>
        <v/>
      </c>
      <c r="L920" s="26"/>
      <c r="M920" s="46" t="str">
        <f>M922</f>
        <v/>
      </c>
      <c r="N920" s="61"/>
      <c r="O920" s="75">
        <f t="shared" si="3"/>
        <v>10000000</v>
      </c>
      <c r="P920" s="75">
        <f t="shared" si="4"/>
        <v>10000000</v>
      </c>
      <c r="Q920" s="64"/>
      <c r="R920" s="1"/>
      <c r="S920" s="1"/>
      <c r="T920" s="1"/>
      <c r="U920" s="1"/>
      <c r="V920" s="1"/>
      <c r="W920" s="1"/>
      <c r="X920" s="1"/>
      <c r="Y920" s="1"/>
      <c r="Z920" s="1"/>
    </row>
    <row r="921" ht="9.75" customHeight="1">
      <c r="A921" s="61"/>
      <c r="B921" s="91"/>
      <c r="C921" s="67"/>
      <c r="D921" s="22"/>
      <c r="E921" s="59" t="s">
        <v>23</v>
      </c>
      <c r="F921" s="59"/>
      <c r="G921" s="22"/>
      <c r="H921" s="22"/>
      <c r="I921" s="22"/>
      <c r="J921" s="22"/>
      <c r="K921" s="22"/>
      <c r="L921" s="26"/>
      <c r="M921" s="22"/>
      <c r="N921" s="61"/>
      <c r="O921" s="75">
        <f t="shared" si="3"/>
        <v>0</v>
      </c>
      <c r="P921" s="75">
        <f t="shared" si="4"/>
        <v>0</v>
      </c>
      <c r="Q921" s="64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61"/>
      <c r="B922" s="91"/>
      <c r="C922" s="67"/>
      <c r="D922" s="22"/>
      <c r="E922" s="59" t="s">
        <v>70</v>
      </c>
      <c r="F922" s="59"/>
      <c r="G922" s="36">
        <v>20.0</v>
      </c>
      <c r="H922" s="36" t="s">
        <v>26</v>
      </c>
      <c r="I922" s="48">
        <v>500000.0</v>
      </c>
      <c r="J922" s="46">
        <f>G922*I922</f>
        <v>10000000</v>
      </c>
      <c r="K922" s="46"/>
      <c r="L922" s="26"/>
      <c r="M922" s="46"/>
      <c r="N922" s="61"/>
      <c r="O922" s="75">
        <f t="shared" si="3"/>
        <v>10000000</v>
      </c>
      <c r="P922" s="75">
        <f t="shared" si="4"/>
        <v>10000000</v>
      </c>
      <c r="Q922" s="64"/>
      <c r="R922" s="1"/>
      <c r="S922" s="1"/>
      <c r="T922" s="1"/>
      <c r="U922" s="1"/>
      <c r="V922" s="1"/>
      <c r="W922" s="1"/>
      <c r="X922" s="1"/>
      <c r="Y922" s="1"/>
      <c r="Z922" s="1"/>
    </row>
    <row r="923" ht="9.75" customHeight="1">
      <c r="A923" s="61"/>
      <c r="B923" s="61"/>
      <c r="C923" s="35" t="s">
        <v>47</v>
      </c>
      <c r="D923" s="13"/>
      <c r="E923" s="59" t="s">
        <v>48</v>
      </c>
      <c r="F923" s="59"/>
      <c r="G923" s="22"/>
      <c r="H923" s="22"/>
      <c r="I923" s="22"/>
      <c r="J923" s="46">
        <f t="shared" ref="J923:K923" si="360">J925</f>
        <v>16000000</v>
      </c>
      <c r="K923" s="46" t="str">
        <f t="shared" si="360"/>
        <v/>
      </c>
      <c r="L923" s="26"/>
      <c r="M923" s="46" t="str">
        <f>M925</f>
        <v/>
      </c>
      <c r="N923" s="61"/>
      <c r="O923" s="75">
        <f t="shared" si="3"/>
        <v>16000000</v>
      </c>
      <c r="P923" s="75">
        <f t="shared" si="4"/>
        <v>16000000</v>
      </c>
      <c r="Q923" s="64"/>
      <c r="R923" s="1"/>
      <c r="S923" s="1"/>
      <c r="T923" s="1"/>
      <c r="U923" s="1"/>
      <c r="V923" s="1"/>
      <c r="W923" s="1"/>
      <c r="X923" s="1"/>
      <c r="Y923" s="1"/>
      <c r="Z923" s="1"/>
    </row>
    <row r="924" ht="9.75" customHeight="1">
      <c r="A924" s="61"/>
      <c r="B924" s="91"/>
      <c r="C924" s="67"/>
      <c r="D924" s="22"/>
      <c r="E924" s="59" t="s">
        <v>23</v>
      </c>
      <c r="F924" s="59"/>
      <c r="G924" s="22"/>
      <c r="H924" s="22"/>
      <c r="I924" s="22"/>
      <c r="J924" s="22"/>
      <c r="K924" s="22"/>
      <c r="L924" s="26"/>
      <c r="M924" s="22"/>
      <c r="N924" s="61"/>
      <c r="O924" s="75">
        <f t="shared" si="3"/>
        <v>0</v>
      </c>
      <c r="P924" s="75">
        <f t="shared" si="4"/>
        <v>0</v>
      </c>
      <c r="Q924" s="64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61"/>
      <c r="B925" s="91"/>
      <c r="C925" s="67"/>
      <c r="D925" s="22"/>
      <c r="E925" s="59" t="s">
        <v>165</v>
      </c>
      <c r="F925" s="59"/>
      <c r="G925" s="36">
        <v>4.0</v>
      </c>
      <c r="H925" s="36" t="s">
        <v>26</v>
      </c>
      <c r="I925" s="48">
        <v>4000000.0</v>
      </c>
      <c r="J925" s="46">
        <f>G925*I925</f>
        <v>16000000</v>
      </c>
      <c r="K925" s="46"/>
      <c r="L925" s="26"/>
      <c r="M925" s="46"/>
      <c r="N925" s="61"/>
      <c r="O925" s="75">
        <f t="shared" si="3"/>
        <v>16000000</v>
      </c>
      <c r="P925" s="75">
        <f t="shared" si="4"/>
        <v>16000000</v>
      </c>
      <c r="Q925" s="64"/>
      <c r="R925" s="1"/>
      <c r="S925" s="1"/>
      <c r="T925" s="1"/>
      <c r="U925" s="1"/>
      <c r="V925" s="1"/>
      <c r="W925" s="1"/>
      <c r="X925" s="1"/>
      <c r="Y925" s="1"/>
      <c r="Z925" s="1"/>
    </row>
    <row r="926" ht="9.75" customHeight="1">
      <c r="A926" s="61"/>
      <c r="B926" s="61"/>
      <c r="C926" s="35" t="s">
        <v>58</v>
      </c>
      <c r="D926" s="13"/>
      <c r="E926" s="59" t="s">
        <v>34</v>
      </c>
      <c r="F926" s="59"/>
      <c r="G926" s="22"/>
      <c r="H926" s="22"/>
      <c r="I926" s="22"/>
      <c r="J926" s="46">
        <f t="shared" ref="J926:K926" si="361">J928</f>
        <v>48000000</v>
      </c>
      <c r="K926" s="46" t="str">
        <f t="shared" si="361"/>
        <v/>
      </c>
      <c r="L926" s="26"/>
      <c r="M926" s="46">
        <f>M928</f>
        <v>39800000</v>
      </c>
      <c r="N926" s="61"/>
      <c r="O926" s="75">
        <f t="shared" si="3"/>
        <v>48000000</v>
      </c>
      <c r="P926" s="75">
        <f t="shared" si="4"/>
        <v>8200000</v>
      </c>
      <c r="Q926" s="64"/>
      <c r="R926" s="1"/>
      <c r="S926" s="1"/>
      <c r="T926" s="1"/>
      <c r="U926" s="1"/>
      <c r="V926" s="1"/>
      <c r="W926" s="1"/>
      <c r="X926" s="1"/>
      <c r="Y926" s="1"/>
      <c r="Z926" s="1"/>
    </row>
    <row r="927" ht="9.75" customHeight="1">
      <c r="A927" s="61"/>
      <c r="B927" s="91"/>
      <c r="C927" s="67"/>
      <c r="D927" s="22"/>
      <c r="E927" s="59" t="s">
        <v>23</v>
      </c>
      <c r="F927" s="59"/>
      <c r="G927" s="22"/>
      <c r="H927" s="22"/>
      <c r="I927" s="22"/>
      <c r="J927" s="22"/>
      <c r="K927" s="22"/>
      <c r="L927" s="26"/>
      <c r="M927" s="22"/>
      <c r="N927" s="61"/>
      <c r="O927" s="75">
        <f t="shared" si="3"/>
        <v>0</v>
      </c>
      <c r="P927" s="75">
        <f t="shared" si="4"/>
        <v>0</v>
      </c>
      <c r="Q927" s="64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61"/>
      <c r="B928" s="91"/>
      <c r="C928" s="67"/>
      <c r="D928" s="22"/>
      <c r="E928" s="59" t="s">
        <v>71</v>
      </c>
      <c r="F928" s="59"/>
      <c r="G928" s="36">
        <v>96.0</v>
      </c>
      <c r="H928" s="36" t="s">
        <v>26</v>
      </c>
      <c r="I928" s="48">
        <v>500000.0</v>
      </c>
      <c r="J928" s="46">
        <f>G928*I928</f>
        <v>48000000</v>
      </c>
      <c r="K928" s="46"/>
      <c r="L928" s="26"/>
      <c r="M928" s="53">
        <v>3.98E7</v>
      </c>
      <c r="N928" s="61"/>
      <c r="O928" s="75">
        <f t="shared" si="3"/>
        <v>48000000</v>
      </c>
      <c r="P928" s="75">
        <f t="shared" si="4"/>
        <v>8200000</v>
      </c>
      <c r="Q928" s="64"/>
      <c r="R928" s="1"/>
      <c r="S928" s="1"/>
      <c r="T928" s="1"/>
      <c r="U928" s="1"/>
      <c r="V928" s="1"/>
      <c r="W928" s="1"/>
      <c r="X928" s="1"/>
      <c r="Y928" s="1"/>
      <c r="Z928" s="1"/>
    </row>
    <row r="929" ht="9.75" customHeight="1">
      <c r="A929" s="61"/>
      <c r="B929" s="61"/>
      <c r="C929" s="41" t="s">
        <v>72</v>
      </c>
      <c r="D929" s="13"/>
      <c r="E929" s="59" t="s">
        <v>73</v>
      </c>
      <c r="F929" s="59"/>
      <c r="G929" s="22"/>
      <c r="H929" s="22"/>
      <c r="I929" s="22"/>
      <c r="J929" s="43">
        <f t="shared" ref="J929:K929" si="362">J930+J935</f>
        <v>151200000</v>
      </c>
      <c r="K929" s="43">
        <f t="shared" si="362"/>
        <v>0</v>
      </c>
      <c r="L929" s="26"/>
      <c r="M929" s="43">
        <f>M930+M935</f>
        <v>1500000</v>
      </c>
      <c r="N929" s="61"/>
      <c r="O929" s="75">
        <f t="shared" si="3"/>
        <v>151200000</v>
      </c>
      <c r="P929" s="75">
        <f t="shared" si="4"/>
        <v>149700000</v>
      </c>
      <c r="Q929" s="64"/>
      <c r="R929" s="1"/>
      <c r="S929" s="1"/>
      <c r="T929" s="1"/>
      <c r="U929" s="1"/>
      <c r="V929" s="1"/>
      <c r="W929" s="1"/>
      <c r="X929" s="1"/>
      <c r="Y929" s="1"/>
      <c r="Z929" s="1"/>
    </row>
    <row r="930" ht="9.75" customHeight="1">
      <c r="A930" s="61"/>
      <c r="B930" s="61"/>
      <c r="C930" s="35" t="s">
        <v>74</v>
      </c>
      <c r="D930" s="13"/>
      <c r="E930" s="59" t="s">
        <v>75</v>
      </c>
      <c r="F930" s="59"/>
      <c r="G930" s="22"/>
      <c r="H930" s="22"/>
      <c r="I930" s="22"/>
      <c r="J930" s="46">
        <f t="shared" ref="J930:K930" si="363">SUM(J932:J934)</f>
        <v>142700000</v>
      </c>
      <c r="K930" s="46">
        <f t="shared" si="363"/>
        <v>0</v>
      </c>
      <c r="L930" s="26"/>
      <c r="M930" s="46">
        <f>SUM(M932:M934)</f>
        <v>0</v>
      </c>
      <c r="N930" s="61"/>
      <c r="O930" s="75">
        <f t="shared" si="3"/>
        <v>142700000</v>
      </c>
      <c r="P930" s="75">
        <f t="shared" si="4"/>
        <v>142700000</v>
      </c>
      <c r="Q930" s="64"/>
      <c r="R930" s="1"/>
      <c r="S930" s="1"/>
      <c r="T930" s="1"/>
      <c r="U930" s="1"/>
      <c r="V930" s="1"/>
      <c r="W930" s="1"/>
      <c r="X930" s="1"/>
      <c r="Y930" s="1"/>
      <c r="Z930" s="1"/>
    </row>
    <row r="931" ht="9.75" customHeight="1">
      <c r="A931" s="61"/>
      <c r="B931" s="91"/>
      <c r="C931" s="67"/>
      <c r="D931" s="22"/>
      <c r="E931" s="59" t="s">
        <v>23</v>
      </c>
      <c r="F931" s="59"/>
      <c r="G931" s="22"/>
      <c r="H931" s="22"/>
      <c r="I931" s="22"/>
      <c r="J931" s="22"/>
      <c r="K931" s="22"/>
      <c r="L931" s="26"/>
      <c r="M931" s="22"/>
      <c r="N931" s="61"/>
      <c r="O931" s="75">
        <f t="shared" si="3"/>
        <v>0</v>
      </c>
      <c r="P931" s="75">
        <f t="shared" si="4"/>
        <v>0</v>
      </c>
      <c r="Q931" s="64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61"/>
      <c r="B932" s="91"/>
      <c r="C932" s="67"/>
      <c r="D932" s="22"/>
      <c r="E932" s="59" t="s">
        <v>76</v>
      </c>
      <c r="F932" s="59"/>
      <c r="G932" s="36">
        <v>20.0</v>
      </c>
      <c r="H932" s="36" t="s">
        <v>26</v>
      </c>
      <c r="I932" s="48">
        <v>5000000.0</v>
      </c>
      <c r="J932" s="46">
        <f t="shared" ref="J932:J934" si="364">G932*I932</f>
        <v>100000000</v>
      </c>
      <c r="K932" s="46"/>
      <c r="L932" s="26"/>
      <c r="M932" s="46"/>
      <c r="N932" s="61"/>
      <c r="O932" s="75">
        <f t="shared" si="3"/>
        <v>100000000</v>
      </c>
      <c r="P932" s="75">
        <f t="shared" si="4"/>
        <v>100000000</v>
      </c>
      <c r="Q932" s="64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61"/>
      <c r="B933" s="91"/>
      <c r="C933" s="67"/>
      <c r="D933" s="22"/>
      <c r="E933" s="59" t="s">
        <v>77</v>
      </c>
      <c r="F933" s="59"/>
      <c r="G933" s="36">
        <v>30.0</v>
      </c>
      <c r="H933" s="36" t="s">
        <v>26</v>
      </c>
      <c r="I933" s="48">
        <v>850000.0</v>
      </c>
      <c r="J933" s="46">
        <f t="shared" si="364"/>
        <v>25500000</v>
      </c>
      <c r="K933" s="46"/>
      <c r="L933" s="26"/>
      <c r="M933" s="46"/>
      <c r="N933" s="61"/>
      <c r="O933" s="75">
        <f t="shared" si="3"/>
        <v>25500000</v>
      </c>
      <c r="P933" s="75">
        <f t="shared" si="4"/>
        <v>25500000</v>
      </c>
      <c r="Q933" s="64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61"/>
      <c r="B934" s="91"/>
      <c r="C934" s="67"/>
      <c r="D934" s="22"/>
      <c r="E934" s="59" t="s">
        <v>78</v>
      </c>
      <c r="F934" s="59"/>
      <c r="G934" s="36">
        <v>40.0</v>
      </c>
      <c r="H934" s="36" t="s">
        <v>26</v>
      </c>
      <c r="I934" s="48">
        <v>430000.0</v>
      </c>
      <c r="J934" s="46">
        <f t="shared" si="364"/>
        <v>17200000</v>
      </c>
      <c r="K934" s="46"/>
      <c r="L934" s="26"/>
      <c r="M934" s="46"/>
      <c r="N934" s="61"/>
      <c r="O934" s="75">
        <f t="shared" si="3"/>
        <v>17200000</v>
      </c>
      <c r="P934" s="75">
        <f t="shared" si="4"/>
        <v>17200000</v>
      </c>
      <c r="Q934" s="64"/>
      <c r="R934" s="1"/>
      <c r="S934" s="1"/>
      <c r="T934" s="1"/>
      <c r="U934" s="1"/>
      <c r="V934" s="1"/>
      <c r="W934" s="1"/>
      <c r="X934" s="1"/>
      <c r="Y934" s="1"/>
      <c r="Z934" s="1"/>
    </row>
    <row r="935" ht="9.75" customHeight="1">
      <c r="A935" s="61"/>
      <c r="B935" s="61"/>
      <c r="C935" s="35" t="s">
        <v>79</v>
      </c>
      <c r="D935" s="13"/>
      <c r="E935" s="59" t="s">
        <v>80</v>
      </c>
      <c r="F935" s="59"/>
      <c r="G935" s="22"/>
      <c r="H935" s="22"/>
      <c r="I935" s="22"/>
      <c r="J935" s="46">
        <f t="shared" ref="J935:K935" si="365">J937</f>
        <v>8500000</v>
      </c>
      <c r="K935" s="46" t="str">
        <f t="shared" si="365"/>
        <v/>
      </c>
      <c r="L935" s="26"/>
      <c r="M935" s="46">
        <f>M937</f>
        <v>1500000</v>
      </c>
      <c r="N935" s="61"/>
      <c r="O935" s="75">
        <f t="shared" si="3"/>
        <v>8500000</v>
      </c>
      <c r="P935" s="75">
        <f t="shared" si="4"/>
        <v>7000000</v>
      </c>
      <c r="Q935" s="64"/>
      <c r="R935" s="1"/>
      <c r="S935" s="1"/>
      <c r="T935" s="1"/>
      <c r="U935" s="1"/>
      <c r="V935" s="1"/>
      <c r="W935" s="1"/>
      <c r="X935" s="1"/>
      <c r="Y935" s="1"/>
      <c r="Z935" s="1"/>
    </row>
    <row r="936" ht="9.75" customHeight="1">
      <c r="A936" s="61"/>
      <c r="B936" s="91"/>
      <c r="C936" s="67"/>
      <c r="D936" s="22"/>
      <c r="E936" s="59" t="s">
        <v>23</v>
      </c>
      <c r="F936" s="59"/>
      <c r="G936" s="22"/>
      <c r="H936" s="22"/>
      <c r="I936" s="22"/>
      <c r="J936" s="22"/>
      <c r="K936" s="22"/>
      <c r="L936" s="26"/>
      <c r="M936" s="22"/>
      <c r="N936" s="61"/>
      <c r="O936" s="75">
        <f t="shared" si="3"/>
        <v>0</v>
      </c>
      <c r="P936" s="75">
        <f t="shared" si="4"/>
        <v>0</v>
      </c>
      <c r="Q936" s="64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61"/>
      <c r="B937" s="91"/>
      <c r="C937" s="67"/>
      <c r="D937" s="22"/>
      <c r="E937" s="59" t="s">
        <v>81</v>
      </c>
      <c r="F937" s="59"/>
      <c r="G937" s="36">
        <v>50.0</v>
      </c>
      <c r="H937" s="36" t="s">
        <v>26</v>
      </c>
      <c r="I937" s="48">
        <v>170000.0</v>
      </c>
      <c r="J937" s="46">
        <f>G937*I937</f>
        <v>8500000</v>
      </c>
      <c r="K937" s="46"/>
      <c r="L937" s="26"/>
      <c r="M937" s="53">
        <v>1500000.0</v>
      </c>
      <c r="N937" s="61"/>
      <c r="O937" s="75">
        <f t="shared" si="3"/>
        <v>8500000</v>
      </c>
      <c r="P937" s="75">
        <f t="shared" si="4"/>
        <v>7000000</v>
      </c>
      <c r="Q937" s="64"/>
      <c r="R937" s="1"/>
      <c r="S937" s="1"/>
      <c r="T937" s="1"/>
      <c r="U937" s="1"/>
      <c r="V937" s="1"/>
      <c r="W937" s="1"/>
      <c r="X937" s="1"/>
      <c r="Y937" s="1"/>
      <c r="Z937" s="1"/>
    </row>
    <row r="938" ht="9.75" customHeight="1">
      <c r="A938" s="61"/>
      <c r="B938" s="61"/>
      <c r="C938" s="41" t="s">
        <v>82</v>
      </c>
      <c r="D938" s="13"/>
      <c r="E938" s="59" t="s">
        <v>83</v>
      </c>
      <c r="F938" s="59"/>
      <c r="G938" s="22"/>
      <c r="H938" s="22"/>
      <c r="I938" s="22"/>
      <c r="J938" s="43">
        <f t="shared" ref="J938:K938" si="366">J939+J944</f>
        <v>1434000000</v>
      </c>
      <c r="K938" s="43">
        <f t="shared" si="366"/>
        <v>100440000</v>
      </c>
      <c r="L938" s="26"/>
      <c r="M938" s="43">
        <f>M939+M944</f>
        <v>6430000</v>
      </c>
      <c r="N938" s="61"/>
      <c r="O938" s="75">
        <f t="shared" si="3"/>
        <v>1333560000</v>
      </c>
      <c r="P938" s="75">
        <f t="shared" si="4"/>
        <v>1427570000</v>
      </c>
      <c r="Q938" s="64"/>
      <c r="R938" s="1"/>
      <c r="S938" s="1"/>
      <c r="T938" s="1"/>
      <c r="U938" s="1"/>
      <c r="V938" s="1"/>
      <c r="W938" s="1"/>
      <c r="X938" s="1"/>
      <c r="Y938" s="1"/>
      <c r="Z938" s="1"/>
    </row>
    <row r="939" ht="9.75" customHeight="1">
      <c r="A939" s="61"/>
      <c r="B939" s="61"/>
      <c r="C939" s="35" t="s">
        <v>84</v>
      </c>
      <c r="D939" s="13"/>
      <c r="E939" s="59" t="s">
        <v>85</v>
      </c>
      <c r="F939" s="59"/>
      <c r="G939" s="22"/>
      <c r="H939" s="22"/>
      <c r="I939" s="22"/>
      <c r="J939" s="46">
        <f t="shared" ref="J939:K939" si="367">SUM(J941:J943)</f>
        <v>1320000000</v>
      </c>
      <c r="K939" s="46">
        <f t="shared" si="367"/>
        <v>100440000</v>
      </c>
      <c r="L939" s="26"/>
      <c r="M939" s="46">
        <f>SUM(M941:M943)</f>
        <v>6000000</v>
      </c>
      <c r="N939" s="61"/>
      <c r="O939" s="75">
        <f t="shared" si="3"/>
        <v>1219560000</v>
      </c>
      <c r="P939" s="75">
        <f t="shared" si="4"/>
        <v>1314000000</v>
      </c>
      <c r="Q939" s="64"/>
      <c r="R939" s="1"/>
      <c r="S939" s="1"/>
      <c r="T939" s="1"/>
      <c r="U939" s="1"/>
      <c r="V939" s="1"/>
      <c r="W939" s="1"/>
      <c r="X939" s="1"/>
      <c r="Y939" s="1"/>
      <c r="Z939" s="1"/>
    </row>
    <row r="940" ht="9.75" customHeight="1">
      <c r="A940" s="61"/>
      <c r="B940" s="91"/>
      <c r="C940" s="67"/>
      <c r="D940" s="22"/>
      <c r="E940" s="59" t="s">
        <v>23</v>
      </c>
      <c r="F940" s="59"/>
      <c r="G940" s="22"/>
      <c r="H940" s="22"/>
      <c r="I940" s="22"/>
      <c r="J940" s="22"/>
      <c r="K940" s="22"/>
      <c r="L940" s="26"/>
      <c r="M940" s="22"/>
      <c r="N940" s="61"/>
      <c r="O940" s="75">
        <f t="shared" si="3"/>
        <v>0</v>
      </c>
      <c r="P940" s="75">
        <f t="shared" si="4"/>
        <v>0</v>
      </c>
      <c r="Q940" s="64"/>
      <c r="R940" s="1"/>
      <c r="S940" s="1"/>
      <c r="T940" s="1"/>
      <c r="U940" s="1"/>
      <c r="V940" s="1"/>
      <c r="W940" s="1"/>
      <c r="X940" s="1"/>
      <c r="Y940" s="1"/>
      <c r="Z940" s="1"/>
    </row>
    <row r="941" ht="9.75" customHeight="1">
      <c r="A941" s="61"/>
      <c r="B941" s="91"/>
      <c r="C941" s="67"/>
      <c r="D941" s="22"/>
      <c r="E941" s="59" t="s">
        <v>168</v>
      </c>
      <c r="F941" s="59"/>
      <c r="G941" s="36">
        <v>54750.0</v>
      </c>
      <c r="H941" s="36" t="s">
        <v>87</v>
      </c>
      <c r="I941" s="48">
        <v>15000.0</v>
      </c>
      <c r="J941" s="46">
        <f t="shared" ref="J941:J943" si="368">G941*I941</f>
        <v>821250000</v>
      </c>
      <c r="K941" s="46">
        <v>7.5405E7</v>
      </c>
      <c r="L941" s="26"/>
      <c r="M941" s="46"/>
      <c r="N941" s="61"/>
      <c r="O941" s="75">
        <f t="shared" si="3"/>
        <v>745845000</v>
      </c>
      <c r="P941" s="75">
        <f t="shared" si="4"/>
        <v>821250000</v>
      </c>
      <c r="Q941" s="64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61"/>
      <c r="B942" s="91"/>
      <c r="C942" s="67"/>
      <c r="D942" s="22"/>
      <c r="E942" s="59" t="s">
        <v>88</v>
      </c>
      <c r="F942" s="59"/>
      <c r="G942" s="36">
        <v>9000.0</v>
      </c>
      <c r="H942" s="36" t="s">
        <v>87</v>
      </c>
      <c r="I942" s="48">
        <v>25000.0</v>
      </c>
      <c r="J942" s="46">
        <f t="shared" si="368"/>
        <v>225000000</v>
      </c>
      <c r="K942" s="46"/>
      <c r="L942" s="26"/>
      <c r="M942" s="53">
        <v>6000000.0</v>
      </c>
      <c r="N942" s="61"/>
      <c r="O942" s="75">
        <f t="shared" si="3"/>
        <v>225000000</v>
      </c>
      <c r="P942" s="75">
        <f t="shared" si="4"/>
        <v>219000000</v>
      </c>
      <c r="Q942" s="64"/>
      <c r="R942" s="1"/>
      <c r="S942" s="1"/>
      <c r="T942" s="1"/>
      <c r="U942" s="1"/>
      <c r="V942" s="1"/>
      <c r="W942" s="1"/>
      <c r="X942" s="1"/>
      <c r="Y942" s="1"/>
      <c r="Z942" s="1"/>
    </row>
    <row r="943" ht="9.75" customHeight="1">
      <c r="A943" s="61"/>
      <c r="B943" s="91"/>
      <c r="C943" s="67"/>
      <c r="D943" s="22"/>
      <c r="E943" s="59" t="s">
        <v>169</v>
      </c>
      <c r="F943" s="59"/>
      <c r="G943" s="36">
        <v>36500.0</v>
      </c>
      <c r="H943" s="36" t="s">
        <v>87</v>
      </c>
      <c r="I943" s="48">
        <v>7500.0</v>
      </c>
      <c r="J943" s="46">
        <f t="shared" si="368"/>
        <v>273750000</v>
      </c>
      <c r="K943" s="46">
        <v>2.5035E7</v>
      </c>
      <c r="L943" s="26"/>
      <c r="M943" s="46"/>
      <c r="N943" s="61"/>
      <c r="O943" s="75">
        <f t="shared" si="3"/>
        <v>248715000</v>
      </c>
      <c r="P943" s="75">
        <f t="shared" si="4"/>
        <v>273750000</v>
      </c>
      <c r="Q943" s="64"/>
      <c r="R943" s="1"/>
      <c r="S943" s="1"/>
      <c r="T943" s="1"/>
      <c r="U943" s="1"/>
      <c r="V943" s="1"/>
      <c r="W943" s="1"/>
      <c r="X943" s="1"/>
      <c r="Y943" s="1"/>
      <c r="Z943" s="1"/>
    </row>
    <row r="944" ht="9.75" customHeight="1">
      <c r="A944" s="61"/>
      <c r="B944" s="61"/>
      <c r="C944" s="35" t="s">
        <v>63</v>
      </c>
      <c r="D944" s="13"/>
      <c r="E944" s="59" t="s">
        <v>64</v>
      </c>
      <c r="F944" s="59"/>
      <c r="G944" s="22"/>
      <c r="H944" s="22"/>
      <c r="I944" s="22"/>
      <c r="J944" s="88">
        <f t="shared" ref="J944:N944" si="369">J946+J947</f>
        <v>114000000</v>
      </c>
      <c r="K944" s="88">
        <f t="shared" si="369"/>
        <v>0</v>
      </c>
      <c r="L944" s="88">
        <f t="shared" si="369"/>
        <v>0</v>
      </c>
      <c r="M944" s="88">
        <f t="shared" si="369"/>
        <v>430000</v>
      </c>
      <c r="N944" s="88">
        <f t="shared" si="369"/>
        <v>0</v>
      </c>
      <c r="O944" s="75">
        <f t="shared" si="3"/>
        <v>114000000</v>
      </c>
      <c r="P944" s="75">
        <f t="shared" si="4"/>
        <v>113570000</v>
      </c>
      <c r="Q944" s="64"/>
      <c r="R944" s="1"/>
      <c r="S944" s="1"/>
      <c r="T944" s="1"/>
      <c r="U944" s="1"/>
      <c r="V944" s="1"/>
      <c r="W944" s="1"/>
      <c r="X944" s="1"/>
      <c r="Y944" s="1"/>
      <c r="Z944" s="1"/>
    </row>
    <row r="945" ht="9.75" customHeight="1">
      <c r="A945" s="61"/>
      <c r="B945" s="91"/>
      <c r="C945" s="67"/>
      <c r="D945" s="22"/>
      <c r="E945" s="59" t="s">
        <v>23</v>
      </c>
      <c r="F945" s="59"/>
      <c r="G945" s="22"/>
      <c r="H945" s="22"/>
      <c r="I945" s="22"/>
      <c r="J945" s="22"/>
      <c r="K945" s="22"/>
      <c r="L945" s="26"/>
      <c r="M945" s="22"/>
      <c r="N945" s="61"/>
      <c r="O945" s="75">
        <f t="shared" si="3"/>
        <v>0</v>
      </c>
      <c r="P945" s="75">
        <f t="shared" si="4"/>
        <v>0</v>
      </c>
      <c r="Q945" s="64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61"/>
      <c r="B946" s="91"/>
      <c r="C946" s="67"/>
      <c r="D946" s="22"/>
      <c r="E946" s="59" t="s">
        <v>90</v>
      </c>
      <c r="F946" s="59"/>
      <c r="G946" s="36">
        <v>180.0</v>
      </c>
      <c r="H946" s="36" t="s">
        <v>87</v>
      </c>
      <c r="I946" s="48">
        <v>500000.0</v>
      </c>
      <c r="J946" s="46">
        <f t="shared" ref="J946:J947" si="370">G946*I946</f>
        <v>90000000</v>
      </c>
      <c r="K946" s="46"/>
      <c r="L946" s="26"/>
      <c r="M946" s="53">
        <v>20000.0</v>
      </c>
      <c r="N946" s="61"/>
      <c r="O946" s="75">
        <f t="shared" si="3"/>
        <v>90000000</v>
      </c>
      <c r="P946" s="75">
        <f t="shared" si="4"/>
        <v>89980000</v>
      </c>
      <c r="Q946" s="64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61"/>
      <c r="B947" s="91"/>
      <c r="C947" s="67"/>
      <c r="D947" s="22"/>
      <c r="E947" s="59" t="s">
        <v>170</v>
      </c>
      <c r="F947" s="59"/>
      <c r="G947" s="36">
        <v>600.0</v>
      </c>
      <c r="H947" s="36" t="s">
        <v>87</v>
      </c>
      <c r="I947" s="48">
        <v>40000.0</v>
      </c>
      <c r="J947" s="46">
        <f t="shared" si="370"/>
        <v>24000000</v>
      </c>
      <c r="K947" s="46"/>
      <c r="L947" s="26"/>
      <c r="M947" s="53">
        <v>410000.0</v>
      </c>
      <c r="N947" s="61"/>
      <c r="O947" s="75">
        <f t="shared" si="3"/>
        <v>24000000</v>
      </c>
      <c r="P947" s="75">
        <f t="shared" si="4"/>
        <v>23590000</v>
      </c>
      <c r="Q947" s="64"/>
      <c r="R947" s="1"/>
      <c r="S947" s="1"/>
      <c r="T947" s="1"/>
      <c r="U947" s="1"/>
      <c r="V947" s="1"/>
      <c r="W947" s="1"/>
      <c r="X947" s="1"/>
      <c r="Y947" s="1"/>
      <c r="Z947" s="1"/>
    </row>
    <row r="948" ht="9.75" customHeight="1">
      <c r="A948" s="61"/>
      <c r="B948" s="61"/>
      <c r="C948" s="41" t="s">
        <v>92</v>
      </c>
      <c r="D948" s="13"/>
      <c r="E948" s="59" t="s">
        <v>93</v>
      </c>
      <c r="F948" s="59"/>
      <c r="G948" s="22"/>
      <c r="H948" s="22"/>
      <c r="I948" s="22"/>
      <c r="J948" s="43">
        <f t="shared" ref="J948:K948" si="371">J949</f>
        <v>41836000</v>
      </c>
      <c r="K948" s="43">
        <f t="shared" si="371"/>
        <v>0</v>
      </c>
      <c r="L948" s="26"/>
      <c r="M948" s="43">
        <f>M949</f>
        <v>0</v>
      </c>
      <c r="N948" s="61"/>
      <c r="O948" s="75">
        <f t="shared" si="3"/>
        <v>41836000</v>
      </c>
      <c r="P948" s="75">
        <f t="shared" si="4"/>
        <v>41836000</v>
      </c>
      <c r="Q948" s="64"/>
      <c r="R948" s="1"/>
      <c r="S948" s="1"/>
      <c r="T948" s="1"/>
      <c r="U948" s="1"/>
      <c r="V948" s="1"/>
      <c r="W948" s="1"/>
      <c r="X948" s="1"/>
      <c r="Y948" s="1"/>
      <c r="Z948" s="1"/>
    </row>
    <row r="949" ht="9.75" customHeight="1">
      <c r="A949" s="61"/>
      <c r="B949" s="61"/>
      <c r="C949" s="35" t="s">
        <v>68</v>
      </c>
      <c r="D949" s="13"/>
      <c r="E949" s="59" t="s">
        <v>69</v>
      </c>
      <c r="F949" s="59"/>
      <c r="G949" s="22"/>
      <c r="H949" s="22"/>
      <c r="I949" s="22"/>
      <c r="J949" s="46">
        <f t="shared" ref="J949:K949" si="372">SUM(J951:J952)</f>
        <v>41836000</v>
      </c>
      <c r="K949" s="46">
        <f t="shared" si="372"/>
        <v>0</v>
      </c>
      <c r="L949" s="26"/>
      <c r="M949" s="46">
        <f>SUM(M951:M952)</f>
        <v>0</v>
      </c>
      <c r="N949" s="61"/>
      <c r="O949" s="75">
        <f t="shared" si="3"/>
        <v>41836000</v>
      </c>
      <c r="P949" s="75">
        <f t="shared" si="4"/>
        <v>41836000</v>
      </c>
      <c r="Q949" s="64"/>
      <c r="R949" s="1"/>
      <c r="S949" s="1"/>
      <c r="T949" s="1"/>
      <c r="U949" s="1"/>
      <c r="V949" s="1"/>
      <c r="W949" s="1"/>
      <c r="X949" s="1"/>
      <c r="Y949" s="1"/>
      <c r="Z949" s="1"/>
    </row>
    <row r="950" ht="9.75" customHeight="1">
      <c r="A950" s="61"/>
      <c r="B950" s="91"/>
      <c r="C950" s="67"/>
      <c r="D950" s="22"/>
      <c r="E950" s="59" t="s">
        <v>23</v>
      </c>
      <c r="F950" s="59"/>
      <c r="G950" s="22"/>
      <c r="H950" s="22"/>
      <c r="I950" s="22"/>
      <c r="J950" s="22"/>
      <c r="K950" s="22"/>
      <c r="L950" s="26"/>
      <c r="M950" s="22"/>
      <c r="N950" s="61"/>
      <c r="O950" s="75">
        <f t="shared" si="3"/>
        <v>0</v>
      </c>
      <c r="P950" s="75">
        <f t="shared" si="4"/>
        <v>0</v>
      </c>
      <c r="Q950" s="64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61"/>
      <c r="B951" s="91"/>
      <c r="C951" s="67"/>
      <c r="D951" s="22"/>
      <c r="E951" s="59" t="s">
        <v>94</v>
      </c>
      <c r="F951" s="59"/>
      <c r="G951" s="36">
        <v>12.0</v>
      </c>
      <c r="H951" s="36" t="s">
        <v>95</v>
      </c>
      <c r="I951" s="48">
        <v>2500000.0</v>
      </c>
      <c r="J951" s="46">
        <f t="shared" ref="J951:J952" si="373">G951*I951</f>
        <v>30000000</v>
      </c>
      <c r="K951" s="46"/>
      <c r="L951" s="26"/>
      <c r="M951" s="46"/>
      <c r="N951" s="61"/>
      <c r="O951" s="75">
        <f t="shared" si="3"/>
        <v>30000000</v>
      </c>
      <c r="P951" s="75">
        <f t="shared" si="4"/>
        <v>30000000</v>
      </c>
      <c r="Q951" s="64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61"/>
      <c r="B952" s="91"/>
      <c r="C952" s="67"/>
      <c r="D952" s="22"/>
      <c r="E952" s="59" t="s">
        <v>290</v>
      </c>
      <c r="F952" s="59"/>
      <c r="G952" s="36">
        <v>1.0</v>
      </c>
      <c r="H952" s="36" t="s">
        <v>97</v>
      </c>
      <c r="I952" s="48">
        <v>1.1836E7</v>
      </c>
      <c r="J952" s="46">
        <f t="shared" si="373"/>
        <v>11836000</v>
      </c>
      <c r="K952" s="46"/>
      <c r="L952" s="26"/>
      <c r="M952" s="46"/>
      <c r="N952" s="61"/>
      <c r="O952" s="75">
        <f t="shared" si="3"/>
        <v>11836000</v>
      </c>
      <c r="P952" s="75">
        <f t="shared" si="4"/>
        <v>11836000</v>
      </c>
      <c r="Q952" s="64"/>
      <c r="R952" s="1"/>
      <c r="S952" s="1"/>
      <c r="T952" s="1"/>
      <c r="U952" s="1"/>
      <c r="V952" s="1"/>
      <c r="W952" s="1"/>
      <c r="X952" s="1"/>
      <c r="Y952" s="1"/>
      <c r="Z952" s="1"/>
    </row>
    <row r="953" ht="9.75" customHeight="1">
      <c r="A953" s="61"/>
      <c r="B953" s="61"/>
      <c r="C953" s="41" t="s">
        <v>98</v>
      </c>
      <c r="D953" s="13"/>
      <c r="E953" s="59" t="s">
        <v>99</v>
      </c>
      <c r="F953" s="59"/>
      <c r="G953" s="22"/>
      <c r="H953" s="22"/>
      <c r="I953" s="22"/>
      <c r="J953" s="43">
        <f t="shared" ref="J953:K953" si="374">J954+J963</f>
        <v>6760000</v>
      </c>
      <c r="K953" s="43">
        <f t="shared" si="374"/>
        <v>0</v>
      </c>
      <c r="L953" s="26"/>
      <c r="M953" s="43">
        <f>M954+M963</f>
        <v>0</v>
      </c>
      <c r="N953" s="61"/>
      <c r="O953" s="75">
        <f t="shared" si="3"/>
        <v>6760000</v>
      </c>
      <c r="P953" s="75">
        <f t="shared" si="4"/>
        <v>6760000</v>
      </c>
      <c r="Q953" s="64"/>
      <c r="R953" s="1"/>
      <c r="S953" s="1"/>
      <c r="T953" s="1"/>
      <c r="U953" s="1"/>
      <c r="V953" s="1"/>
      <c r="W953" s="1"/>
      <c r="X953" s="1"/>
      <c r="Y953" s="1"/>
      <c r="Z953" s="1"/>
    </row>
    <row r="954" ht="9.75" customHeight="1">
      <c r="A954" s="61"/>
      <c r="B954" s="61"/>
      <c r="C954" s="35" t="s">
        <v>100</v>
      </c>
      <c r="D954" s="13"/>
      <c r="E954" s="59" t="s">
        <v>101</v>
      </c>
      <c r="F954" s="59"/>
      <c r="G954" s="22"/>
      <c r="H954" s="22"/>
      <c r="I954" s="22"/>
      <c r="J954" s="46">
        <f t="shared" ref="J954:K954" si="375">SUM(J956:J962)</f>
        <v>5600000</v>
      </c>
      <c r="K954" s="46">
        <f t="shared" si="375"/>
        <v>0</v>
      </c>
      <c r="L954" s="26"/>
      <c r="M954" s="46">
        <f>SUM(M956:M962)</f>
        <v>0</v>
      </c>
      <c r="N954" s="61"/>
      <c r="O954" s="75">
        <f t="shared" si="3"/>
        <v>5600000</v>
      </c>
      <c r="P954" s="75">
        <f t="shared" si="4"/>
        <v>5600000</v>
      </c>
      <c r="Q954" s="64"/>
      <c r="R954" s="1"/>
      <c r="S954" s="1"/>
      <c r="T954" s="1"/>
      <c r="U954" s="1"/>
      <c r="V954" s="1"/>
      <c r="W954" s="1"/>
      <c r="X954" s="1"/>
      <c r="Y954" s="1"/>
      <c r="Z954" s="1"/>
    </row>
    <row r="955" ht="9.75" customHeight="1">
      <c r="A955" s="61"/>
      <c r="B955" s="91"/>
      <c r="C955" s="67"/>
      <c r="D955" s="22"/>
      <c r="E955" s="59" t="s">
        <v>23</v>
      </c>
      <c r="F955" s="59"/>
      <c r="G955" s="22"/>
      <c r="H955" s="22"/>
      <c r="I955" s="22"/>
      <c r="J955" s="22"/>
      <c r="K955" s="22"/>
      <c r="L955" s="26"/>
      <c r="M955" s="22"/>
      <c r="N955" s="61"/>
      <c r="O955" s="75">
        <f t="shared" si="3"/>
        <v>0</v>
      </c>
      <c r="P955" s="75">
        <f t="shared" si="4"/>
        <v>0</v>
      </c>
      <c r="Q955" s="64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61"/>
      <c r="B956" s="91"/>
      <c r="C956" s="67"/>
      <c r="D956" s="22"/>
      <c r="E956" s="59" t="s">
        <v>102</v>
      </c>
      <c r="F956" s="59"/>
      <c r="G956" s="36">
        <v>2.0</v>
      </c>
      <c r="H956" s="36" t="s">
        <v>95</v>
      </c>
      <c r="I956" s="48">
        <v>350000.0</v>
      </c>
      <c r="J956" s="46">
        <f t="shared" ref="J956:J962" si="376">G956*I956</f>
        <v>700000</v>
      </c>
      <c r="K956" s="46"/>
      <c r="L956" s="26"/>
      <c r="M956" s="46"/>
      <c r="N956" s="61"/>
      <c r="O956" s="75">
        <f t="shared" si="3"/>
        <v>700000</v>
      </c>
      <c r="P956" s="75">
        <f t="shared" si="4"/>
        <v>700000</v>
      </c>
      <c r="Q956" s="64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61"/>
      <c r="B957" s="91"/>
      <c r="C957" s="67"/>
      <c r="D957" s="22"/>
      <c r="E957" s="59" t="s">
        <v>103</v>
      </c>
      <c r="F957" s="59"/>
      <c r="G957" s="36">
        <v>2.0</v>
      </c>
      <c r="H957" s="36" t="s">
        <v>95</v>
      </c>
      <c r="I957" s="48">
        <v>225000.0</v>
      </c>
      <c r="J957" s="46">
        <f t="shared" si="376"/>
        <v>450000</v>
      </c>
      <c r="K957" s="46"/>
      <c r="L957" s="26"/>
      <c r="M957" s="46"/>
      <c r="N957" s="61"/>
      <c r="O957" s="75">
        <f t="shared" si="3"/>
        <v>450000</v>
      </c>
      <c r="P957" s="75">
        <f t="shared" si="4"/>
        <v>450000</v>
      </c>
      <c r="Q957" s="64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61"/>
      <c r="B958" s="91"/>
      <c r="C958" s="67"/>
      <c r="D958" s="22"/>
      <c r="E958" s="59" t="s">
        <v>104</v>
      </c>
      <c r="F958" s="59"/>
      <c r="G958" s="36">
        <v>2.0</v>
      </c>
      <c r="H958" s="36" t="s">
        <v>95</v>
      </c>
      <c r="I958" s="48">
        <v>450000.0</v>
      </c>
      <c r="J958" s="46">
        <f t="shared" si="376"/>
        <v>900000</v>
      </c>
      <c r="K958" s="46"/>
      <c r="L958" s="26"/>
      <c r="M958" s="46"/>
      <c r="N958" s="61"/>
      <c r="O958" s="75">
        <f t="shared" si="3"/>
        <v>900000</v>
      </c>
      <c r="P958" s="75">
        <f t="shared" si="4"/>
        <v>900000</v>
      </c>
      <c r="Q958" s="64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61"/>
      <c r="B959" s="91"/>
      <c r="C959" s="67"/>
      <c r="D959" s="22"/>
      <c r="E959" s="59" t="s">
        <v>105</v>
      </c>
      <c r="F959" s="59"/>
      <c r="G959" s="36">
        <v>2.0</v>
      </c>
      <c r="H959" s="36" t="s">
        <v>95</v>
      </c>
      <c r="I959" s="48">
        <v>250000.0</v>
      </c>
      <c r="J959" s="46">
        <f t="shared" si="376"/>
        <v>500000</v>
      </c>
      <c r="K959" s="46"/>
      <c r="L959" s="26"/>
      <c r="M959" s="46"/>
      <c r="N959" s="61"/>
      <c r="O959" s="75">
        <f t="shared" si="3"/>
        <v>500000</v>
      </c>
      <c r="P959" s="75">
        <f t="shared" si="4"/>
        <v>500000</v>
      </c>
      <c r="Q959" s="64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61"/>
      <c r="B960" s="91"/>
      <c r="C960" s="67"/>
      <c r="D960" s="22"/>
      <c r="E960" s="59" t="s">
        <v>106</v>
      </c>
      <c r="F960" s="59"/>
      <c r="G960" s="36">
        <v>2.0</v>
      </c>
      <c r="H960" s="36" t="s">
        <v>95</v>
      </c>
      <c r="I960" s="48">
        <v>100000.0</v>
      </c>
      <c r="J960" s="46">
        <f t="shared" si="376"/>
        <v>200000</v>
      </c>
      <c r="K960" s="46"/>
      <c r="L960" s="26"/>
      <c r="M960" s="46"/>
      <c r="N960" s="61"/>
      <c r="O960" s="75">
        <f t="shared" si="3"/>
        <v>200000</v>
      </c>
      <c r="P960" s="75">
        <f t="shared" si="4"/>
        <v>200000</v>
      </c>
      <c r="Q960" s="64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61"/>
      <c r="B961" s="91"/>
      <c r="C961" s="67"/>
      <c r="D961" s="22"/>
      <c r="E961" s="59" t="s">
        <v>107</v>
      </c>
      <c r="F961" s="59"/>
      <c r="G961" s="36">
        <v>2.0</v>
      </c>
      <c r="H961" s="36" t="s">
        <v>95</v>
      </c>
      <c r="I961" s="48">
        <v>725000.0</v>
      </c>
      <c r="J961" s="46">
        <f t="shared" si="376"/>
        <v>1450000</v>
      </c>
      <c r="K961" s="46"/>
      <c r="L961" s="26"/>
      <c r="M961" s="46"/>
      <c r="N961" s="61"/>
      <c r="O961" s="75">
        <f t="shared" si="3"/>
        <v>1450000</v>
      </c>
      <c r="P961" s="75">
        <f t="shared" si="4"/>
        <v>1450000</v>
      </c>
      <c r="Q961" s="64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61"/>
      <c r="B962" s="91"/>
      <c r="C962" s="67"/>
      <c r="D962" s="22"/>
      <c r="E962" s="59" t="s">
        <v>108</v>
      </c>
      <c r="F962" s="59"/>
      <c r="G962" s="36">
        <v>2.0</v>
      </c>
      <c r="H962" s="36" t="s">
        <v>95</v>
      </c>
      <c r="I962" s="48">
        <v>700000.0</v>
      </c>
      <c r="J962" s="46">
        <f t="shared" si="376"/>
        <v>1400000</v>
      </c>
      <c r="K962" s="46"/>
      <c r="L962" s="26"/>
      <c r="M962" s="46"/>
      <c r="N962" s="61"/>
      <c r="O962" s="75">
        <f t="shared" si="3"/>
        <v>1400000</v>
      </c>
      <c r="P962" s="75">
        <f t="shared" si="4"/>
        <v>1400000</v>
      </c>
      <c r="Q962" s="64"/>
      <c r="R962" s="1"/>
      <c r="S962" s="1"/>
      <c r="T962" s="1"/>
      <c r="U962" s="1"/>
      <c r="V962" s="1"/>
      <c r="W962" s="1"/>
      <c r="X962" s="1"/>
      <c r="Y962" s="1"/>
      <c r="Z962" s="1"/>
    </row>
    <row r="963" ht="9.75" customHeight="1">
      <c r="A963" s="61"/>
      <c r="B963" s="61"/>
      <c r="C963" s="35" t="s">
        <v>68</v>
      </c>
      <c r="D963" s="13"/>
      <c r="E963" s="59" t="s">
        <v>69</v>
      </c>
      <c r="F963" s="59"/>
      <c r="G963" s="22"/>
      <c r="H963" s="22"/>
      <c r="I963" s="22"/>
      <c r="J963" s="46">
        <f t="shared" ref="J963:K963" si="377">SUM(J965:J968)</f>
        <v>1160000</v>
      </c>
      <c r="K963" s="46">
        <f t="shared" si="377"/>
        <v>0</v>
      </c>
      <c r="L963" s="26"/>
      <c r="M963" s="46">
        <f>SUM(M965:M968)</f>
        <v>0</v>
      </c>
      <c r="N963" s="61"/>
      <c r="O963" s="75">
        <f t="shared" si="3"/>
        <v>1160000</v>
      </c>
      <c r="P963" s="75">
        <f t="shared" si="4"/>
        <v>1160000</v>
      </c>
      <c r="Q963" s="64"/>
      <c r="R963" s="1"/>
      <c r="S963" s="1"/>
      <c r="T963" s="1"/>
      <c r="U963" s="1"/>
      <c r="V963" s="1"/>
      <c r="W963" s="1"/>
      <c r="X963" s="1"/>
      <c r="Y963" s="1"/>
      <c r="Z963" s="1"/>
    </row>
    <row r="964" ht="9.75" customHeight="1">
      <c r="A964" s="61"/>
      <c r="B964" s="91"/>
      <c r="C964" s="67"/>
      <c r="D964" s="22"/>
      <c r="E964" s="59" t="s">
        <v>23</v>
      </c>
      <c r="F964" s="59"/>
      <c r="G964" s="22"/>
      <c r="H964" s="22"/>
      <c r="I964" s="22"/>
      <c r="J964" s="22"/>
      <c r="K964" s="22"/>
      <c r="L964" s="26"/>
      <c r="M964" s="22"/>
      <c r="N964" s="61"/>
      <c r="O964" s="75">
        <f t="shared" si="3"/>
        <v>0</v>
      </c>
      <c r="P964" s="75">
        <f t="shared" si="4"/>
        <v>0</v>
      </c>
      <c r="Q964" s="64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61"/>
      <c r="B965" s="91"/>
      <c r="C965" s="67"/>
      <c r="D965" s="22"/>
      <c r="E965" s="59" t="s">
        <v>109</v>
      </c>
      <c r="F965" s="59"/>
      <c r="G965" s="36">
        <v>10.0</v>
      </c>
      <c r="H965" s="36" t="s">
        <v>95</v>
      </c>
      <c r="I965" s="48">
        <v>50000.0</v>
      </c>
      <c r="J965" s="46">
        <f t="shared" ref="J965:J968" si="378">G965*I965</f>
        <v>500000</v>
      </c>
      <c r="K965" s="46"/>
      <c r="L965" s="26"/>
      <c r="M965" s="46"/>
      <c r="N965" s="61"/>
      <c r="O965" s="75">
        <f t="shared" si="3"/>
        <v>500000</v>
      </c>
      <c r="P965" s="75">
        <f t="shared" si="4"/>
        <v>500000</v>
      </c>
      <c r="Q965" s="64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61"/>
      <c r="B966" s="91"/>
      <c r="C966" s="67"/>
      <c r="D966" s="22"/>
      <c r="E966" s="59" t="s">
        <v>110</v>
      </c>
      <c r="F966" s="59"/>
      <c r="G966" s="36">
        <v>2.0</v>
      </c>
      <c r="H966" s="36" t="s">
        <v>95</v>
      </c>
      <c r="I966" s="48">
        <v>100000.0</v>
      </c>
      <c r="J966" s="46">
        <f t="shared" si="378"/>
        <v>200000</v>
      </c>
      <c r="K966" s="46"/>
      <c r="L966" s="26"/>
      <c r="M966" s="46"/>
      <c r="N966" s="61"/>
      <c r="O966" s="75">
        <f t="shared" si="3"/>
        <v>200000</v>
      </c>
      <c r="P966" s="75">
        <f t="shared" si="4"/>
        <v>200000</v>
      </c>
      <c r="Q966" s="64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61"/>
      <c r="B967" s="91"/>
      <c r="C967" s="67"/>
      <c r="D967" s="22"/>
      <c r="E967" s="59" t="s">
        <v>111</v>
      </c>
      <c r="F967" s="59"/>
      <c r="G967" s="36">
        <v>2.0</v>
      </c>
      <c r="H967" s="36" t="s">
        <v>95</v>
      </c>
      <c r="I967" s="48">
        <v>200000.0</v>
      </c>
      <c r="J967" s="46">
        <f t="shared" si="378"/>
        <v>400000</v>
      </c>
      <c r="K967" s="46"/>
      <c r="L967" s="26"/>
      <c r="M967" s="46"/>
      <c r="N967" s="61"/>
      <c r="O967" s="75">
        <f t="shared" si="3"/>
        <v>400000</v>
      </c>
      <c r="P967" s="75">
        <f t="shared" si="4"/>
        <v>400000</v>
      </c>
      <c r="Q967" s="64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61"/>
      <c r="B968" s="91"/>
      <c r="C968" s="67"/>
      <c r="D968" s="22"/>
      <c r="E968" s="59" t="s">
        <v>112</v>
      </c>
      <c r="F968" s="59"/>
      <c r="G968" s="36">
        <v>2.0</v>
      </c>
      <c r="H968" s="36" t="s">
        <v>95</v>
      </c>
      <c r="I968" s="48">
        <v>30000.0</v>
      </c>
      <c r="J968" s="46">
        <f t="shared" si="378"/>
        <v>60000</v>
      </c>
      <c r="K968" s="46"/>
      <c r="L968" s="26"/>
      <c r="M968" s="46"/>
      <c r="N968" s="61"/>
      <c r="O968" s="75">
        <f t="shared" si="3"/>
        <v>60000</v>
      </c>
      <c r="P968" s="75">
        <f t="shared" si="4"/>
        <v>60000</v>
      </c>
      <c r="Q968" s="64"/>
      <c r="R968" s="1"/>
      <c r="S968" s="1"/>
      <c r="T968" s="1"/>
      <c r="U968" s="1"/>
      <c r="V968" s="1"/>
      <c r="W968" s="1"/>
      <c r="X968" s="1"/>
      <c r="Y968" s="1"/>
      <c r="Z968" s="1"/>
    </row>
    <row r="969" ht="9.75" customHeight="1">
      <c r="A969" s="61"/>
      <c r="B969" s="61"/>
      <c r="C969" s="41" t="s">
        <v>113</v>
      </c>
      <c r="D969" s="13"/>
      <c r="E969" s="59" t="s">
        <v>114</v>
      </c>
      <c r="F969" s="59"/>
      <c r="G969" s="22"/>
      <c r="H969" s="22"/>
      <c r="I969" s="22"/>
      <c r="J969" s="43">
        <f t="shared" ref="J969:K969" si="379">J970</f>
        <v>410750000</v>
      </c>
      <c r="K969" s="43">
        <f t="shared" si="379"/>
        <v>0</v>
      </c>
      <c r="L969" s="26"/>
      <c r="M969" s="43">
        <f>M970</f>
        <v>6794544</v>
      </c>
      <c r="N969" s="61"/>
      <c r="O969" s="75">
        <f t="shared" si="3"/>
        <v>410750000</v>
      </c>
      <c r="P969" s="75">
        <f t="shared" si="4"/>
        <v>403955456</v>
      </c>
      <c r="Q969" s="64"/>
      <c r="R969" s="1"/>
      <c r="S969" s="1"/>
      <c r="T969" s="1"/>
      <c r="U969" s="1"/>
      <c r="V969" s="1"/>
      <c r="W969" s="1"/>
      <c r="X969" s="1"/>
      <c r="Y969" s="1"/>
      <c r="Z969" s="1"/>
    </row>
    <row r="970" ht="9.75" customHeight="1">
      <c r="A970" s="61"/>
      <c r="B970" s="61"/>
      <c r="C970" s="35" t="s">
        <v>68</v>
      </c>
      <c r="D970" s="13"/>
      <c r="E970" s="59" t="s">
        <v>69</v>
      </c>
      <c r="F970" s="59"/>
      <c r="G970" s="22"/>
      <c r="H970" s="22"/>
      <c r="I970" s="22"/>
      <c r="J970" s="46">
        <f t="shared" ref="J970:K970" si="380">SUM(J972:J982)</f>
        <v>410750000</v>
      </c>
      <c r="K970" s="46">
        <f t="shared" si="380"/>
        <v>0</v>
      </c>
      <c r="L970" s="26"/>
      <c r="M970" s="46">
        <f>SUM(M972:M982)</f>
        <v>6794544</v>
      </c>
      <c r="N970" s="61"/>
      <c r="O970" s="75">
        <f t="shared" si="3"/>
        <v>410750000</v>
      </c>
      <c r="P970" s="75">
        <f t="shared" si="4"/>
        <v>403955456</v>
      </c>
      <c r="Q970" s="64"/>
      <c r="R970" s="1"/>
      <c r="S970" s="1"/>
      <c r="T970" s="1"/>
      <c r="U970" s="1"/>
      <c r="V970" s="1"/>
      <c r="W970" s="1"/>
      <c r="X970" s="1"/>
      <c r="Y970" s="1"/>
      <c r="Z970" s="1"/>
    </row>
    <row r="971" ht="9.75" customHeight="1">
      <c r="A971" s="61"/>
      <c r="B971" s="91"/>
      <c r="C971" s="67"/>
      <c r="D971" s="22"/>
      <c r="E971" s="59" t="s">
        <v>23</v>
      </c>
      <c r="F971" s="59"/>
      <c r="G971" s="22"/>
      <c r="H971" s="22"/>
      <c r="I971" s="22"/>
      <c r="J971" s="22"/>
      <c r="K971" s="22"/>
      <c r="L971" s="26"/>
      <c r="M971" s="22"/>
      <c r="N971" s="61"/>
      <c r="O971" s="75">
        <f t="shared" si="3"/>
        <v>0</v>
      </c>
      <c r="P971" s="75">
        <f t="shared" si="4"/>
        <v>0</v>
      </c>
      <c r="Q971" s="64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61"/>
      <c r="B972" s="91"/>
      <c r="C972" s="67"/>
      <c r="D972" s="22"/>
      <c r="E972" s="59" t="s">
        <v>172</v>
      </c>
      <c r="F972" s="59"/>
      <c r="G972" s="36">
        <v>100.0</v>
      </c>
      <c r="H972" s="36" t="s">
        <v>95</v>
      </c>
      <c r="I972" s="48">
        <v>110000.0</v>
      </c>
      <c r="J972" s="46">
        <f t="shared" ref="J972:J982" si="381">G972*I972</f>
        <v>11000000</v>
      </c>
      <c r="K972" s="46"/>
      <c r="L972" s="26"/>
      <c r="M972" s="46"/>
      <c r="N972" s="61"/>
      <c r="O972" s="75">
        <f t="shared" si="3"/>
        <v>11000000</v>
      </c>
      <c r="P972" s="75">
        <f t="shared" si="4"/>
        <v>11000000</v>
      </c>
      <c r="Q972" s="64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61"/>
      <c r="B973" s="91"/>
      <c r="C973" s="67"/>
      <c r="D973" s="22"/>
      <c r="E973" s="59" t="s">
        <v>173</v>
      </c>
      <c r="F973" s="59"/>
      <c r="G973" s="36">
        <v>100.0</v>
      </c>
      <c r="H973" s="36" t="s">
        <v>95</v>
      </c>
      <c r="I973" s="48">
        <v>120000.0</v>
      </c>
      <c r="J973" s="46">
        <f t="shared" si="381"/>
        <v>12000000</v>
      </c>
      <c r="K973" s="46"/>
      <c r="L973" s="26"/>
      <c r="M973" s="46"/>
      <c r="N973" s="61"/>
      <c r="O973" s="75">
        <f t="shared" si="3"/>
        <v>12000000</v>
      </c>
      <c r="P973" s="75">
        <f t="shared" si="4"/>
        <v>12000000</v>
      </c>
      <c r="Q973" s="64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61"/>
      <c r="B974" s="91"/>
      <c r="C974" s="67"/>
      <c r="D974" s="22"/>
      <c r="E974" s="59" t="s">
        <v>174</v>
      </c>
      <c r="F974" s="59"/>
      <c r="G974" s="36">
        <v>100.0</v>
      </c>
      <c r="H974" s="36" t="s">
        <v>95</v>
      </c>
      <c r="I974" s="48">
        <v>150000.0</v>
      </c>
      <c r="J974" s="46">
        <f t="shared" si="381"/>
        <v>15000000</v>
      </c>
      <c r="K974" s="46"/>
      <c r="L974" s="26"/>
      <c r="M974" s="46"/>
      <c r="N974" s="61"/>
      <c r="O974" s="75">
        <f t="shared" si="3"/>
        <v>15000000</v>
      </c>
      <c r="P974" s="75">
        <f t="shared" si="4"/>
        <v>15000000</v>
      </c>
      <c r="Q974" s="64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61"/>
      <c r="B975" s="91"/>
      <c r="C975" s="67"/>
      <c r="D975" s="22"/>
      <c r="E975" s="59" t="s">
        <v>175</v>
      </c>
      <c r="F975" s="59"/>
      <c r="G975" s="36">
        <v>100.0</v>
      </c>
      <c r="H975" s="36" t="s">
        <v>95</v>
      </c>
      <c r="I975" s="48">
        <v>100000.0</v>
      </c>
      <c r="J975" s="46">
        <f t="shared" si="381"/>
        <v>10000000</v>
      </c>
      <c r="K975" s="46"/>
      <c r="L975" s="26"/>
      <c r="M975" s="46"/>
      <c r="N975" s="61"/>
      <c r="O975" s="75">
        <f t="shared" si="3"/>
        <v>10000000</v>
      </c>
      <c r="P975" s="75">
        <f t="shared" si="4"/>
        <v>10000000</v>
      </c>
      <c r="Q975" s="64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61"/>
      <c r="B976" s="91"/>
      <c r="C976" s="67"/>
      <c r="D976" s="22"/>
      <c r="E976" s="59" t="s">
        <v>176</v>
      </c>
      <c r="F976" s="59"/>
      <c r="G976" s="36">
        <v>100.0</v>
      </c>
      <c r="H976" s="36" t="s">
        <v>95</v>
      </c>
      <c r="I976" s="48">
        <v>350000.0</v>
      </c>
      <c r="J976" s="46">
        <f t="shared" si="381"/>
        <v>35000000</v>
      </c>
      <c r="K976" s="46"/>
      <c r="L976" s="26"/>
      <c r="M976" s="46"/>
      <c r="N976" s="61"/>
      <c r="O976" s="75">
        <f t="shared" si="3"/>
        <v>35000000</v>
      </c>
      <c r="P976" s="75">
        <f t="shared" si="4"/>
        <v>35000000</v>
      </c>
      <c r="Q976" s="64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61"/>
      <c r="B977" s="91"/>
      <c r="C977" s="67"/>
      <c r="D977" s="22"/>
      <c r="E977" s="59" t="s">
        <v>177</v>
      </c>
      <c r="F977" s="59"/>
      <c r="G977" s="36">
        <v>50.0</v>
      </c>
      <c r="H977" s="36" t="s">
        <v>95</v>
      </c>
      <c r="I977" s="48">
        <v>175000.0</v>
      </c>
      <c r="J977" s="46">
        <f t="shared" si="381"/>
        <v>8750000</v>
      </c>
      <c r="K977" s="46"/>
      <c r="L977" s="26"/>
      <c r="M977" s="46"/>
      <c r="N977" s="61"/>
      <c r="O977" s="75">
        <f t="shared" si="3"/>
        <v>8750000</v>
      </c>
      <c r="P977" s="75">
        <f t="shared" si="4"/>
        <v>8750000</v>
      </c>
      <c r="Q977" s="64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61"/>
      <c r="B978" s="91"/>
      <c r="C978" s="67"/>
      <c r="D978" s="22"/>
      <c r="E978" s="59" t="s">
        <v>178</v>
      </c>
      <c r="F978" s="59"/>
      <c r="G978" s="36">
        <v>350.0</v>
      </c>
      <c r="H978" s="36" t="s">
        <v>95</v>
      </c>
      <c r="I978" s="48">
        <v>150000.0</v>
      </c>
      <c r="J978" s="46">
        <f t="shared" si="381"/>
        <v>52500000</v>
      </c>
      <c r="K978" s="46"/>
      <c r="L978" s="26"/>
      <c r="M978" s="46"/>
      <c r="N978" s="61"/>
      <c r="O978" s="75">
        <f t="shared" si="3"/>
        <v>52500000</v>
      </c>
      <c r="P978" s="75">
        <f t="shared" si="4"/>
        <v>52500000</v>
      </c>
      <c r="Q978" s="64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61"/>
      <c r="B979" s="91"/>
      <c r="C979" s="67"/>
      <c r="D979" s="22"/>
      <c r="E979" s="59" t="s">
        <v>179</v>
      </c>
      <c r="F979" s="59"/>
      <c r="G979" s="36">
        <v>350.0</v>
      </c>
      <c r="H979" s="36" t="s">
        <v>95</v>
      </c>
      <c r="I979" s="48">
        <v>200000.0</v>
      </c>
      <c r="J979" s="46">
        <f t="shared" si="381"/>
        <v>70000000</v>
      </c>
      <c r="K979" s="46"/>
      <c r="L979" s="26"/>
      <c r="M979" s="46"/>
      <c r="N979" s="61"/>
      <c r="O979" s="75">
        <f t="shared" si="3"/>
        <v>70000000</v>
      </c>
      <c r="P979" s="75">
        <f t="shared" si="4"/>
        <v>70000000</v>
      </c>
      <c r="Q979" s="64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61"/>
      <c r="B980" s="91"/>
      <c r="C980" s="67"/>
      <c r="D980" s="22"/>
      <c r="E980" s="59" t="s">
        <v>180</v>
      </c>
      <c r="F980" s="59"/>
      <c r="G980" s="36">
        <v>600.0</v>
      </c>
      <c r="H980" s="36" t="s">
        <v>95</v>
      </c>
      <c r="I980" s="48">
        <v>250000.0</v>
      </c>
      <c r="J980" s="46">
        <f t="shared" si="381"/>
        <v>150000000</v>
      </c>
      <c r="K980" s="46"/>
      <c r="L980" s="26"/>
      <c r="M980" s="53">
        <v>6794544.0</v>
      </c>
      <c r="N980" s="61"/>
      <c r="O980" s="75">
        <f t="shared" si="3"/>
        <v>150000000</v>
      </c>
      <c r="P980" s="75">
        <f t="shared" si="4"/>
        <v>143205456</v>
      </c>
      <c r="Q980" s="64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61"/>
      <c r="B981" s="91"/>
      <c r="C981" s="67"/>
      <c r="D981" s="22"/>
      <c r="E981" s="59" t="s">
        <v>181</v>
      </c>
      <c r="F981" s="59"/>
      <c r="G981" s="36">
        <v>360.0</v>
      </c>
      <c r="H981" s="36" t="s">
        <v>95</v>
      </c>
      <c r="I981" s="48">
        <v>100000.0</v>
      </c>
      <c r="J981" s="46">
        <f t="shared" si="381"/>
        <v>36000000</v>
      </c>
      <c r="K981" s="46"/>
      <c r="L981" s="26"/>
      <c r="M981" s="46"/>
      <c r="N981" s="61"/>
      <c r="O981" s="75">
        <f t="shared" si="3"/>
        <v>36000000</v>
      </c>
      <c r="P981" s="75">
        <f t="shared" si="4"/>
        <v>36000000</v>
      </c>
      <c r="Q981" s="64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61"/>
      <c r="B982" s="91"/>
      <c r="C982" s="67"/>
      <c r="D982" s="22"/>
      <c r="E982" s="59" t="s">
        <v>182</v>
      </c>
      <c r="F982" s="59"/>
      <c r="G982" s="36">
        <v>210.0</v>
      </c>
      <c r="H982" s="36" t="s">
        <v>95</v>
      </c>
      <c r="I982" s="48">
        <v>50000.0</v>
      </c>
      <c r="J982" s="46">
        <f t="shared" si="381"/>
        <v>10500000</v>
      </c>
      <c r="K982" s="46"/>
      <c r="L982" s="26"/>
      <c r="M982" s="46"/>
      <c r="N982" s="61"/>
      <c r="O982" s="75">
        <f t="shared" si="3"/>
        <v>10500000</v>
      </c>
      <c r="P982" s="75">
        <f t="shared" si="4"/>
        <v>10500000</v>
      </c>
      <c r="Q982" s="64"/>
      <c r="R982" s="1"/>
      <c r="S982" s="1"/>
      <c r="T982" s="1"/>
      <c r="U982" s="1"/>
      <c r="V982" s="1"/>
      <c r="W982" s="1"/>
      <c r="X982" s="1"/>
      <c r="Y982" s="1"/>
      <c r="Z982" s="1"/>
    </row>
    <row r="983" ht="9.75" customHeight="1">
      <c r="A983" s="61"/>
      <c r="B983" s="61"/>
      <c r="C983" s="41" t="s">
        <v>126</v>
      </c>
      <c r="D983" s="13"/>
      <c r="E983" s="59" t="s">
        <v>127</v>
      </c>
      <c r="F983" s="59"/>
      <c r="G983" s="22"/>
      <c r="H983" s="22"/>
      <c r="I983" s="22"/>
      <c r="J983" s="43">
        <f t="shared" ref="J983:K983" si="382">J984</f>
        <v>190740000</v>
      </c>
      <c r="K983" s="43">
        <f t="shared" si="382"/>
        <v>0</v>
      </c>
      <c r="L983" s="26"/>
      <c r="M983" s="43">
        <f>M984</f>
        <v>0</v>
      </c>
      <c r="N983" s="61"/>
      <c r="O983" s="75">
        <f t="shared" si="3"/>
        <v>190740000</v>
      </c>
      <c r="P983" s="75">
        <f t="shared" si="4"/>
        <v>190740000</v>
      </c>
      <c r="Q983" s="64"/>
      <c r="R983" s="1"/>
      <c r="S983" s="1"/>
      <c r="T983" s="1"/>
      <c r="U983" s="1"/>
      <c r="V983" s="1"/>
      <c r="W983" s="1"/>
      <c r="X983" s="1"/>
      <c r="Y983" s="1"/>
      <c r="Z983" s="1"/>
    </row>
    <row r="984" ht="9.75" customHeight="1">
      <c r="A984" s="61"/>
      <c r="B984" s="61"/>
      <c r="C984" s="35" t="s">
        <v>68</v>
      </c>
      <c r="D984" s="13"/>
      <c r="E984" s="59" t="s">
        <v>69</v>
      </c>
      <c r="F984" s="59"/>
      <c r="G984" s="22"/>
      <c r="H984" s="22"/>
      <c r="I984" s="22"/>
      <c r="J984" s="46">
        <f t="shared" ref="J984:K984" si="383">SUM(J986:J990)</f>
        <v>190740000</v>
      </c>
      <c r="K984" s="46">
        <f t="shared" si="383"/>
        <v>0</v>
      </c>
      <c r="L984" s="26"/>
      <c r="M984" s="46">
        <f>SUM(M986:M990)</f>
        <v>0</v>
      </c>
      <c r="N984" s="61"/>
      <c r="O984" s="75">
        <f t="shared" si="3"/>
        <v>190740000</v>
      </c>
      <c r="P984" s="75">
        <f t="shared" si="4"/>
        <v>190740000</v>
      </c>
      <c r="Q984" s="64"/>
      <c r="R984" s="1"/>
      <c r="S984" s="1"/>
      <c r="T984" s="1"/>
      <c r="U984" s="1"/>
      <c r="V984" s="1"/>
      <c r="W984" s="1"/>
      <c r="X984" s="1"/>
      <c r="Y984" s="1"/>
      <c r="Z984" s="1"/>
    </row>
    <row r="985" ht="9.75" customHeight="1">
      <c r="A985" s="61"/>
      <c r="B985" s="91"/>
      <c r="C985" s="67"/>
      <c r="D985" s="22"/>
      <c r="E985" s="59" t="s">
        <v>23</v>
      </c>
      <c r="F985" s="59"/>
      <c r="G985" s="22"/>
      <c r="H985" s="22"/>
      <c r="I985" s="22"/>
      <c r="J985" s="22"/>
      <c r="K985" s="22"/>
      <c r="L985" s="26"/>
      <c r="M985" s="22"/>
      <c r="N985" s="61"/>
      <c r="O985" s="75">
        <f t="shared" si="3"/>
        <v>0</v>
      </c>
      <c r="P985" s="75">
        <f t="shared" si="4"/>
        <v>0</v>
      </c>
      <c r="Q985" s="64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61"/>
      <c r="B986" s="91"/>
      <c r="C986" s="67"/>
      <c r="D986" s="22"/>
      <c r="E986" s="59" t="s">
        <v>128</v>
      </c>
      <c r="F986" s="59"/>
      <c r="G986" s="36">
        <v>88.0</v>
      </c>
      <c r="H986" s="36" t="s">
        <v>233</v>
      </c>
      <c r="I986" s="48">
        <v>110000.0</v>
      </c>
      <c r="J986" s="46">
        <f t="shared" ref="J986:J990" si="384">G986*I986</f>
        <v>9680000</v>
      </c>
      <c r="K986" s="46"/>
      <c r="L986" s="26"/>
      <c r="M986" s="46"/>
      <c r="N986" s="61"/>
      <c r="O986" s="75">
        <f t="shared" si="3"/>
        <v>9680000</v>
      </c>
      <c r="P986" s="75">
        <f t="shared" si="4"/>
        <v>9680000</v>
      </c>
      <c r="Q986" s="64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61"/>
      <c r="B987" s="91"/>
      <c r="C987" s="67"/>
      <c r="D987" s="22"/>
      <c r="E987" s="59" t="s">
        <v>130</v>
      </c>
      <c r="F987" s="59"/>
      <c r="G987" s="36">
        <v>88.0</v>
      </c>
      <c r="H987" s="36" t="s">
        <v>233</v>
      </c>
      <c r="I987" s="48">
        <v>120000.0</v>
      </c>
      <c r="J987" s="46">
        <f t="shared" si="384"/>
        <v>10560000</v>
      </c>
      <c r="K987" s="46"/>
      <c r="L987" s="26"/>
      <c r="M987" s="46"/>
      <c r="N987" s="61"/>
      <c r="O987" s="75">
        <f t="shared" si="3"/>
        <v>10560000</v>
      </c>
      <c r="P987" s="75">
        <f t="shared" si="4"/>
        <v>10560000</v>
      </c>
      <c r="Q987" s="64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61"/>
      <c r="B988" s="91"/>
      <c r="C988" s="67"/>
      <c r="D988" s="22"/>
      <c r="E988" s="59" t="s">
        <v>131</v>
      </c>
      <c r="F988" s="59"/>
      <c r="G988" s="36">
        <v>88.0</v>
      </c>
      <c r="H988" s="36" t="s">
        <v>233</v>
      </c>
      <c r="I988" s="48">
        <v>350000.0</v>
      </c>
      <c r="J988" s="46">
        <f t="shared" si="384"/>
        <v>30800000</v>
      </c>
      <c r="K988" s="46"/>
      <c r="L988" s="26"/>
      <c r="M988" s="46"/>
      <c r="N988" s="61"/>
      <c r="O988" s="75">
        <f t="shared" si="3"/>
        <v>30800000</v>
      </c>
      <c r="P988" s="75">
        <f t="shared" si="4"/>
        <v>30800000</v>
      </c>
      <c r="Q988" s="64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61"/>
      <c r="B989" s="91"/>
      <c r="C989" s="67"/>
      <c r="D989" s="22"/>
      <c r="E989" s="59" t="s">
        <v>132</v>
      </c>
      <c r="F989" s="59"/>
      <c r="G989" s="36">
        <v>44.0</v>
      </c>
      <c r="H989" s="36" t="s">
        <v>233</v>
      </c>
      <c r="I989" s="48">
        <v>175000.0</v>
      </c>
      <c r="J989" s="46">
        <f t="shared" si="384"/>
        <v>7700000</v>
      </c>
      <c r="K989" s="46"/>
      <c r="L989" s="26"/>
      <c r="M989" s="46"/>
      <c r="N989" s="61"/>
      <c r="O989" s="75">
        <f t="shared" si="3"/>
        <v>7700000</v>
      </c>
      <c r="P989" s="75">
        <f t="shared" si="4"/>
        <v>7700000</v>
      </c>
      <c r="Q989" s="64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61"/>
      <c r="B990" s="91"/>
      <c r="C990" s="67"/>
      <c r="D990" s="22"/>
      <c r="E990" s="59" t="s">
        <v>133</v>
      </c>
      <c r="F990" s="59"/>
      <c r="G990" s="36">
        <v>528.0</v>
      </c>
      <c r="H990" s="36" t="s">
        <v>233</v>
      </c>
      <c r="I990" s="48">
        <v>250000.0</v>
      </c>
      <c r="J990" s="46">
        <f t="shared" si="384"/>
        <v>132000000</v>
      </c>
      <c r="K990" s="46"/>
      <c r="L990" s="26"/>
      <c r="M990" s="46"/>
      <c r="N990" s="61"/>
      <c r="O990" s="75">
        <f t="shared" si="3"/>
        <v>132000000</v>
      </c>
      <c r="P990" s="75">
        <f t="shared" si="4"/>
        <v>132000000</v>
      </c>
      <c r="Q990" s="64"/>
      <c r="R990" s="1"/>
      <c r="S990" s="1"/>
      <c r="T990" s="1"/>
      <c r="U990" s="1"/>
      <c r="V990" s="1"/>
      <c r="W990" s="1"/>
      <c r="X990" s="1"/>
      <c r="Y990" s="1"/>
      <c r="Z990" s="1"/>
    </row>
    <row r="991" ht="9.75" customHeight="1">
      <c r="A991" s="61"/>
      <c r="B991" s="61"/>
      <c r="C991" s="41" t="s">
        <v>134</v>
      </c>
      <c r="D991" s="13"/>
      <c r="E991" s="59" t="s">
        <v>135</v>
      </c>
      <c r="F991" s="59"/>
      <c r="G991" s="22"/>
      <c r="H991" s="22"/>
      <c r="I991" s="22"/>
      <c r="J991" s="43">
        <f t="shared" ref="J991:K991" si="385">J992</f>
        <v>20020000</v>
      </c>
      <c r="K991" s="43">
        <f t="shared" si="385"/>
        <v>0</v>
      </c>
      <c r="L991" s="26"/>
      <c r="M991" s="43">
        <f>M992</f>
        <v>0</v>
      </c>
      <c r="N991" s="61"/>
      <c r="O991" s="75">
        <f t="shared" si="3"/>
        <v>20020000</v>
      </c>
      <c r="P991" s="75">
        <f t="shared" si="4"/>
        <v>20020000</v>
      </c>
      <c r="Q991" s="64"/>
      <c r="R991" s="1"/>
      <c r="S991" s="1"/>
      <c r="T991" s="1"/>
      <c r="U991" s="1"/>
      <c r="V991" s="1"/>
      <c r="W991" s="1"/>
      <c r="X991" s="1"/>
      <c r="Y991" s="1"/>
      <c r="Z991" s="1"/>
    </row>
    <row r="992" ht="9.75" customHeight="1">
      <c r="A992" s="61"/>
      <c r="B992" s="61"/>
      <c r="C992" s="35" t="s">
        <v>68</v>
      </c>
      <c r="D992" s="13"/>
      <c r="E992" s="59" t="s">
        <v>69</v>
      </c>
      <c r="F992" s="59"/>
      <c r="G992" s="22"/>
      <c r="H992" s="22"/>
      <c r="I992" s="22"/>
      <c r="J992" s="46">
        <f t="shared" ref="J992:K992" si="386">SUM(J994:J998)</f>
        <v>20020000</v>
      </c>
      <c r="K992" s="46">
        <f t="shared" si="386"/>
        <v>0</v>
      </c>
      <c r="L992" s="26"/>
      <c r="M992" s="46">
        <f>SUM(M994:M998)</f>
        <v>0</v>
      </c>
      <c r="N992" s="61"/>
      <c r="O992" s="75">
        <f t="shared" si="3"/>
        <v>20020000</v>
      </c>
      <c r="P992" s="75">
        <f t="shared" si="4"/>
        <v>20020000</v>
      </c>
      <c r="Q992" s="64"/>
      <c r="R992" s="1"/>
      <c r="S992" s="1"/>
      <c r="T992" s="1"/>
      <c r="U992" s="1"/>
      <c r="V992" s="1"/>
      <c r="W992" s="1"/>
      <c r="X992" s="1"/>
      <c r="Y992" s="1"/>
      <c r="Z992" s="1"/>
    </row>
    <row r="993" ht="9.75" customHeight="1">
      <c r="A993" s="61"/>
      <c r="B993" s="91"/>
      <c r="C993" s="67"/>
      <c r="D993" s="22"/>
      <c r="E993" s="59" t="s">
        <v>23</v>
      </c>
      <c r="F993" s="59"/>
      <c r="G993" s="22"/>
      <c r="H993" s="22"/>
      <c r="I993" s="22"/>
      <c r="J993" s="22"/>
      <c r="K993" s="22"/>
      <c r="L993" s="26"/>
      <c r="M993" s="22"/>
      <c r="N993" s="61"/>
      <c r="O993" s="75">
        <f t="shared" si="3"/>
        <v>0</v>
      </c>
      <c r="P993" s="75">
        <f t="shared" si="4"/>
        <v>0</v>
      </c>
      <c r="Q993" s="64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61"/>
      <c r="B994" s="91"/>
      <c r="C994" s="67"/>
      <c r="D994" s="22"/>
      <c r="E994" s="59" t="s">
        <v>183</v>
      </c>
      <c r="F994" s="59"/>
      <c r="G994" s="36">
        <v>150.0</v>
      </c>
      <c r="H994" s="36" t="s">
        <v>95</v>
      </c>
      <c r="I994" s="48">
        <v>75000.0</v>
      </c>
      <c r="J994" s="46">
        <f t="shared" ref="J994:J998" si="387">G994*I994</f>
        <v>11250000</v>
      </c>
      <c r="K994" s="46"/>
      <c r="L994" s="26"/>
      <c r="M994" s="46"/>
      <c r="N994" s="61"/>
      <c r="O994" s="75">
        <f t="shared" si="3"/>
        <v>11250000</v>
      </c>
      <c r="P994" s="75">
        <f t="shared" si="4"/>
        <v>11250000</v>
      </c>
      <c r="Q994" s="64"/>
      <c r="R994" s="1"/>
      <c r="S994" s="1"/>
      <c r="T994" s="1"/>
      <c r="U994" s="1"/>
      <c r="V994" s="1"/>
      <c r="W994" s="1"/>
      <c r="X994" s="1"/>
      <c r="Y994" s="1"/>
      <c r="Z994" s="1"/>
    </row>
    <row r="995" ht="9.75" customHeight="1">
      <c r="A995" s="61"/>
      <c r="B995" s="91"/>
      <c r="C995" s="67"/>
      <c r="D995" s="22"/>
      <c r="E995" s="59" t="s">
        <v>137</v>
      </c>
      <c r="F995" s="59"/>
      <c r="G995" s="36">
        <v>2.0</v>
      </c>
      <c r="H995" s="36" t="s">
        <v>95</v>
      </c>
      <c r="I995" s="48">
        <v>360000.0</v>
      </c>
      <c r="J995" s="46">
        <f t="shared" si="387"/>
        <v>720000</v>
      </c>
      <c r="K995" s="46"/>
      <c r="L995" s="26"/>
      <c r="M995" s="46"/>
      <c r="N995" s="61"/>
      <c r="O995" s="75">
        <f t="shared" si="3"/>
        <v>720000</v>
      </c>
      <c r="P995" s="75">
        <f t="shared" si="4"/>
        <v>720000</v>
      </c>
      <c r="Q995" s="64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61"/>
      <c r="B996" s="91"/>
      <c r="C996" s="67"/>
      <c r="D996" s="22"/>
      <c r="E996" s="59" t="s">
        <v>184</v>
      </c>
      <c r="F996" s="59"/>
      <c r="G996" s="36">
        <v>50.0</v>
      </c>
      <c r="H996" s="36" t="s">
        <v>95</v>
      </c>
      <c r="I996" s="48">
        <v>93000.0</v>
      </c>
      <c r="J996" s="46">
        <f t="shared" si="387"/>
        <v>4650000</v>
      </c>
      <c r="K996" s="46"/>
      <c r="L996" s="26"/>
      <c r="M996" s="46"/>
      <c r="N996" s="61"/>
      <c r="O996" s="75">
        <f t="shared" si="3"/>
        <v>4650000</v>
      </c>
      <c r="P996" s="75">
        <f t="shared" si="4"/>
        <v>4650000</v>
      </c>
      <c r="Q996" s="64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61"/>
      <c r="B997" s="91"/>
      <c r="C997" s="67"/>
      <c r="D997" s="22"/>
      <c r="E997" s="59" t="s">
        <v>185</v>
      </c>
      <c r="F997" s="59"/>
      <c r="G997" s="36">
        <v>50.0</v>
      </c>
      <c r="H997" s="36" t="s">
        <v>95</v>
      </c>
      <c r="I997" s="48">
        <v>53000.0</v>
      </c>
      <c r="J997" s="46">
        <f t="shared" si="387"/>
        <v>2650000</v>
      </c>
      <c r="K997" s="46"/>
      <c r="L997" s="26"/>
      <c r="M997" s="46"/>
      <c r="N997" s="61"/>
      <c r="O997" s="75">
        <f t="shared" si="3"/>
        <v>2650000</v>
      </c>
      <c r="P997" s="75">
        <f t="shared" si="4"/>
        <v>2650000</v>
      </c>
      <c r="Q997" s="64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61"/>
      <c r="B998" s="91"/>
      <c r="C998" s="67"/>
      <c r="D998" s="22"/>
      <c r="E998" s="59" t="s">
        <v>186</v>
      </c>
      <c r="F998" s="59"/>
      <c r="G998" s="36">
        <v>50.0</v>
      </c>
      <c r="H998" s="36" t="s">
        <v>95</v>
      </c>
      <c r="I998" s="48">
        <v>15000.0</v>
      </c>
      <c r="J998" s="46">
        <f t="shared" si="387"/>
        <v>750000</v>
      </c>
      <c r="K998" s="46"/>
      <c r="L998" s="26"/>
      <c r="M998" s="46"/>
      <c r="N998" s="61"/>
      <c r="O998" s="75">
        <f t="shared" si="3"/>
        <v>750000</v>
      </c>
      <c r="P998" s="75">
        <f t="shared" si="4"/>
        <v>750000</v>
      </c>
      <c r="Q998" s="64"/>
      <c r="R998" s="1"/>
      <c r="S998" s="1"/>
      <c r="T998" s="1"/>
      <c r="U998" s="1"/>
      <c r="V998" s="1"/>
      <c r="W998" s="1"/>
      <c r="X998" s="1"/>
      <c r="Y998" s="1"/>
      <c r="Z998" s="1"/>
    </row>
    <row r="999" ht="9.75" customHeight="1">
      <c r="A999" s="61"/>
      <c r="B999" s="61"/>
      <c r="C999" s="41" t="s">
        <v>141</v>
      </c>
      <c r="D999" s="13"/>
      <c r="E999" s="59" t="s">
        <v>142</v>
      </c>
      <c r="F999" s="59"/>
      <c r="G999" s="22"/>
      <c r="H999" s="22"/>
      <c r="I999" s="22"/>
      <c r="J999" s="43">
        <f t="shared" ref="J999:K999" si="388">J1000</f>
        <v>145500000</v>
      </c>
      <c r="K999" s="43">
        <f t="shared" si="388"/>
        <v>0</v>
      </c>
      <c r="L999" s="26"/>
      <c r="M999" s="43">
        <f>M1000</f>
        <v>0</v>
      </c>
      <c r="N999" s="61"/>
      <c r="O999" s="75">
        <f t="shared" si="3"/>
        <v>145500000</v>
      </c>
      <c r="P999" s="75">
        <f t="shared" si="4"/>
        <v>145500000</v>
      </c>
      <c r="Q999" s="64"/>
      <c r="R999" s="1"/>
      <c r="S999" s="1"/>
      <c r="T999" s="1"/>
      <c r="U999" s="1"/>
      <c r="V999" s="1"/>
      <c r="W999" s="1"/>
      <c r="X999" s="1"/>
      <c r="Y999" s="1"/>
      <c r="Z999" s="1"/>
    </row>
    <row r="1000" ht="9.75" customHeight="1">
      <c r="A1000" s="61"/>
      <c r="B1000" s="61"/>
      <c r="C1000" s="35" t="s">
        <v>68</v>
      </c>
      <c r="D1000" s="13"/>
      <c r="E1000" s="59" t="s">
        <v>69</v>
      </c>
      <c r="F1000" s="59"/>
      <c r="G1000" s="22"/>
      <c r="H1000" s="22"/>
      <c r="I1000" s="22"/>
      <c r="J1000" s="46">
        <f t="shared" ref="J1000:K1000" si="389">SUM(J1002:J1004)</f>
        <v>145500000</v>
      </c>
      <c r="K1000" s="46">
        <f t="shared" si="389"/>
        <v>0</v>
      </c>
      <c r="L1000" s="26"/>
      <c r="M1000" s="46">
        <f>SUM(M1002:M1004)</f>
        <v>0</v>
      </c>
      <c r="N1000" s="61"/>
      <c r="O1000" s="75">
        <f t="shared" si="3"/>
        <v>145500000</v>
      </c>
      <c r="P1000" s="75">
        <f t="shared" si="4"/>
        <v>145500000</v>
      </c>
      <c r="Q1000" s="64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9.75" customHeight="1">
      <c r="A1001" s="61"/>
      <c r="B1001" s="91"/>
      <c r="C1001" s="67"/>
      <c r="D1001" s="22"/>
      <c r="E1001" s="59" t="s">
        <v>23</v>
      </c>
      <c r="F1001" s="59"/>
      <c r="G1001" s="22"/>
      <c r="H1001" s="22"/>
      <c r="I1001" s="22"/>
      <c r="J1001" s="22"/>
      <c r="K1001" s="22"/>
      <c r="L1001" s="26"/>
      <c r="M1001" s="22"/>
      <c r="N1001" s="61"/>
      <c r="O1001" s="75">
        <f t="shared" si="3"/>
        <v>0</v>
      </c>
      <c r="P1001" s="75">
        <f t="shared" si="4"/>
        <v>0</v>
      </c>
      <c r="Q1001" s="64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4.25" customHeight="1">
      <c r="A1002" s="61"/>
      <c r="B1002" s="91"/>
      <c r="C1002" s="67"/>
      <c r="D1002" s="22"/>
      <c r="E1002" s="59" t="s">
        <v>187</v>
      </c>
      <c r="F1002" s="59"/>
      <c r="G1002" s="36">
        <v>50.0</v>
      </c>
      <c r="H1002" s="36" t="s">
        <v>95</v>
      </c>
      <c r="I1002" s="48">
        <v>2000000.0</v>
      </c>
      <c r="J1002" s="46">
        <f t="shared" ref="J1002:J1004" si="390">G1002*I1002</f>
        <v>100000000</v>
      </c>
      <c r="K1002" s="46"/>
      <c r="L1002" s="26"/>
      <c r="M1002" s="46"/>
      <c r="N1002" s="61"/>
      <c r="O1002" s="75">
        <f t="shared" si="3"/>
        <v>100000000</v>
      </c>
      <c r="P1002" s="75">
        <f t="shared" si="4"/>
        <v>100000000</v>
      </c>
      <c r="Q1002" s="64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4.25" customHeight="1">
      <c r="A1003" s="61"/>
      <c r="B1003" s="91"/>
      <c r="C1003" s="67"/>
      <c r="D1003" s="22"/>
      <c r="E1003" s="59" t="s">
        <v>188</v>
      </c>
      <c r="F1003" s="59"/>
      <c r="G1003" s="36">
        <v>50.0</v>
      </c>
      <c r="H1003" s="36" t="s">
        <v>95</v>
      </c>
      <c r="I1003" s="48">
        <v>750000.0</v>
      </c>
      <c r="J1003" s="46">
        <f t="shared" si="390"/>
        <v>37500000</v>
      </c>
      <c r="K1003" s="46"/>
      <c r="L1003" s="26"/>
      <c r="M1003" s="46"/>
      <c r="N1003" s="61"/>
      <c r="O1003" s="75">
        <f t="shared" si="3"/>
        <v>37500000</v>
      </c>
      <c r="P1003" s="75">
        <f t="shared" si="4"/>
        <v>37500000</v>
      </c>
      <c r="Q1003" s="64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4.25" customHeight="1">
      <c r="A1004" s="61"/>
      <c r="B1004" s="91"/>
      <c r="C1004" s="67"/>
      <c r="D1004" s="22"/>
      <c r="E1004" s="59" t="s">
        <v>145</v>
      </c>
      <c r="F1004" s="59"/>
      <c r="G1004" s="36">
        <v>4.0</v>
      </c>
      <c r="H1004" s="36" t="s">
        <v>95</v>
      </c>
      <c r="I1004" s="48">
        <v>2000000.0</v>
      </c>
      <c r="J1004" s="46">
        <f t="shared" si="390"/>
        <v>8000000</v>
      </c>
      <c r="K1004" s="46"/>
      <c r="L1004" s="26"/>
      <c r="M1004" s="46"/>
      <c r="N1004" s="61"/>
      <c r="O1004" s="75">
        <f t="shared" si="3"/>
        <v>8000000</v>
      </c>
      <c r="P1004" s="75">
        <f t="shared" si="4"/>
        <v>8000000</v>
      </c>
      <c r="Q1004" s="64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9.75" customHeight="1">
      <c r="A1005" s="61"/>
      <c r="B1005" s="61"/>
      <c r="C1005" s="41" t="s">
        <v>146</v>
      </c>
      <c r="D1005" s="13"/>
      <c r="E1005" s="59" t="s">
        <v>147</v>
      </c>
      <c r="F1005" s="59"/>
      <c r="G1005" s="22"/>
      <c r="H1005" s="22"/>
      <c r="I1005" s="22"/>
      <c r="J1005" s="43">
        <f t="shared" ref="J1005:K1005" si="391">J1006+J1013</f>
        <v>219800000</v>
      </c>
      <c r="K1005" s="43">
        <f t="shared" si="391"/>
        <v>0</v>
      </c>
      <c r="L1005" s="26"/>
      <c r="M1005" s="43">
        <f>M1006+M1013</f>
        <v>37360000</v>
      </c>
      <c r="N1005" s="61"/>
      <c r="O1005" s="75">
        <f t="shared" si="3"/>
        <v>219800000</v>
      </c>
      <c r="P1005" s="75">
        <f t="shared" si="4"/>
        <v>182440000</v>
      </c>
      <c r="Q1005" s="64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9.75" customHeight="1">
      <c r="A1006" s="61"/>
      <c r="B1006" s="61"/>
      <c r="C1006" s="35" t="s">
        <v>74</v>
      </c>
      <c r="D1006" s="13"/>
      <c r="E1006" s="59" t="s">
        <v>75</v>
      </c>
      <c r="F1006" s="59"/>
      <c r="G1006" s="22"/>
      <c r="H1006" s="22"/>
      <c r="I1006" s="22"/>
      <c r="J1006" s="46">
        <f t="shared" ref="J1006:K1006" si="392">SUM(J1008:J1012)</f>
        <v>195800000</v>
      </c>
      <c r="K1006" s="46">
        <f t="shared" si="392"/>
        <v>0</v>
      </c>
      <c r="L1006" s="26"/>
      <c r="M1006" s="46">
        <f>SUM(M1008:M1012)</f>
        <v>37360000</v>
      </c>
      <c r="N1006" s="61"/>
      <c r="O1006" s="75">
        <f t="shared" si="3"/>
        <v>195800000</v>
      </c>
      <c r="P1006" s="75">
        <f t="shared" si="4"/>
        <v>158440000</v>
      </c>
      <c r="Q1006" s="64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9.75" customHeight="1">
      <c r="A1007" s="61"/>
      <c r="B1007" s="91"/>
      <c r="C1007" s="67"/>
      <c r="D1007" s="22"/>
      <c r="E1007" s="59" t="s">
        <v>23</v>
      </c>
      <c r="F1007" s="59"/>
      <c r="G1007" s="22"/>
      <c r="H1007" s="22"/>
      <c r="I1007" s="22"/>
      <c r="J1007" s="22"/>
      <c r="K1007" s="22"/>
      <c r="L1007" s="26"/>
      <c r="M1007" s="22"/>
      <c r="N1007" s="61"/>
      <c r="O1007" s="75">
        <f t="shared" si="3"/>
        <v>0</v>
      </c>
      <c r="P1007" s="75">
        <f t="shared" si="4"/>
        <v>0</v>
      </c>
      <c r="Q1007" s="64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4.25" customHeight="1">
      <c r="A1008" s="61"/>
      <c r="B1008" s="91"/>
      <c r="C1008" s="67"/>
      <c r="D1008" s="22"/>
      <c r="E1008" s="59" t="s">
        <v>291</v>
      </c>
      <c r="F1008" s="59"/>
      <c r="G1008" s="36">
        <v>25.0</v>
      </c>
      <c r="H1008" s="36" t="s">
        <v>26</v>
      </c>
      <c r="I1008" s="48">
        <v>875000.0</v>
      </c>
      <c r="J1008" s="46">
        <f t="shared" ref="J1008:J1012" si="393">G1008*I1008</f>
        <v>21875000</v>
      </c>
      <c r="K1008" s="46"/>
      <c r="L1008" s="26"/>
      <c r="M1008" s="53">
        <v>1.558E7</v>
      </c>
      <c r="N1008" s="61"/>
      <c r="O1008" s="75">
        <f t="shared" si="3"/>
        <v>21875000</v>
      </c>
      <c r="P1008" s="75">
        <f t="shared" si="4"/>
        <v>6295000</v>
      </c>
      <c r="Q1008" s="64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4.25" customHeight="1">
      <c r="A1009" s="61"/>
      <c r="B1009" s="91"/>
      <c r="C1009" s="67"/>
      <c r="D1009" s="22"/>
      <c r="E1009" s="59" t="s">
        <v>292</v>
      </c>
      <c r="F1009" s="59"/>
      <c r="G1009" s="36">
        <v>50.0</v>
      </c>
      <c r="H1009" s="36" t="s">
        <v>26</v>
      </c>
      <c r="I1009" s="48">
        <v>783500.0</v>
      </c>
      <c r="J1009" s="46">
        <f t="shared" si="393"/>
        <v>39175000</v>
      </c>
      <c r="K1009" s="46"/>
      <c r="L1009" s="26"/>
      <c r="M1009" s="46"/>
      <c r="N1009" s="61"/>
      <c r="O1009" s="75">
        <f t="shared" si="3"/>
        <v>39175000</v>
      </c>
      <c r="P1009" s="75">
        <f t="shared" si="4"/>
        <v>39175000</v>
      </c>
      <c r="Q1009" s="64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4.25" customHeight="1">
      <c r="A1010" s="61"/>
      <c r="B1010" s="91"/>
      <c r="C1010" s="67"/>
      <c r="D1010" s="22"/>
      <c r="E1010" s="59" t="s">
        <v>293</v>
      </c>
      <c r="F1010" s="59"/>
      <c r="G1010" s="36">
        <v>75.0</v>
      </c>
      <c r="H1010" s="36" t="s">
        <v>26</v>
      </c>
      <c r="I1010" s="48">
        <v>430000.0</v>
      </c>
      <c r="J1010" s="46">
        <f t="shared" si="393"/>
        <v>32250000</v>
      </c>
      <c r="K1010" s="46"/>
      <c r="L1010" s="26"/>
      <c r="M1010" s="46"/>
      <c r="N1010" s="61"/>
      <c r="O1010" s="75">
        <f t="shared" si="3"/>
        <v>32250000</v>
      </c>
      <c r="P1010" s="75">
        <f t="shared" si="4"/>
        <v>32250000</v>
      </c>
      <c r="Q1010" s="64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4.25" customHeight="1">
      <c r="A1011" s="61"/>
      <c r="B1011" s="91"/>
      <c r="C1011" s="67"/>
      <c r="D1011" s="22"/>
      <c r="E1011" s="59" t="s">
        <v>294</v>
      </c>
      <c r="F1011" s="59"/>
      <c r="G1011" s="36">
        <v>100.0</v>
      </c>
      <c r="H1011" s="36" t="s">
        <v>26</v>
      </c>
      <c r="I1011" s="48">
        <v>500000.0</v>
      </c>
      <c r="J1011" s="46">
        <f t="shared" si="393"/>
        <v>50000000</v>
      </c>
      <c r="K1011" s="46"/>
      <c r="L1011" s="26"/>
      <c r="M1011" s="53">
        <v>2.178E7</v>
      </c>
      <c r="N1011" s="61"/>
      <c r="O1011" s="75">
        <f t="shared" si="3"/>
        <v>50000000</v>
      </c>
      <c r="P1011" s="75">
        <f t="shared" si="4"/>
        <v>28220000</v>
      </c>
      <c r="Q1011" s="64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4.25" customHeight="1">
      <c r="A1012" s="61"/>
      <c r="B1012" s="91"/>
      <c r="C1012" s="67"/>
      <c r="D1012" s="22"/>
      <c r="E1012" s="59" t="s">
        <v>295</v>
      </c>
      <c r="F1012" s="59"/>
      <c r="G1012" s="36">
        <v>150.0</v>
      </c>
      <c r="H1012" s="36" t="s">
        <v>26</v>
      </c>
      <c r="I1012" s="48">
        <v>350000.0</v>
      </c>
      <c r="J1012" s="46">
        <f t="shared" si="393"/>
        <v>52500000</v>
      </c>
      <c r="K1012" s="46"/>
      <c r="L1012" s="26"/>
      <c r="M1012" s="46"/>
      <c r="N1012" s="61"/>
      <c r="O1012" s="75">
        <f t="shared" si="3"/>
        <v>52500000</v>
      </c>
      <c r="P1012" s="75">
        <f t="shared" si="4"/>
        <v>52500000</v>
      </c>
      <c r="Q1012" s="64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9.75" customHeight="1">
      <c r="A1013" s="61"/>
      <c r="B1013" s="61"/>
      <c r="C1013" s="35" t="s">
        <v>79</v>
      </c>
      <c r="D1013" s="13"/>
      <c r="E1013" s="59" t="s">
        <v>80</v>
      </c>
      <c r="F1013" s="59"/>
      <c r="G1013" s="22"/>
      <c r="H1013" s="22"/>
      <c r="I1013" s="22"/>
      <c r="J1013" s="46">
        <f t="shared" ref="J1013:K1013" si="394">J1015</f>
        <v>24000000</v>
      </c>
      <c r="K1013" s="46" t="str">
        <f t="shared" si="394"/>
        <v/>
      </c>
      <c r="L1013" s="26"/>
      <c r="M1013" s="46" t="str">
        <f>M1015</f>
        <v/>
      </c>
      <c r="N1013" s="61"/>
      <c r="O1013" s="75">
        <f t="shared" si="3"/>
        <v>24000000</v>
      </c>
      <c r="P1013" s="75">
        <f t="shared" si="4"/>
        <v>24000000</v>
      </c>
      <c r="Q1013" s="64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9.75" customHeight="1">
      <c r="A1014" s="61"/>
      <c r="B1014" s="91"/>
      <c r="C1014" s="67"/>
      <c r="D1014" s="22"/>
      <c r="E1014" s="59" t="s">
        <v>23</v>
      </c>
      <c r="F1014" s="59"/>
      <c r="G1014" s="22"/>
      <c r="H1014" s="22"/>
      <c r="I1014" s="22"/>
      <c r="J1014" s="22"/>
      <c r="K1014" s="22"/>
      <c r="L1014" s="26"/>
      <c r="M1014" s="22"/>
      <c r="N1014" s="61"/>
      <c r="O1014" s="75">
        <f t="shared" si="3"/>
        <v>0</v>
      </c>
      <c r="P1014" s="75">
        <f t="shared" si="4"/>
        <v>0</v>
      </c>
      <c r="Q1014" s="64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4.25" customHeight="1">
      <c r="A1015" s="61"/>
      <c r="B1015" s="91"/>
      <c r="C1015" s="67"/>
      <c r="D1015" s="22"/>
      <c r="E1015" s="59" t="s">
        <v>296</v>
      </c>
      <c r="F1015" s="59"/>
      <c r="G1015" s="36">
        <v>160.0</v>
      </c>
      <c r="H1015" s="36" t="s">
        <v>26</v>
      </c>
      <c r="I1015" s="48">
        <v>150000.0</v>
      </c>
      <c r="J1015" s="46">
        <f>G1015*I1015</f>
        <v>24000000</v>
      </c>
      <c r="K1015" s="46"/>
      <c r="L1015" s="26"/>
      <c r="M1015" s="46"/>
      <c r="N1015" s="61"/>
      <c r="O1015" s="75">
        <f t="shared" si="3"/>
        <v>24000000</v>
      </c>
      <c r="P1015" s="75">
        <f t="shared" si="4"/>
        <v>24000000</v>
      </c>
      <c r="Q1015" s="64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0.5" customHeight="1">
      <c r="A1016" s="61"/>
      <c r="B1016" s="61"/>
      <c r="C1016" s="92" t="s">
        <v>297</v>
      </c>
      <c r="D1016" s="13"/>
      <c r="E1016" s="93" t="s">
        <v>298</v>
      </c>
      <c r="F1016" s="93"/>
      <c r="G1016" s="82"/>
      <c r="H1016" s="82"/>
      <c r="I1016" s="83"/>
      <c r="J1016" s="84">
        <f t="shared" ref="J1016:K1016" si="395">J1017+J1031+J1043+J1056+J1073+J1082+J1092+J1097+J1113+J1127+J1135+J1143+J1149</f>
        <v>3064496000</v>
      </c>
      <c r="K1016" s="84">
        <f t="shared" si="395"/>
        <v>54390000</v>
      </c>
      <c r="L1016" s="26"/>
      <c r="M1016" s="84">
        <f>M1017+M1031+M1043+M1056+M1073+M1082+M1092+M1097+M1113+M1127+M1135+M1143+M1149</f>
        <v>198342323</v>
      </c>
      <c r="N1016" s="61"/>
      <c r="O1016" s="75">
        <f t="shared" si="3"/>
        <v>3010106000</v>
      </c>
      <c r="P1016" s="75">
        <f t="shared" si="4"/>
        <v>2866153677</v>
      </c>
      <c r="Q1016" s="64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9.75" customHeight="1">
      <c r="A1017" s="61"/>
      <c r="B1017" s="61"/>
      <c r="C1017" s="41" t="s">
        <v>20</v>
      </c>
      <c r="D1017" s="13"/>
      <c r="E1017" s="59" t="s">
        <v>21</v>
      </c>
      <c r="F1017" s="59"/>
      <c r="G1017" s="22"/>
      <c r="H1017" s="22"/>
      <c r="I1017" s="22"/>
      <c r="J1017" s="43">
        <f t="shared" ref="J1017:K1017" si="396">J1018+J1027</f>
        <v>142640000</v>
      </c>
      <c r="K1017" s="43">
        <f t="shared" si="396"/>
        <v>0</v>
      </c>
      <c r="L1017" s="26"/>
      <c r="M1017" s="43">
        <f>M1018+M1027</f>
        <v>26670100</v>
      </c>
      <c r="N1017" s="61"/>
      <c r="O1017" s="75">
        <f t="shared" si="3"/>
        <v>142640000</v>
      </c>
      <c r="P1017" s="75">
        <f t="shared" si="4"/>
        <v>115969900</v>
      </c>
      <c r="Q1017" s="64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9.75" customHeight="1">
      <c r="A1018" s="61"/>
      <c r="B1018" s="61"/>
      <c r="C1018" s="35" t="s">
        <v>40</v>
      </c>
      <c r="D1018" s="13"/>
      <c r="E1018" s="59" t="s">
        <v>22</v>
      </c>
      <c r="F1018" s="59"/>
      <c r="G1018" s="22"/>
      <c r="H1018" s="22"/>
      <c r="I1018" s="22"/>
      <c r="J1018" s="46">
        <f t="shared" ref="J1018:K1018" si="397">SUM(J1020:J1026)</f>
        <v>130640000</v>
      </c>
      <c r="K1018" s="46">
        <f t="shared" si="397"/>
        <v>0</v>
      </c>
      <c r="L1018" s="26"/>
      <c r="M1018" s="46">
        <f>SUM(M1020:M1026)</f>
        <v>24670100</v>
      </c>
      <c r="N1018" s="61"/>
      <c r="O1018" s="75">
        <f t="shared" si="3"/>
        <v>130640000</v>
      </c>
      <c r="P1018" s="75">
        <f t="shared" si="4"/>
        <v>105969900</v>
      </c>
      <c r="Q1018" s="64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9.75" customHeight="1">
      <c r="A1019" s="61"/>
      <c r="B1019" s="91"/>
      <c r="C1019" s="67"/>
      <c r="D1019" s="22"/>
      <c r="E1019" s="59" t="s">
        <v>23</v>
      </c>
      <c r="F1019" s="59"/>
      <c r="G1019" s="22"/>
      <c r="H1019" s="22"/>
      <c r="I1019" s="22"/>
      <c r="J1019" s="22"/>
      <c r="K1019" s="22"/>
      <c r="L1019" s="26"/>
      <c r="M1019" s="22"/>
      <c r="N1019" s="61"/>
      <c r="O1019" s="75">
        <f t="shared" si="3"/>
        <v>0</v>
      </c>
      <c r="P1019" s="75">
        <f t="shared" si="4"/>
        <v>0</v>
      </c>
      <c r="Q1019" s="64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4.25" customHeight="1">
      <c r="A1020" s="61"/>
      <c r="B1020" s="91"/>
      <c r="C1020" s="67"/>
      <c r="D1020" s="22"/>
      <c r="E1020" s="59" t="s">
        <v>156</v>
      </c>
      <c r="F1020" s="59"/>
      <c r="G1020" s="36">
        <v>24.0</v>
      </c>
      <c r="H1020" s="36" t="s">
        <v>26</v>
      </c>
      <c r="I1020" s="48">
        <v>500000.0</v>
      </c>
      <c r="J1020" s="46">
        <f t="shared" ref="J1020:J1026" si="398">G1020*I1020</f>
        <v>12000000</v>
      </c>
      <c r="K1020" s="46"/>
      <c r="L1020" s="26"/>
      <c r="M1020" s="53">
        <v>1188000.0</v>
      </c>
      <c r="N1020" s="61"/>
      <c r="O1020" s="75">
        <f t="shared" si="3"/>
        <v>12000000</v>
      </c>
      <c r="P1020" s="75">
        <f t="shared" si="4"/>
        <v>10812000</v>
      </c>
      <c r="Q1020" s="64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4.25" customHeight="1">
      <c r="A1021" s="61"/>
      <c r="B1021" s="91"/>
      <c r="C1021" s="67"/>
      <c r="D1021" s="22"/>
      <c r="E1021" s="59" t="s">
        <v>27</v>
      </c>
      <c r="F1021" s="59"/>
      <c r="G1021" s="36">
        <v>2.0</v>
      </c>
      <c r="H1021" s="36" t="s">
        <v>26</v>
      </c>
      <c r="I1021" s="48">
        <v>2000000.0</v>
      </c>
      <c r="J1021" s="46">
        <f t="shared" si="398"/>
        <v>4000000</v>
      </c>
      <c r="K1021" s="46"/>
      <c r="L1021" s="26"/>
      <c r="M1021" s="46"/>
      <c r="N1021" s="61"/>
      <c r="O1021" s="75">
        <f t="shared" si="3"/>
        <v>4000000</v>
      </c>
      <c r="P1021" s="75">
        <f t="shared" si="4"/>
        <v>4000000</v>
      </c>
      <c r="Q1021" s="64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14.25" customHeight="1">
      <c r="A1022" s="61"/>
      <c r="B1022" s="91"/>
      <c r="C1022" s="67"/>
      <c r="D1022" s="22"/>
      <c r="E1022" s="59" t="s">
        <v>28</v>
      </c>
      <c r="F1022" s="59"/>
      <c r="G1022" s="36">
        <v>10.0</v>
      </c>
      <c r="H1022" s="36" t="s">
        <v>26</v>
      </c>
      <c r="I1022" s="48">
        <v>500000.0</v>
      </c>
      <c r="J1022" s="46">
        <f t="shared" si="398"/>
        <v>5000000</v>
      </c>
      <c r="K1022" s="46"/>
      <c r="L1022" s="26"/>
      <c r="M1022" s="46"/>
      <c r="N1022" s="61"/>
      <c r="O1022" s="75">
        <f t="shared" si="3"/>
        <v>5000000</v>
      </c>
      <c r="P1022" s="75">
        <f t="shared" si="4"/>
        <v>5000000</v>
      </c>
      <c r="Q1022" s="64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14.25" customHeight="1">
      <c r="A1023" s="61"/>
      <c r="B1023" s="91"/>
      <c r="C1023" s="67"/>
      <c r="D1023" s="22"/>
      <c r="E1023" s="59" t="s">
        <v>157</v>
      </c>
      <c r="F1023" s="59"/>
      <c r="G1023" s="36">
        <v>200.0</v>
      </c>
      <c r="H1023" s="36" t="s">
        <v>26</v>
      </c>
      <c r="I1023" s="48">
        <v>25000.0</v>
      </c>
      <c r="J1023" s="46">
        <f t="shared" si="398"/>
        <v>5000000</v>
      </c>
      <c r="K1023" s="46"/>
      <c r="L1023" s="26"/>
      <c r="M1023" s="46"/>
      <c r="N1023" s="61"/>
      <c r="O1023" s="75">
        <f t="shared" si="3"/>
        <v>5000000</v>
      </c>
      <c r="P1023" s="75">
        <f t="shared" si="4"/>
        <v>5000000</v>
      </c>
      <c r="Q1023" s="64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14.25" customHeight="1">
      <c r="A1024" s="61"/>
      <c r="B1024" s="91"/>
      <c r="C1024" s="67"/>
      <c r="D1024" s="22"/>
      <c r="E1024" s="59" t="s">
        <v>31</v>
      </c>
      <c r="F1024" s="59"/>
      <c r="G1024" s="36">
        <v>320.0</v>
      </c>
      <c r="H1024" s="36" t="s">
        <v>26</v>
      </c>
      <c r="I1024" s="48">
        <v>53000.0</v>
      </c>
      <c r="J1024" s="46">
        <f t="shared" si="398"/>
        <v>16960000</v>
      </c>
      <c r="K1024" s="46"/>
      <c r="L1024" s="26"/>
      <c r="M1024" s="46"/>
      <c r="N1024" s="61"/>
      <c r="O1024" s="75">
        <f t="shared" si="3"/>
        <v>16960000</v>
      </c>
      <c r="P1024" s="75">
        <f t="shared" si="4"/>
        <v>16960000</v>
      </c>
      <c r="Q1024" s="64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14.25" customHeight="1">
      <c r="A1025" s="61"/>
      <c r="B1025" s="91"/>
      <c r="C1025" s="67"/>
      <c r="D1025" s="22"/>
      <c r="E1025" s="59" t="s">
        <v>32</v>
      </c>
      <c r="F1025" s="59"/>
      <c r="G1025" s="36">
        <v>320.0</v>
      </c>
      <c r="H1025" s="36" t="s">
        <v>26</v>
      </c>
      <c r="I1025" s="48">
        <v>24000.0</v>
      </c>
      <c r="J1025" s="46">
        <f t="shared" si="398"/>
        <v>7680000</v>
      </c>
      <c r="K1025" s="46"/>
      <c r="L1025" s="26"/>
      <c r="M1025" s="46"/>
      <c r="N1025" s="61"/>
      <c r="O1025" s="75">
        <f t="shared" si="3"/>
        <v>7680000</v>
      </c>
      <c r="P1025" s="75">
        <f t="shared" si="4"/>
        <v>7680000</v>
      </c>
      <c r="Q1025" s="64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14.25" customHeight="1">
      <c r="A1026" s="61"/>
      <c r="B1026" s="91"/>
      <c r="C1026" s="67"/>
      <c r="D1026" s="22"/>
      <c r="E1026" s="59" t="s">
        <v>288</v>
      </c>
      <c r="F1026" s="59"/>
      <c r="G1026" s="36">
        <v>100.0</v>
      </c>
      <c r="H1026" s="36" t="s">
        <v>26</v>
      </c>
      <c r="I1026" s="48">
        <v>800000.0</v>
      </c>
      <c r="J1026" s="46">
        <f t="shared" si="398"/>
        <v>80000000</v>
      </c>
      <c r="K1026" s="46"/>
      <c r="L1026" s="26"/>
      <c r="M1026" s="53">
        <v>2.34821E7</v>
      </c>
      <c r="N1026" s="61"/>
      <c r="O1026" s="75">
        <f t="shared" si="3"/>
        <v>80000000</v>
      </c>
      <c r="P1026" s="75">
        <f t="shared" si="4"/>
        <v>56517900</v>
      </c>
      <c r="Q1026" s="64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9.75" customHeight="1">
      <c r="A1027" s="61"/>
      <c r="B1027" s="61"/>
      <c r="C1027" s="35" t="s">
        <v>58</v>
      </c>
      <c r="D1027" s="13"/>
      <c r="E1027" s="59" t="s">
        <v>34</v>
      </c>
      <c r="F1027" s="59"/>
      <c r="G1027" s="22"/>
      <c r="H1027" s="22"/>
      <c r="I1027" s="22"/>
      <c r="J1027" s="46">
        <f t="shared" ref="J1027:K1027" si="399">SUM(J1029:J1030)</f>
        <v>12000000</v>
      </c>
      <c r="K1027" s="46">
        <f t="shared" si="399"/>
        <v>0</v>
      </c>
      <c r="L1027" s="26"/>
      <c r="M1027" s="46">
        <f>SUM(M1029:M1030)</f>
        <v>2000000</v>
      </c>
      <c r="N1027" s="61"/>
      <c r="O1027" s="75">
        <f t="shared" si="3"/>
        <v>12000000</v>
      </c>
      <c r="P1027" s="75">
        <f t="shared" si="4"/>
        <v>10000000</v>
      </c>
      <c r="Q1027" s="64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9.75" customHeight="1">
      <c r="A1028" s="61"/>
      <c r="B1028" s="91"/>
      <c r="C1028" s="67"/>
      <c r="D1028" s="22"/>
      <c r="E1028" s="59" t="s">
        <v>23</v>
      </c>
      <c r="F1028" s="59"/>
      <c r="G1028" s="22"/>
      <c r="H1028" s="22"/>
      <c r="I1028" s="22"/>
      <c r="J1028" s="22"/>
      <c r="K1028" s="22"/>
      <c r="L1028" s="26"/>
      <c r="M1028" s="22"/>
      <c r="N1028" s="61"/>
      <c r="O1028" s="75">
        <f t="shared" si="3"/>
        <v>0</v>
      </c>
      <c r="P1028" s="75">
        <f t="shared" si="4"/>
        <v>0</v>
      </c>
      <c r="Q1028" s="64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14.25" customHeight="1">
      <c r="A1029" s="61"/>
      <c r="B1029" s="91"/>
      <c r="C1029" s="67"/>
      <c r="D1029" s="22"/>
      <c r="E1029" s="59" t="s">
        <v>159</v>
      </c>
      <c r="F1029" s="59"/>
      <c r="G1029" s="36">
        <v>16.0</v>
      </c>
      <c r="H1029" s="36" t="s">
        <v>26</v>
      </c>
      <c r="I1029" s="48">
        <v>500000.0</v>
      </c>
      <c r="J1029" s="46">
        <f t="shared" ref="J1029:J1030" si="400">G1029*I1029</f>
        <v>8000000</v>
      </c>
      <c r="K1029" s="46"/>
      <c r="L1029" s="26"/>
      <c r="M1029" s="53">
        <v>2000000.0</v>
      </c>
      <c r="N1029" s="61"/>
      <c r="O1029" s="75">
        <f t="shared" si="3"/>
        <v>8000000</v>
      </c>
      <c r="P1029" s="75">
        <f t="shared" si="4"/>
        <v>6000000</v>
      </c>
      <c r="Q1029" s="64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14.25" customHeight="1">
      <c r="A1030" s="61"/>
      <c r="B1030" s="91"/>
      <c r="C1030" s="67"/>
      <c r="D1030" s="22"/>
      <c r="E1030" s="59" t="s">
        <v>230</v>
      </c>
      <c r="F1030" s="59"/>
      <c r="G1030" s="36">
        <v>8.0</v>
      </c>
      <c r="H1030" s="36" t="s">
        <v>26</v>
      </c>
      <c r="I1030" s="48">
        <v>500000.0</v>
      </c>
      <c r="J1030" s="46">
        <f t="shared" si="400"/>
        <v>4000000</v>
      </c>
      <c r="K1030" s="46"/>
      <c r="L1030" s="26"/>
      <c r="M1030" s="46"/>
      <c r="N1030" s="61"/>
      <c r="O1030" s="75">
        <f t="shared" si="3"/>
        <v>4000000</v>
      </c>
      <c r="P1030" s="75">
        <f t="shared" si="4"/>
        <v>4000000</v>
      </c>
      <c r="Q1030" s="64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9.75" customHeight="1">
      <c r="A1031" s="61"/>
      <c r="B1031" s="61"/>
      <c r="C1031" s="41" t="s">
        <v>37</v>
      </c>
      <c r="D1031" s="13"/>
      <c r="E1031" s="59" t="s">
        <v>38</v>
      </c>
      <c r="F1031" s="59"/>
      <c r="G1031" s="22"/>
      <c r="H1031" s="22"/>
      <c r="I1031" s="22"/>
      <c r="J1031" s="43">
        <f t="shared" ref="J1031:K1031" si="401">J1032+J1037+J1040</f>
        <v>24400000</v>
      </c>
      <c r="K1031" s="43">
        <f t="shared" si="401"/>
        <v>0</v>
      </c>
      <c r="L1031" s="26"/>
      <c r="M1031" s="43">
        <f>M1032+M1037+M1040</f>
        <v>1500000</v>
      </c>
      <c r="N1031" s="61"/>
      <c r="O1031" s="75">
        <f t="shared" si="3"/>
        <v>24400000</v>
      </c>
      <c r="P1031" s="75">
        <f t="shared" si="4"/>
        <v>22900000</v>
      </c>
      <c r="Q1031" s="64"/>
      <c r="R1031" s="1"/>
      <c r="S1031" s="1"/>
      <c r="T1031" s="1"/>
      <c r="U1031" s="1"/>
      <c r="V1031" s="1"/>
      <c r="W1031" s="1"/>
      <c r="X1031" s="1"/>
      <c r="Y1031" s="1"/>
      <c r="Z1031" s="1"/>
    </row>
    <row r="1032" ht="9.75" customHeight="1">
      <c r="A1032" s="61"/>
      <c r="B1032" s="61"/>
      <c r="C1032" s="35" t="s">
        <v>40</v>
      </c>
      <c r="D1032" s="13"/>
      <c r="E1032" s="59" t="s">
        <v>22</v>
      </c>
      <c r="F1032" s="59"/>
      <c r="G1032" s="22"/>
      <c r="H1032" s="22"/>
      <c r="I1032" s="22"/>
      <c r="J1032" s="46">
        <f t="shared" ref="J1032:K1032" si="402">SUM(J1034:J1036)</f>
        <v>6400000</v>
      </c>
      <c r="K1032" s="46">
        <f t="shared" si="402"/>
        <v>0</v>
      </c>
      <c r="L1032" s="26"/>
      <c r="M1032" s="46">
        <f>SUM(M1034:M1036)</f>
        <v>0</v>
      </c>
      <c r="N1032" s="61"/>
      <c r="O1032" s="75">
        <f t="shared" si="3"/>
        <v>6400000</v>
      </c>
      <c r="P1032" s="75">
        <f t="shared" si="4"/>
        <v>6400000</v>
      </c>
      <c r="Q1032" s="64"/>
      <c r="R1032" s="1"/>
      <c r="S1032" s="1"/>
      <c r="T1032" s="1"/>
      <c r="U1032" s="1"/>
      <c r="V1032" s="1"/>
      <c r="W1032" s="1"/>
      <c r="X1032" s="1"/>
      <c r="Y1032" s="1"/>
      <c r="Z1032" s="1"/>
    </row>
    <row r="1033" ht="9.75" customHeight="1">
      <c r="A1033" s="61"/>
      <c r="B1033" s="91"/>
      <c r="C1033" s="67"/>
      <c r="D1033" s="22"/>
      <c r="E1033" s="59" t="s">
        <v>23</v>
      </c>
      <c r="F1033" s="59"/>
      <c r="G1033" s="22"/>
      <c r="H1033" s="22"/>
      <c r="I1033" s="22"/>
      <c r="J1033" s="22"/>
      <c r="K1033" s="22"/>
      <c r="L1033" s="26"/>
      <c r="M1033" s="22"/>
      <c r="N1033" s="61"/>
      <c r="O1033" s="75">
        <f t="shared" si="3"/>
        <v>0</v>
      </c>
      <c r="P1033" s="75">
        <f t="shared" si="4"/>
        <v>0</v>
      </c>
      <c r="Q1033" s="64"/>
      <c r="R1033" s="1"/>
      <c r="S1033" s="1"/>
      <c r="T1033" s="1"/>
      <c r="U1033" s="1"/>
      <c r="V1033" s="1"/>
      <c r="W1033" s="1"/>
      <c r="X1033" s="1"/>
      <c r="Y1033" s="1"/>
      <c r="Z1033" s="1"/>
    </row>
    <row r="1034" ht="14.25" customHeight="1">
      <c r="A1034" s="61"/>
      <c r="B1034" s="91"/>
      <c r="C1034" s="67"/>
      <c r="D1034" s="22"/>
      <c r="E1034" s="59" t="s">
        <v>160</v>
      </c>
      <c r="F1034" s="59"/>
      <c r="G1034" s="36">
        <v>100.0</v>
      </c>
      <c r="H1034" s="36" t="s">
        <v>26</v>
      </c>
      <c r="I1034" s="48">
        <v>53000.0</v>
      </c>
      <c r="J1034" s="46">
        <f t="shared" ref="J1034:J1036" si="403">G1034*I1034</f>
        <v>5300000</v>
      </c>
      <c r="K1034" s="46"/>
      <c r="L1034" s="26"/>
      <c r="M1034" s="46"/>
      <c r="N1034" s="61"/>
      <c r="O1034" s="75">
        <f t="shared" si="3"/>
        <v>5300000</v>
      </c>
      <c r="P1034" s="75">
        <f t="shared" si="4"/>
        <v>5300000</v>
      </c>
      <c r="Q1034" s="64"/>
      <c r="R1034" s="1"/>
      <c r="S1034" s="1"/>
      <c r="T1034" s="1"/>
      <c r="U1034" s="1"/>
      <c r="V1034" s="1"/>
      <c r="W1034" s="1"/>
      <c r="X1034" s="1"/>
      <c r="Y1034" s="1"/>
      <c r="Z1034" s="1"/>
    </row>
    <row r="1035" ht="14.25" customHeight="1">
      <c r="A1035" s="61"/>
      <c r="B1035" s="91"/>
      <c r="C1035" s="67"/>
      <c r="D1035" s="22"/>
      <c r="E1035" s="59" t="s">
        <v>42</v>
      </c>
      <c r="F1035" s="59"/>
      <c r="G1035" s="36">
        <v>2.0</v>
      </c>
      <c r="H1035" s="36" t="s">
        <v>26</v>
      </c>
      <c r="I1035" s="48">
        <v>250000.0</v>
      </c>
      <c r="J1035" s="46">
        <f t="shared" si="403"/>
        <v>500000</v>
      </c>
      <c r="K1035" s="46"/>
      <c r="L1035" s="26"/>
      <c r="M1035" s="46"/>
      <c r="N1035" s="61"/>
      <c r="O1035" s="75">
        <f t="shared" si="3"/>
        <v>500000</v>
      </c>
      <c r="P1035" s="75">
        <f t="shared" si="4"/>
        <v>500000</v>
      </c>
      <c r="Q1035" s="64"/>
      <c r="R1035" s="1"/>
      <c r="S1035" s="1"/>
      <c r="T1035" s="1"/>
      <c r="U1035" s="1"/>
      <c r="V1035" s="1"/>
      <c r="W1035" s="1"/>
      <c r="X1035" s="1"/>
      <c r="Y1035" s="1"/>
      <c r="Z1035" s="1"/>
    </row>
    <row r="1036" ht="9.75" customHeight="1">
      <c r="A1036" s="61"/>
      <c r="B1036" s="91"/>
      <c r="C1036" s="67"/>
      <c r="D1036" s="22"/>
      <c r="E1036" s="59" t="s">
        <v>43</v>
      </c>
      <c r="F1036" s="59"/>
      <c r="G1036" s="36">
        <v>2.0</v>
      </c>
      <c r="H1036" s="36" t="s">
        <v>26</v>
      </c>
      <c r="I1036" s="48">
        <v>300000.0</v>
      </c>
      <c r="J1036" s="46">
        <f t="shared" si="403"/>
        <v>600000</v>
      </c>
      <c r="K1036" s="46"/>
      <c r="L1036" s="26"/>
      <c r="M1036" s="46"/>
      <c r="N1036" s="61"/>
      <c r="O1036" s="75">
        <f t="shared" si="3"/>
        <v>600000</v>
      </c>
      <c r="P1036" s="75">
        <f t="shared" si="4"/>
        <v>600000</v>
      </c>
      <c r="Q1036" s="64"/>
      <c r="R1036" s="1"/>
      <c r="S1036" s="1"/>
      <c r="T1036" s="1"/>
      <c r="U1036" s="1"/>
      <c r="V1036" s="1"/>
      <c r="W1036" s="1"/>
      <c r="X1036" s="1"/>
      <c r="Y1036" s="1"/>
      <c r="Z1036" s="1"/>
    </row>
    <row r="1037" ht="9.75" customHeight="1">
      <c r="A1037" s="61"/>
      <c r="B1037" s="61"/>
      <c r="C1037" s="35" t="s">
        <v>44</v>
      </c>
      <c r="D1037" s="13"/>
      <c r="E1037" s="59" t="s">
        <v>45</v>
      </c>
      <c r="F1037" s="59"/>
      <c r="G1037" s="22"/>
      <c r="H1037" s="22"/>
      <c r="I1037" s="22"/>
      <c r="J1037" s="46">
        <f t="shared" ref="J1037:K1037" si="404">J1039</f>
        <v>2000000</v>
      </c>
      <c r="K1037" s="46" t="str">
        <f t="shared" si="404"/>
        <v/>
      </c>
      <c r="L1037" s="26"/>
      <c r="M1037" s="46">
        <f>M1039</f>
        <v>1500000</v>
      </c>
      <c r="N1037" s="61"/>
      <c r="O1037" s="75">
        <f t="shared" si="3"/>
        <v>2000000</v>
      </c>
      <c r="P1037" s="75">
        <f t="shared" si="4"/>
        <v>500000</v>
      </c>
      <c r="Q1037" s="64"/>
      <c r="R1037" s="1"/>
      <c r="S1037" s="1"/>
      <c r="T1037" s="1"/>
      <c r="U1037" s="1"/>
      <c r="V1037" s="1"/>
      <c r="W1037" s="1"/>
      <c r="X1037" s="1"/>
      <c r="Y1037" s="1"/>
      <c r="Z1037" s="1"/>
    </row>
    <row r="1038" ht="9.75" customHeight="1">
      <c r="A1038" s="61"/>
      <c r="B1038" s="91"/>
      <c r="C1038" s="67"/>
      <c r="D1038" s="22"/>
      <c r="E1038" s="59" t="s">
        <v>23</v>
      </c>
      <c r="F1038" s="59"/>
      <c r="G1038" s="22"/>
      <c r="H1038" s="22"/>
      <c r="I1038" s="22"/>
      <c r="J1038" s="22"/>
      <c r="K1038" s="22"/>
      <c r="L1038" s="26"/>
      <c r="M1038" s="22"/>
      <c r="N1038" s="61"/>
      <c r="O1038" s="75">
        <f t="shared" si="3"/>
        <v>0</v>
      </c>
      <c r="P1038" s="75">
        <f t="shared" si="4"/>
        <v>0</v>
      </c>
      <c r="Q1038" s="64"/>
      <c r="R1038" s="1"/>
      <c r="S1038" s="1"/>
      <c r="T1038" s="1"/>
      <c r="U1038" s="1"/>
      <c r="V1038" s="1"/>
      <c r="W1038" s="1"/>
      <c r="X1038" s="1"/>
      <c r="Y1038" s="1"/>
      <c r="Z1038" s="1"/>
    </row>
    <row r="1039" ht="14.25" customHeight="1">
      <c r="A1039" s="61"/>
      <c r="B1039" s="91"/>
      <c r="C1039" s="67"/>
      <c r="D1039" s="22"/>
      <c r="E1039" s="59" t="s">
        <v>161</v>
      </c>
      <c r="F1039" s="59"/>
      <c r="G1039" s="36">
        <v>4.0</v>
      </c>
      <c r="H1039" s="36" t="s">
        <v>26</v>
      </c>
      <c r="I1039" s="48">
        <v>500000.0</v>
      </c>
      <c r="J1039" s="46">
        <f>G1039*I1039</f>
        <v>2000000</v>
      </c>
      <c r="K1039" s="46"/>
      <c r="L1039" s="26"/>
      <c r="M1039" s="53">
        <v>1500000.0</v>
      </c>
      <c r="N1039" s="61"/>
      <c r="O1039" s="75">
        <f t="shared" si="3"/>
        <v>2000000</v>
      </c>
      <c r="P1039" s="75">
        <f t="shared" si="4"/>
        <v>500000</v>
      </c>
      <c r="Q1039" s="64"/>
      <c r="R1039" s="1"/>
      <c r="S1039" s="1"/>
      <c r="T1039" s="1"/>
      <c r="U1039" s="1"/>
      <c r="V1039" s="1"/>
      <c r="W1039" s="1"/>
      <c r="X1039" s="1"/>
      <c r="Y1039" s="1"/>
      <c r="Z1039" s="1"/>
    </row>
    <row r="1040" ht="9.75" customHeight="1">
      <c r="A1040" s="61"/>
      <c r="B1040" s="61"/>
      <c r="C1040" s="35" t="s">
        <v>47</v>
      </c>
      <c r="D1040" s="13"/>
      <c r="E1040" s="59" t="s">
        <v>48</v>
      </c>
      <c r="F1040" s="59"/>
      <c r="G1040" s="22"/>
      <c r="H1040" s="22"/>
      <c r="I1040" s="22"/>
      <c r="J1040" s="46">
        <f t="shared" ref="J1040:K1040" si="405">J1042</f>
        <v>16000000</v>
      </c>
      <c r="K1040" s="46" t="str">
        <f t="shared" si="405"/>
        <v/>
      </c>
      <c r="L1040" s="26"/>
      <c r="M1040" s="46" t="str">
        <f>M1042</f>
        <v/>
      </c>
      <c r="N1040" s="61"/>
      <c r="O1040" s="75">
        <f t="shared" si="3"/>
        <v>16000000</v>
      </c>
      <c r="P1040" s="75">
        <f t="shared" si="4"/>
        <v>16000000</v>
      </c>
      <c r="Q1040" s="64"/>
      <c r="R1040" s="1"/>
      <c r="S1040" s="1"/>
      <c r="T1040" s="1"/>
      <c r="U1040" s="1"/>
      <c r="V1040" s="1"/>
      <c r="W1040" s="1"/>
      <c r="X1040" s="1"/>
      <c r="Y1040" s="1"/>
      <c r="Z1040" s="1"/>
    </row>
    <row r="1041" ht="9.75" customHeight="1">
      <c r="A1041" s="61"/>
      <c r="B1041" s="91"/>
      <c r="C1041" s="67"/>
      <c r="D1041" s="22"/>
      <c r="E1041" s="59" t="s">
        <v>23</v>
      </c>
      <c r="F1041" s="59"/>
      <c r="G1041" s="22"/>
      <c r="H1041" s="22"/>
      <c r="I1041" s="22"/>
      <c r="J1041" s="22"/>
      <c r="K1041" s="22"/>
      <c r="L1041" s="26"/>
      <c r="M1041" s="22"/>
      <c r="N1041" s="61"/>
      <c r="O1041" s="75">
        <f t="shared" si="3"/>
        <v>0</v>
      </c>
      <c r="P1041" s="75">
        <f t="shared" si="4"/>
        <v>0</v>
      </c>
      <c r="Q1041" s="64"/>
      <c r="R1041" s="1"/>
      <c r="S1041" s="1"/>
      <c r="T1041" s="1"/>
      <c r="U1041" s="1"/>
      <c r="V1041" s="1"/>
      <c r="W1041" s="1"/>
      <c r="X1041" s="1"/>
      <c r="Y1041" s="1"/>
      <c r="Z1041" s="1"/>
    </row>
    <row r="1042" ht="14.25" customHeight="1">
      <c r="A1042" s="61"/>
      <c r="B1042" s="91"/>
      <c r="C1042" s="67"/>
      <c r="D1042" s="22"/>
      <c r="E1042" s="59" t="s">
        <v>162</v>
      </c>
      <c r="F1042" s="59"/>
      <c r="G1042" s="36">
        <v>4.0</v>
      </c>
      <c r="H1042" s="36" t="s">
        <v>26</v>
      </c>
      <c r="I1042" s="48">
        <v>4000000.0</v>
      </c>
      <c r="J1042" s="46">
        <f>G1042*I1042</f>
        <v>16000000</v>
      </c>
      <c r="K1042" s="46"/>
      <c r="L1042" s="26"/>
      <c r="M1042" s="46"/>
      <c r="N1042" s="61"/>
      <c r="O1042" s="75">
        <f t="shared" si="3"/>
        <v>16000000</v>
      </c>
      <c r="P1042" s="75">
        <f t="shared" si="4"/>
        <v>16000000</v>
      </c>
      <c r="Q1042" s="64"/>
      <c r="R1042" s="1"/>
      <c r="S1042" s="1"/>
      <c r="T1042" s="1"/>
      <c r="U1042" s="1"/>
      <c r="V1042" s="1"/>
      <c r="W1042" s="1"/>
      <c r="X1042" s="1"/>
      <c r="Y1042" s="1"/>
      <c r="Z1042" s="1"/>
    </row>
    <row r="1043" ht="9.75" customHeight="1">
      <c r="A1043" s="61"/>
      <c r="B1043" s="61"/>
      <c r="C1043" s="41" t="s">
        <v>50</v>
      </c>
      <c r="D1043" s="13"/>
      <c r="E1043" s="59" t="s">
        <v>51</v>
      </c>
      <c r="F1043" s="59"/>
      <c r="G1043" s="22"/>
      <c r="H1043" s="22"/>
      <c r="I1043" s="22"/>
      <c r="J1043" s="43">
        <f t="shared" ref="J1043:K1043" si="406">J1044+J1050+J1053</f>
        <v>56050000</v>
      </c>
      <c r="K1043" s="43">
        <f t="shared" si="406"/>
        <v>0</v>
      </c>
      <c r="L1043" s="26"/>
      <c r="M1043" s="43">
        <f>M1044+M1050+M1053</f>
        <v>8242600</v>
      </c>
      <c r="N1043" s="61"/>
      <c r="O1043" s="75">
        <f t="shared" si="3"/>
        <v>56050000</v>
      </c>
      <c r="P1043" s="75">
        <f t="shared" si="4"/>
        <v>47807400</v>
      </c>
      <c r="Q1043" s="64"/>
      <c r="R1043" s="1"/>
      <c r="S1043" s="1"/>
      <c r="T1043" s="1"/>
      <c r="U1043" s="1"/>
      <c r="V1043" s="1"/>
      <c r="W1043" s="1"/>
      <c r="X1043" s="1"/>
      <c r="Y1043" s="1"/>
      <c r="Z1043" s="1"/>
    </row>
    <row r="1044" ht="9.75" customHeight="1">
      <c r="A1044" s="61"/>
      <c r="B1044" s="61"/>
      <c r="C1044" s="35" t="s">
        <v>40</v>
      </c>
      <c r="D1044" s="13"/>
      <c r="E1044" s="59" t="s">
        <v>22</v>
      </c>
      <c r="F1044" s="59"/>
      <c r="G1044" s="22"/>
      <c r="H1044" s="22"/>
      <c r="I1044" s="22"/>
      <c r="J1044" s="46">
        <f t="shared" ref="J1044:K1044" si="407">SUM(J1046:J1049)</f>
        <v>38050000</v>
      </c>
      <c r="K1044" s="46">
        <f t="shared" si="407"/>
        <v>0</v>
      </c>
      <c r="L1044" s="26"/>
      <c r="M1044" s="46">
        <f>SUM(M1046:M1049)</f>
        <v>1942600</v>
      </c>
      <c r="N1044" s="61"/>
      <c r="O1044" s="75">
        <f t="shared" si="3"/>
        <v>38050000</v>
      </c>
      <c r="P1044" s="75">
        <f t="shared" si="4"/>
        <v>36107400</v>
      </c>
      <c r="Q1044" s="64"/>
      <c r="R1044" s="1"/>
      <c r="S1044" s="1"/>
      <c r="T1044" s="1"/>
      <c r="U1044" s="1"/>
      <c r="V1044" s="1"/>
      <c r="W1044" s="1"/>
      <c r="X1044" s="1"/>
      <c r="Y1044" s="1"/>
      <c r="Z1044" s="1"/>
    </row>
    <row r="1045" ht="9.75" customHeight="1">
      <c r="A1045" s="61"/>
      <c r="B1045" s="91"/>
      <c r="C1045" s="67"/>
      <c r="D1045" s="22"/>
      <c r="E1045" s="59" t="s">
        <v>23</v>
      </c>
      <c r="F1045" s="59"/>
      <c r="G1045" s="22"/>
      <c r="H1045" s="22"/>
      <c r="I1045" s="22"/>
      <c r="J1045" s="22"/>
      <c r="K1045" s="22"/>
      <c r="L1045" s="26"/>
      <c r="M1045" s="22"/>
      <c r="N1045" s="61"/>
      <c r="O1045" s="75">
        <f t="shared" si="3"/>
        <v>0</v>
      </c>
      <c r="P1045" s="75">
        <f t="shared" si="4"/>
        <v>0</v>
      </c>
      <c r="Q1045" s="64"/>
      <c r="R1045" s="1"/>
      <c r="S1045" s="1"/>
      <c r="T1045" s="1"/>
      <c r="U1045" s="1"/>
      <c r="V1045" s="1"/>
      <c r="W1045" s="1"/>
      <c r="X1045" s="1"/>
      <c r="Y1045" s="1"/>
      <c r="Z1045" s="1"/>
    </row>
    <row r="1046" ht="14.25" customHeight="1">
      <c r="A1046" s="61"/>
      <c r="B1046" s="91"/>
      <c r="C1046" s="67"/>
      <c r="D1046" s="22"/>
      <c r="E1046" s="59" t="s">
        <v>163</v>
      </c>
      <c r="F1046" s="59"/>
      <c r="G1046" s="36">
        <v>100.0</v>
      </c>
      <c r="H1046" s="36" t="s">
        <v>26</v>
      </c>
      <c r="I1046" s="48">
        <v>53000.0</v>
      </c>
      <c r="J1046" s="46">
        <f t="shared" ref="J1046:J1049" si="408">G1046*I1046</f>
        <v>5300000</v>
      </c>
      <c r="K1046" s="46"/>
      <c r="L1046" s="26"/>
      <c r="M1046" s="46"/>
      <c r="N1046" s="61"/>
      <c r="O1046" s="75">
        <f t="shared" si="3"/>
        <v>5300000</v>
      </c>
      <c r="P1046" s="75">
        <f t="shared" si="4"/>
        <v>5300000</v>
      </c>
      <c r="Q1046" s="64"/>
      <c r="R1046" s="1"/>
      <c r="S1046" s="1"/>
      <c r="T1046" s="1"/>
      <c r="U1046" s="1"/>
      <c r="V1046" s="1"/>
      <c r="W1046" s="1"/>
      <c r="X1046" s="1"/>
      <c r="Y1046" s="1"/>
      <c r="Z1046" s="1"/>
    </row>
    <row r="1047" ht="14.25" customHeight="1">
      <c r="A1047" s="61"/>
      <c r="B1047" s="91"/>
      <c r="C1047" s="67"/>
      <c r="D1047" s="22"/>
      <c r="E1047" s="59" t="s">
        <v>53</v>
      </c>
      <c r="F1047" s="59"/>
      <c r="G1047" s="36">
        <v>5.0</v>
      </c>
      <c r="H1047" s="36" t="s">
        <v>26</v>
      </c>
      <c r="I1047" s="48">
        <v>500000.0</v>
      </c>
      <c r="J1047" s="46">
        <f t="shared" si="408"/>
        <v>2500000</v>
      </c>
      <c r="K1047" s="46"/>
      <c r="L1047" s="26"/>
      <c r="M1047" s="53">
        <v>1942600.0</v>
      </c>
      <c r="N1047" s="61"/>
      <c r="O1047" s="75">
        <f t="shared" si="3"/>
        <v>2500000</v>
      </c>
      <c r="P1047" s="75">
        <f t="shared" si="4"/>
        <v>557400</v>
      </c>
      <c r="Q1047" s="64"/>
      <c r="R1047" s="1"/>
      <c r="S1047" s="1"/>
      <c r="T1047" s="1"/>
      <c r="U1047" s="1"/>
      <c r="V1047" s="1"/>
      <c r="W1047" s="1"/>
      <c r="X1047" s="1"/>
      <c r="Y1047" s="1"/>
      <c r="Z1047" s="1"/>
    </row>
    <row r="1048" ht="14.25" customHeight="1">
      <c r="A1048" s="61"/>
      <c r="B1048" s="91"/>
      <c r="C1048" s="67"/>
      <c r="D1048" s="22"/>
      <c r="E1048" s="59" t="s">
        <v>54</v>
      </c>
      <c r="F1048" s="59"/>
      <c r="G1048" s="36">
        <v>1.0</v>
      </c>
      <c r="H1048" s="36" t="s">
        <v>55</v>
      </c>
      <c r="I1048" s="48">
        <v>250000.0</v>
      </c>
      <c r="J1048" s="46">
        <f t="shared" si="408"/>
        <v>250000</v>
      </c>
      <c r="K1048" s="46"/>
      <c r="L1048" s="26"/>
      <c r="M1048" s="46"/>
      <c r="N1048" s="61"/>
      <c r="O1048" s="75">
        <f t="shared" si="3"/>
        <v>250000</v>
      </c>
      <c r="P1048" s="75">
        <f t="shared" si="4"/>
        <v>250000</v>
      </c>
      <c r="Q1048" s="64"/>
      <c r="R1048" s="1"/>
      <c r="S1048" s="1"/>
      <c r="T1048" s="1"/>
      <c r="U1048" s="1"/>
      <c r="V1048" s="1"/>
      <c r="W1048" s="1"/>
      <c r="X1048" s="1"/>
      <c r="Y1048" s="1"/>
      <c r="Z1048" s="1"/>
    </row>
    <row r="1049" ht="14.25" customHeight="1">
      <c r="A1049" s="61"/>
      <c r="B1049" s="91"/>
      <c r="C1049" s="67"/>
      <c r="D1049" s="22"/>
      <c r="E1049" s="59" t="s">
        <v>164</v>
      </c>
      <c r="F1049" s="59"/>
      <c r="G1049" s="36">
        <v>100.0</v>
      </c>
      <c r="H1049" s="36" t="s">
        <v>26</v>
      </c>
      <c r="I1049" s="48">
        <v>300000.0</v>
      </c>
      <c r="J1049" s="46">
        <f t="shared" si="408"/>
        <v>30000000</v>
      </c>
      <c r="K1049" s="46"/>
      <c r="L1049" s="26"/>
      <c r="M1049" s="46"/>
      <c r="N1049" s="61"/>
      <c r="O1049" s="75">
        <f t="shared" si="3"/>
        <v>30000000</v>
      </c>
      <c r="P1049" s="75">
        <f t="shared" si="4"/>
        <v>30000000</v>
      </c>
      <c r="Q1049" s="64"/>
      <c r="R1049" s="1"/>
      <c r="S1049" s="1"/>
      <c r="T1049" s="1"/>
      <c r="U1049" s="1"/>
      <c r="V1049" s="1"/>
      <c r="W1049" s="1"/>
      <c r="X1049" s="1"/>
      <c r="Y1049" s="1"/>
      <c r="Z1049" s="1"/>
    </row>
    <row r="1050" ht="9.75" customHeight="1">
      <c r="A1050" s="61"/>
      <c r="B1050" s="61"/>
      <c r="C1050" s="35" t="s">
        <v>47</v>
      </c>
      <c r="D1050" s="13"/>
      <c r="E1050" s="59" t="s">
        <v>48</v>
      </c>
      <c r="F1050" s="59"/>
      <c r="G1050" s="22"/>
      <c r="H1050" s="22"/>
      <c r="I1050" s="22"/>
      <c r="J1050" s="46">
        <f t="shared" ref="J1050:K1050" si="409">J1052</f>
        <v>16000000</v>
      </c>
      <c r="K1050" s="46" t="str">
        <f t="shared" si="409"/>
        <v/>
      </c>
      <c r="L1050" s="26"/>
      <c r="M1050" s="46" t="str">
        <f>M1052</f>
        <v/>
      </c>
      <c r="N1050" s="61"/>
      <c r="O1050" s="75">
        <f t="shared" si="3"/>
        <v>16000000</v>
      </c>
      <c r="P1050" s="75">
        <f t="shared" si="4"/>
        <v>16000000</v>
      </c>
      <c r="Q1050" s="64"/>
      <c r="R1050" s="1"/>
      <c r="S1050" s="1"/>
      <c r="T1050" s="1"/>
      <c r="U1050" s="1"/>
      <c r="V1050" s="1"/>
      <c r="W1050" s="1"/>
      <c r="X1050" s="1"/>
      <c r="Y1050" s="1"/>
      <c r="Z1050" s="1"/>
    </row>
    <row r="1051" ht="9.75" customHeight="1">
      <c r="A1051" s="61"/>
      <c r="B1051" s="91"/>
      <c r="C1051" s="67"/>
      <c r="D1051" s="22"/>
      <c r="E1051" s="59" t="s">
        <v>23</v>
      </c>
      <c r="F1051" s="59"/>
      <c r="G1051" s="22"/>
      <c r="H1051" s="22"/>
      <c r="I1051" s="22"/>
      <c r="J1051" s="22"/>
      <c r="K1051" s="22"/>
      <c r="L1051" s="26"/>
      <c r="M1051" s="22"/>
      <c r="N1051" s="61"/>
      <c r="O1051" s="75">
        <f t="shared" si="3"/>
        <v>0</v>
      </c>
      <c r="P1051" s="75">
        <f t="shared" si="4"/>
        <v>0</v>
      </c>
      <c r="Q1051" s="64"/>
      <c r="R1051" s="1"/>
      <c r="S1051" s="1"/>
      <c r="T1051" s="1"/>
      <c r="U1051" s="1"/>
      <c r="V1051" s="1"/>
      <c r="W1051" s="1"/>
      <c r="X1051" s="1"/>
      <c r="Y1051" s="1"/>
      <c r="Z1051" s="1"/>
    </row>
    <row r="1052" ht="14.25" customHeight="1">
      <c r="A1052" s="61"/>
      <c r="B1052" s="91"/>
      <c r="C1052" s="67"/>
      <c r="D1052" s="22"/>
      <c r="E1052" s="59" t="s">
        <v>165</v>
      </c>
      <c r="F1052" s="59"/>
      <c r="G1052" s="36">
        <v>4.0</v>
      </c>
      <c r="H1052" s="36" t="s">
        <v>26</v>
      </c>
      <c r="I1052" s="48">
        <v>4000000.0</v>
      </c>
      <c r="J1052" s="46">
        <f>G1052*I1052</f>
        <v>16000000</v>
      </c>
      <c r="K1052" s="46"/>
      <c r="L1052" s="26"/>
      <c r="M1052" s="46"/>
      <c r="N1052" s="61"/>
      <c r="O1052" s="75">
        <f t="shared" si="3"/>
        <v>16000000</v>
      </c>
      <c r="P1052" s="75">
        <f t="shared" si="4"/>
        <v>16000000</v>
      </c>
      <c r="Q1052" s="64"/>
      <c r="R1052" s="1"/>
      <c r="S1052" s="1"/>
      <c r="T1052" s="1"/>
      <c r="U1052" s="1"/>
      <c r="V1052" s="1"/>
      <c r="W1052" s="1"/>
      <c r="X1052" s="1"/>
      <c r="Y1052" s="1"/>
      <c r="Z1052" s="1"/>
    </row>
    <row r="1053" ht="9.75" customHeight="1">
      <c r="A1053" s="61"/>
      <c r="B1053" s="61"/>
      <c r="C1053" s="35" t="s">
        <v>58</v>
      </c>
      <c r="D1053" s="13"/>
      <c r="E1053" s="59" t="s">
        <v>34</v>
      </c>
      <c r="F1053" s="59"/>
      <c r="G1053" s="22"/>
      <c r="H1053" s="22"/>
      <c r="I1053" s="22"/>
      <c r="J1053" s="46">
        <f t="shared" ref="J1053:K1053" si="410">J1055</f>
        <v>2000000</v>
      </c>
      <c r="K1053" s="46" t="str">
        <f t="shared" si="410"/>
        <v/>
      </c>
      <c r="L1053" s="26"/>
      <c r="M1053" s="46">
        <f>M1055</f>
        <v>6300000</v>
      </c>
      <c r="N1053" s="61"/>
      <c r="O1053" s="75">
        <f t="shared" si="3"/>
        <v>2000000</v>
      </c>
      <c r="P1053" s="75">
        <f t="shared" si="4"/>
        <v>-4300000</v>
      </c>
      <c r="Q1053" s="64"/>
      <c r="R1053" s="1"/>
      <c r="S1053" s="1"/>
      <c r="T1053" s="1"/>
      <c r="U1053" s="1"/>
      <c r="V1053" s="1"/>
      <c r="W1053" s="1"/>
      <c r="X1053" s="1"/>
      <c r="Y1053" s="1"/>
      <c r="Z1053" s="1"/>
    </row>
    <row r="1054" ht="9.75" customHeight="1">
      <c r="A1054" s="61"/>
      <c r="B1054" s="91"/>
      <c r="C1054" s="67"/>
      <c r="D1054" s="22"/>
      <c r="E1054" s="59" t="s">
        <v>23</v>
      </c>
      <c r="F1054" s="59"/>
      <c r="G1054" s="22"/>
      <c r="H1054" s="22"/>
      <c r="I1054" s="22"/>
      <c r="J1054" s="22"/>
      <c r="K1054" s="22"/>
      <c r="L1054" s="26"/>
      <c r="M1054" s="22"/>
      <c r="N1054" s="61"/>
      <c r="O1054" s="75">
        <f t="shared" si="3"/>
        <v>0</v>
      </c>
      <c r="P1054" s="75">
        <f t="shared" si="4"/>
        <v>0</v>
      </c>
      <c r="Q1054" s="64"/>
      <c r="R1054" s="1"/>
      <c r="S1054" s="1"/>
      <c r="T1054" s="1"/>
      <c r="U1054" s="1"/>
      <c r="V1054" s="1"/>
      <c r="W1054" s="1"/>
      <c r="X1054" s="1"/>
      <c r="Y1054" s="1"/>
      <c r="Z1054" s="1"/>
    </row>
    <row r="1055" ht="14.25" customHeight="1">
      <c r="A1055" s="61"/>
      <c r="B1055" s="91"/>
      <c r="C1055" s="67"/>
      <c r="D1055" s="22"/>
      <c r="E1055" s="59" t="s">
        <v>59</v>
      </c>
      <c r="F1055" s="59"/>
      <c r="G1055" s="36">
        <v>4.0</v>
      </c>
      <c r="H1055" s="36" t="s">
        <v>26</v>
      </c>
      <c r="I1055" s="48">
        <v>500000.0</v>
      </c>
      <c r="J1055" s="46">
        <f>G1055*I1055</f>
        <v>2000000</v>
      </c>
      <c r="K1055" s="46"/>
      <c r="L1055" s="26"/>
      <c r="M1055" s="53">
        <v>6300000.0</v>
      </c>
      <c r="N1055" s="61"/>
      <c r="O1055" s="75">
        <f t="shared" si="3"/>
        <v>2000000</v>
      </c>
      <c r="P1055" s="75">
        <f t="shared" si="4"/>
        <v>-4300000</v>
      </c>
      <c r="Q1055" s="64"/>
      <c r="R1055" s="1"/>
      <c r="S1055" s="1"/>
      <c r="T1055" s="1"/>
      <c r="U1055" s="1"/>
      <c r="V1055" s="1"/>
      <c r="W1055" s="1"/>
      <c r="X1055" s="1"/>
      <c r="Y1055" s="1"/>
      <c r="Z1055" s="1"/>
    </row>
    <row r="1056" ht="9.75" customHeight="1">
      <c r="A1056" s="61"/>
      <c r="B1056" s="61"/>
      <c r="C1056" s="41" t="s">
        <v>60</v>
      </c>
      <c r="D1056" s="13"/>
      <c r="E1056" s="59" t="s">
        <v>61</v>
      </c>
      <c r="F1056" s="59"/>
      <c r="G1056" s="22"/>
      <c r="H1056" s="22"/>
      <c r="I1056" s="22"/>
      <c r="J1056" s="43">
        <f t="shared" ref="J1056:K1056" si="411">J1057+J1060+J1064+J1067+J1070</f>
        <v>220800000</v>
      </c>
      <c r="K1056" s="43">
        <f t="shared" si="411"/>
        <v>0</v>
      </c>
      <c r="L1056" s="26"/>
      <c r="M1056" s="43">
        <f>M1057+M1060+M1064+M1067+M1070</f>
        <v>24755856</v>
      </c>
      <c r="N1056" s="61"/>
      <c r="O1056" s="75">
        <f t="shared" si="3"/>
        <v>220800000</v>
      </c>
      <c r="P1056" s="75">
        <f t="shared" si="4"/>
        <v>196044144</v>
      </c>
      <c r="Q1056" s="64"/>
      <c r="R1056" s="1"/>
      <c r="S1056" s="1"/>
      <c r="T1056" s="1"/>
      <c r="U1056" s="1"/>
      <c r="V1056" s="1"/>
      <c r="W1056" s="1"/>
      <c r="X1056" s="1"/>
      <c r="Y1056" s="1"/>
      <c r="Z1056" s="1"/>
    </row>
    <row r="1057" ht="9.75" customHeight="1">
      <c r="A1057" s="61"/>
      <c r="B1057" s="61"/>
      <c r="C1057" s="35" t="s">
        <v>40</v>
      </c>
      <c r="D1057" s="13"/>
      <c r="E1057" s="59" t="s">
        <v>22</v>
      </c>
      <c r="F1057" s="59"/>
      <c r="G1057" s="22"/>
      <c r="H1057" s="22"/>
      <c r="I1057" s="22"/>
      <c r="J1057" s="46">
        <f t="shared" ref="J1057:K1057" si="412">J1059</f>
        <v>31800000</v>
      </c>
      <c r="K1057" s="46" t="str">
        <f t="shared" si="412"/>
        <v/>
      </c>
      <c r="L1057" s="26"/>
      <c r="M1057" s="46" t="str">
        <f>M1059</f>
        <v/>
      </c>
      <c r="N1057" s="61"/>
      <c r="O1057" s="75">
        <f t="shared" si="3"/>
        <v>31800000</v>
      </c>
      <c r="P1057" s="75">
        <f t="shared" si="4"/>
        <v>31800000</v>
      </c>
      <c r="Q1057" s="64"/>
      <c r="R1057" s="1"/>
      <c r="S1057" s="1"/>
      <c r="T1057" s="1"/>
      <c r="U1057" s="1"/>
      <c r="V1057" s="1"/>
      <c r="W1057" s="1"/>
      <c r="X1057" s="1"/>
      <c r="Y1057" s="1"/>
      <c r="Z1057" s="1"/>
    </row>
    <row r="1058" ht="9.75" customHeight="1">
      <c r="A1058" s="61"/>
      <c r="B1058" s="91"/>
      <c r="C1058" s="67"/>
      <c r="D1058" s="22"/>
      <c r="E1058" s="59" t="s">
        <v>23</v>
      </c>
      <c r="F1058" s="59"/>
      <c r="G1058" s="22"/>
      <c r="H1058" s="22"/>
      <c r="I1058" s="22"/>
      <c r="J1058" s="22"/>
      <c r="K1058" s="22"/>
      <c r="L1058" s="26"/>
      <c r="M1058" s="22"/>
      <c r="N1058" s="61"/>
      <c r="O1058" s="75">
        <f t="shared" si="3"/>
        <v>0</v>
      </c>
      <c r="P1058" s="75">
        <f t="shared" si="4"/>
        <v>0</v>
      </c>
      <c r="Q1058" s="64"/>
      <c r="R1058" s="1"/>
      <c r="S1058" s="1"/>
      <c r="T1058" s="1"/>
      <c r="U1058" s="1"/>
      <c r="V1058" s="1"/>
      <c r="W1058" s="1"/>
      <c r="X1058" s="1"/>
      <c r="Y1058" s="1"/>
      <c r="Z1058" s="1"/>
    </row>
    <row r="1059" ht="14.25" customHeight="1">
      <c r="A1059" s="61"/>
      <c r="B1059" s="91"/>
      <c r="C1059" s="67"/>
      <c r="D1059" s="22"/>
      <c r="E1059" s="59" t="s">
        <v>166</v>
      </c>
      <c r="F1059" s="59"/>
      <c r="G1059" s="36">
        <v>600.0</v>
      </c>
      <c r="H1059" s="36" t="s">
        <v>26</v>
      </c>
      <c r="I1059" s="48">
        <v>53000.0</v>
      </c>
      <c r="J1059" s="46">
        <f>G1059*I1059</f>
        <v>31800000</v>
      </c>
      <c r="K1059" s="46"/>
      <c r="L1059" s="26"/>
      <c r="M1059" s="46"/>
      <c r="N1059" s="61"/>
      <c r="O1059" s="75">
        <f t="shared" si="3"/>
        <v>31800000</v>
      </c>
      <c r="P1059" s="75">
        <f t="shared" si="4"/>
        <v>31800000</v>
      </c>
      <c r="Q1059" s="64"/>
      <c r="R1059" s="1"/>
      <c r="S1059" s="1"/>
      <c r="T1059" s="1"/>
      <c r="U1059" s="1"/>
      <c r="V1059" s="1"/>
      <c r="W1059" s="1"/>
      <c r="X1059" s="1"/>
      <c r="Y1059" s="1"/>
      <c r="Z1059" s="1"/>
    </row>
    <row r="1060" ht="9.75" customHeight="1">
      <c r="A1060" s="61"/>
      <c r="B1060" s="61"/>
      <c r="C1060" s="35" t="s">
        <v>63</v>
      </c>
      <c r="D1060" s="13"/>
      <c r="E1060" s="59" t="s">
        <v>64</v>
      </c>
      <c r="F1060" s="59"/>
      <c r="G1060" s="22"/>
      <c r="H1060" s="22"/>
      <c r="I1060" s="22"/>
      <c r="J1060" s="46">
        <f t="shared" ref="J1060:K1060" si="413">SUM(J1062:J1063)</f>
        <v>115000000</v>
      </c>
      <c r="K1060" s="46">
        <f t="shared" si="413"/>
        <v>0</v>
      </c>
      <c r="L1060" s="26"/>
      <c r="M1060" s="46">
        <f>SUM(M1062:M1063)</f>
        <v>17290946</v>
      </c>
      <c r="N1060" s="61"/>
      <c r="O1060" s="75">
        <f t="shared" si="3"/>
        <v>115000000</v>
      </c>
      <c r="P1060" s="75">
        <f t="shared" si="4"/>
        <v>97709054</v>
      </c>
      <c r="Q1060" s="64"/>
      <c r="R1060" s="1"/>
      <c r="S1060" s="1"/>
      <c r="T1060" s="1"/>
      <c r="U1060" s="1"/>
      <c r="V1060" s="1"/>
      <c r="W1060" s="1"/>
      <c r="X1060" s="1"/>
      <c r="Y1060" s="1"/>
      <c r="Z1060" s="1"/>
    </row>
    <row r="1061" ht="9.75" customHeight="1">
      <c r="A1061" s="61"/>
      <c r="B1061" s="91"/>
      <c r="C1061" s="67"/>
      <c r="D1061" s="22"/>
      <c r="E1061" s="59" t="s">
        <v>23</v>
      </c>
      <c r="F1061" s="59"/>
      <c r="G1061" s="22"/>
      <c r="H1061" s="22"/>
      <c r="I1061" s="22"/>
      <c r="J1061" s="22"/>
      <c r="K1061" s="22"/>
      <c r="L1061" s="26"/>
      <c r="M1061" s="22"/>
      <c r="N1061" s="61"/>
      <c r="O1061" s="75">
        <f t="shared" si="3"/>
        <v>0</v>
      </c>
      <c r="P1061" s="75">
        <f t="shared" si="4"/>
        <v>0</v>
      </c>
      <c r="Q1061" s="64"/>
      <c r="R1061" s="1"/>
      <c r="S1061" s="1"/>
      <c r="T1061" s="1"/>
      <c r="U1061" s="1"/>
      <c r="V1061" s="1"/>
      <c r="W1061" s="1"/>
      <c r="X1061" s="1"/>
      <c r="Y1061" s="1"/>
      <c r="Z1061" s="1"/>
    </row>
    <row r="1062" ht="14.25" customHeight="1">
      <c r="A1062" s="61"/>
      <c r="B1062" s="91"/>
      <c r="C1062" s="67"/>
      <c r="D1062" s="22"/>
      <c r="E1062" s="59" t="s">
        <v>289</v>
      </c>
      <c r="F1062" s="59"/>
      <c r="G1062" s="36">
        <v>1.0</v>
      </c>
      <c r="H1062" s="36" t="s">
        <v>97</v>
      </c>
      <c r="I1062" s="48">
        <v>9.5E7</v>
      </c>
      <c r="J1062" s="46">
        <f t="shared" ref="J1062:J1063" si="414">G1062*I1062</f>
        <v>95000000</v>
      </c>
      <c r="K1062" s="46"/>
      <c r="L1062" s="26"/>
      <c r="M1062" s="53">
        <v>1.7290946E7</v>
      </c>
      <c r="N1062" s="61"/>
      <c r="O1062" s="75">
        <f t="shared" si="3"/>
        <v>95000000</v>
      </c>
      <c r="P1062" s="75">
        <f t="shared" si="4"/>
        <v>77709054</v>
      </c>
      <c r="Q1062" s="64"/>
      <c r="R1062" s="1"/>
      <c r="S1062" s="1"/>
      <c r="T1062" s="1"/>
      <c r="U1062" s="1"/>
      <c r="V1062" s="1"/>
      <c r="W1062" s="1"/>
      <c r="X1062" s="1"/>
      <c r="Y1062" s="1"/>
      <c r="Z1062" s="1"/>
    </row>
    <row r="1063" ht="14.25" customHeight="1">
      <c r="A1063" s="61"/>
      <c r="B1063" s="91"/>
      <c r="C1063" s="67"/>
      <c r="D1063" s="22"/>
      <c r="E1063" s="59" t="s">
        <v>167</v>
      </c>
      <c r="F1063" s="59"/>
      <c r="G1063" s="36">
        <v>100.0</v>
      </c>
      <c r="H1063" s="36" t="s">
        <v>26</v>
      </c>
      <c r="I1063" s="48">
        <v>200000.0</v>
      </c>
      <c r="J1063" s="46">
        <f t="shared" si="414"/>
        <v>20000000</v>
      </c>
      <c r="K1063" s="46"/>
      <c r="L1063" s="26"/>
      <c r="M1063" s="46"/>
      <c r="N1063" s="61"/>
      <c r="O1063" s="75">
        <f t="shared" si="3"/>
        <v>20000000</v>
      </c>
      <c r="P1063" s="75">
        <f t="shared" si="4"/>
        <v>20000000</v>
      </c>
      <c r="Q1063" s="64"/>
      <c r="R1063" s="1"/>
      <c r="S1063" s="1"/>
      <c r="T1063" s="1"/>
      <c r="U1063" s="1"/>
      <c r="V1063" s="1"/>
      <c r="W1063" s="1"/>
      <c r="X1063" s="1"/>
      <c r="Y1063" s="1"/>
      <c r="Z1063" s="1"/>
    </row>
    <row r="1064" ht="9.75" customHeight="1">
      <c r="A1064" s="61"/>
      <c r="B1064" s="61"/>
      <c r="C1064" s="35" t="s">
        <v>68</v>
      </c>
      <c r="D1064" s="13"/>
      <c r="E1064" s="59" t="s">
        <v>69</v>
      </c>
      <c r="F1064" s="59"/>
      <c r="G1064" s="22"/>
      <c r="H1064" s="22"/>
      <c r="I1064" s="22"/>
      <c r="J1064" s="46">
        <f t="shared" ref="J1064:K1064" si="415">J1066</f>
        <v>10000000</v>
      </c>
      <c r="K1064" s="46" t="str">
        <f t="shared" si="415"/>
        <v/>
      </c>
      <c r="L1064" s="26"/>
      <c r="M1064" s="46">
        <f>M1066</f>
        <v>6364910</v>
      </c>
      <c r="N1064" s="61"/>
      <c r="O1064" s="75">
        <f t="shared" si="3"/>
        <v>10000000</v>
      </c>
      <c r="P1064" s="75">
        <f t="shared" si="4"/>
        <v>3635090</v>
      </c>
      <c r="Q1064" s="64"/>
      <c r="R1064" s="1"/>
      <c r="S1064" s="1"/>
      <c r="T1064" s="1"/>
      <c r="U1064" s="1"/>
      <c r="V1064" s="1"/>
      <c r="W1064" s="1"/>
      <c r="X1064" s="1"/>
      <c r="Y1064" s="1"/>
      <c r="Z1064" s="1"/>
    </row>
    <row r="1065" ht="9.75" customHeight="1">
      <c r="A1065" s="61"/>
      <c r="B1065" s="91"/>
      <c r="C1065" s="67"/>
      <c r="D1065" s="22"/>
      <c r="E1065" s="59" t="s">
        <v>23</v>
      </c>
      <c r="F1065" s="59"/>
      <c r="G1065" s="22"/>
      <c r="H1065" s="22"/>
      <c r="I1065" s="22"/>
      <c r="J1065" s="22"/>
      <c r="K1065" s="22"/>
      <c r="L1065" s="26"/>
      <c r="M1065" s="22"/>
      <c r="N1065" s="61"/>
      <c r="O1065" s="75">
        <f t="shared" si="3"/>
        <v>0</v>
      </c>
      <c r="P1065" s="75">
        <f t="shared" si="4"/>
        <v>0</v>
      </c>
      <c r="Q1065" s="64"/>
      <c r="R1065" s="1"/>
      <c r="S1065" s="1"/>
      <c r="T1065" s="1"/>
      <c r="U1065" s="1"/>
      <c r="V1065" s="1"/>
      <c r="W1065" s="1"/>
      <c r="X1065" s="1"/>
      <c r="Y1065" s="1"/>
      <c r="Z1065" s="1"/>
    </row>
    <row r="1066" ht="14.25" customHeight="1">
      <c r="A1066" s="61"/>
      <c r="B1066" s="91"/>
      <c r="C1066" s="67"/>
      <c r="D1066" s="22"/>
      <c r="E1066" s="59" t="s">
        <v>70</v>
      </c>
      <c r="F1066" s="59"/>
      <c r="G1066" s="36">
        <v>20.0</v>
      </c>
      <c r="H1066" s="36" t="s">
        <v>26</v>
      </c>
      <c r="I1066" s="48">
        <v>500000.0</v>
      </c>
      <c r="J1066" s="46">
        <f>G1066*I1066</f>
        <v>10000000</v>
      </c>
      <c r="K1066" s="46"/>
      <c r="L1066" s="26"/>
      <c r="M1066" s="53">
        <v>6364910.0</v>
      </c>
      <c r="N1066" s="61"/>
      <c r="O1066" s="75">
        <f t="shared" si="3"/>
        <v>10000000</v>
      </c>
      <c r="P1066" s="75">
        <f t="shared" si="4"/>
        <v>3635090</v>
      </c>
      <c r="Q1066" s="64"/>
      <c r="R1066" s="1"/>
      <c r="S1066" s="1"/>
      <c r="T1066" s="1"/>
      <c r="U1066" s="1"/>
      <c r="V1066" s="1"/>
      <c r="W1066" s="1"/>
      <c r="X1066" s="1"/>
      <c r="Y1066" s="1"/>
      <c r="Z1066" s="1"/>
    </row>
    <row r="1067" ht="9.75" customHeight="1">
      <c r="A1067" s="61"/>
      <c r="B1067" s="61"/>
      <c r="C1067" s="35" t="s">
        <v>47</v>
      </c>
      <c r="D1067" s="13"/>
      <c r="E1067" s="59" t="s">
        <v>48</v>
      </c>
      <c r="F1067" s="59"/>
      <c r="G1067" s="22"/>
      <c r="H1067" s="22"/>
      <c r="I1067" s="22"/>
      <c r="J1067" s="46">
        <f t="shared" ref="J1067:K1067" si="416">J1069</f>
        <v>16000000</v>
      </c>
      <c r="K1067" s="46" t="str">
        <f t="shared" si="416"/>
        <v/>
      </c>
      <c r="L1067" s="26"/>
      <c r="M1067" s="46" t="str">
        <f>M1069</f>
        <v/>
      </c>
      <c r="N1067" s="61"/>
      <c r="O1067" s="75">
        <f t="shared" si="3"/>
        <v>16000000</v>
      </c>
      <c r="P1067" s="75">
        <f t="shared" si="4"/>
        <v>16000000</v>
      </c>
      <c r="Q1067" s="64"/>
      <c r="R1067" s="1"/>
      <c r="S1067" s="1"/>
      <c r="T1067" s="1"/>
      <c r="U1067" s="1"/>
      <c r="V1067" s="1"/>
      <c r="W1067" s="1"/>
      <c r="X1067" s="1"/>
      <c r="Y1067" s="1"/>
      <c r="Z1067" s="1"/>
    </row>
    <row r="1068" ht="9.75" customHeight="1">
      <c r="A1068" s="61"/>
      <c r="B1068" s="91"/>
      <c r="C1068" s="67"/>
      <c r="D1068" s="22"/>
      <c r="E1068" s="59" t="s">
        <v>23</v>
      </c>
      <c r="F1068" s="59"/>
      <c r="G1068" s="22"/>
      <c r="H1068" s="22"/>
      <c r="I1068" s="22"/>
      <c r="J1068" s="22"/>
      <c r="K1068" s="22"/>
      <c r="L1068" s="26"/>
      <c r="M1068" s="22"/>
      <c r="N1068" s="61"/>
      <c r="O1068" s="75">
        <f t="shared" si="3"/>
        <v>0</v>
      </c>
      <c r="P1068" s="75">
        <f t="shared" si="4"/>
        <v>0</v>
      </c>
      <c r="Q1068" s="64"/>
      <c r="R1068" s="1"/>
      <c r="S1068" s="1"/>
      <c r="T1068" s="1"/>
      <c r="U1068" s="1"/>
      <c r="V1068" s="1"/>
      <c r="W1068" s="1"/>
      <c r="X1068" s="1"/>
      <c r="Y1068" s="1"/>
      <c r="Z1068" s="1"/>
    </row>
    <row r="1069" ht="14.25" customHeight="1">
      <c r="A1069" s="61"/>
      <c r="B1069" s="91"/>
      <c r="C1069" s="67"/>
      <c r="D1069" s="22"/>
      <c r="E1069" s="59" t="s">
        <v>165</v>
      </c>
      <c r="F1069" s="59"/>
      <c r="G1069" s="36">
        <v>4.0</v>
      </c>
      <c r="H1069" s="36" t="s">
        <v>26</v>
      </c>
      <c r="I1069" s="48">
        <v>4000000.0</v>
      </c>
      <c r="J1069" s="46">
        <f>G1069*I1069</f>
        <v>16000000</v>
      </c>
      <c r="K1069" s="46"/>
      <c r="L1069" s="26"/>
      <c r="M1069" s="46"/>
      <c r="N1069" s="61"/>
      <c r="O1069" s="75">
        <f t="shared" si="3"/>
        <v>16000000</v>
      </c>
      <c r="P1069" s="75">
        <f t="shared" si="4"/>
        <v>16000000</v>
      </c>
      <c r="Q1069" s="64"/>
      <c r="R1069" s="1"/>
      <c r="S1069" s="1"/>
      <c r="T1069" s="1"/>
      <c r="U1069" s="1"/>
      <c r="V1069" s="1"/>
      <c r="W1069" s="1"/>
      <c r="X1069" s="1"/>
      <c r="Y1069" s="1"/>
      <c r="Z1069" s="1"/>
    </row>
    <row r="1070" ht="9.75" customHeight="1">
      <c r="A1070" s="61"/>
      <c r="B1070" s="61"/>
      <c r="C1070" s="35" t="s">
        <v>58</v>
      </c>
      <c r="D1070" s="13"/>
      <c r="E1070" s="59" t="s">
        <v>34</v>
      </c>
      <c r="F1070" s="59"/>
      <c r="G1070" s="22"/>
      <c r="H1070" s="22"/>
      <c r="I1070" s="22"/>
      <c r="J1070" s="46">
        <f t="shared" ref="J1070:K1070" si="417">J1072</f>
        <v>48000000</v>
      </c>
      <c r="K1070" s="46" t="str">
        <f t="shared" si="417"/>
        <v/>
      </c>
      <c r="L1070" s="26"/>
      <c r="M1070" s="46">
        <f>M1072</f>
        <v>1100000</v>
      </c>
      <c r="N1070" s="61"/>
      <c r="O1070" s="75">
        <f t="shared" si="3"/>
        <v>48000000</v>
      </c>
      <c r="P1070" s="75">
        <f t="shared" si="4"/>
        <v>46900000</v>
      </c>
      <c r="Q1070" s="64"/>
      <c r="R1070" s="1"/>
      <c r="S1070" s="1"/>
      <c r="T1070" s="1"/>
      <c r="U1070" s="1"/>
      <c r="V1070" s="1"/>
      <c r="W1070" s="1"/>
      <c r="X1070" s="1"/>
      <c r="Y1070" s="1"/>
      <c r="Z1070" s="1"/>
    </row>
    <row r="1071" ht="9.75" customHeight="1">
      <c r="A1071" s="61"/>
      <c r="B1071" s="91"/>
      <c r="C1071" s="67"/>
      <c r="D1071" s="22"/>
      <c r="E1071" s="59" t="s">
        <v>23</v>
      </c>
      <c r="F1071" s="59"/>
      <c r="G1071" s="22"/>
      <c r="H1071" s="22"/>
      <c r="I1071" s="22"/>
      <c r="J1071" s="22"/>
      <c r="K1071" s="22"/>
      <c r="L1071" s="26"/>
      <c r="M1071" s="22"/>
      <c r="N1071" s="61"/>
      <c r="O1071" s="75">
        <f t="shared" si="3"/>
        <v>0</v>
      </c>
      <c r="P1071" s="75">
        <f t="shared" si="4"/>
        <v>0</v>
      </c>
      <c r="Q1071" s="64"/>
      <c r="R1071" s="1"/>
      <c r="S1071" s="1"/>
      <c r="T1071" s="1"/>
      <c r="U1071" s="1"/>
      <c r="V1071" s="1"/>
      <c r="W1071" s="1"/>
      <c r="X1071" s="1"/>
      <c r="Y1071" s="1"/>
      <c r="Z1071" s="1"/>
    </row>
    <row r="1072" ht="14.25" customHeight="1">
      <c r="A1072" s="61"/>
      <c r="B1072" s="91"/>
      <c r="C1072" s="67"/>
      <c r="D1072" s="22"/>
      <c r="E1072" s="59" t="s">
        <v>71</v>
      </c>
      <c r="F1072" s="59"/>
      <c r="G1072" s="36">
        <v>96.0</v>
      </c>
      <c r="H1072" s="36" t="s">
        <v>26</v>
      </c>
      <c r="I1072" s="48">
        <v>500000.0</v>
      </c>
      <c r="J1072" s="46">
        <f>G1072*I1072</f>
        <v>48000000</v>
      </c>
      <c r="K1072" s="46"/>
      <c r="L1072" s="26"/>
      <c r="M1072" s="53">
        <v>1100000.0</v>
      </c>
      <c r="N1072" s="61"/>
      <c r="O1072" s="75">
        <f t="shared" si="3"/>
        <v>48000000</v>
      </c>
      <c r="P1072" s="75">
        <f t="shared" si="4"/>
        <v>46900000</v>
      </c>
      <c r="Q1072" s="64"/>
      <c r="R1072" s="1"/>
      <c r="S1072" s="1"/>
      <c r="T1072" s="1"/>
      <c r="U1072" s="1"/>
      <c r="V1072" s="1"/>
      <c r="W1072" s="1"/>
      <c r="X1072" s="1"/>
      <c r="Y1072" s="1"/>
      <c r="Z1072" s="1"/>
    </row>
    <row r="1073" ht="9.75" customHeight="1">
      <c r="A1073" s="61"/>
      <c r="B1073" s="61"/>
      <c r="C1073" s="41" t="s">
        <v>72</v>
      </c>
      <c r="D1073" s="13"/>
      <c r="E1073" s="59" t="s">
        <v>73</v>
      </c>
      <c r="F1073" s="59"/>
      <c r="G1073" s="22"/>
      <c r="H1073" s="22"/>
      <c r="I1073" s="22"/>
      <c r="J1073" s="43">
        <f t="shared" ref="J1073:K1073" si="418">J1074+J1079</f>
        <v>151200000</v>
      </c>
      <c r="K1073" s="43">
        <f t="shared" si="418"/>
        <v>0</v>
      </c>
      <c r="L1073" s="26"/>
      <c r="M1073" s="43">
        <f>M1074+M1079</f>
        <v>1060000</v>
      </c>
      <c r="N1073" s="61"/>
      <c r="O1073" s="75">
        <f t="shared" si="3"/>
        <v>151200000</v>
      </c>
      <c r="P1073" s="75">
        <f t="shared" si="4"/>
        <v>150140000</v>
      </c>
      <c r="Q1073" s="64"/>
      <c r="R1073" s="1"/>
      <c r="S1073" s="1"/>
      <c r="T1073" s="1"/>
      <c r="U1073" s="1"/>
      <c r="V1073" s="1"/>
      <c r="W1073" s="1"/>
      <c r="X1073" s="1"/>
      <c r="Y1073" s="1"/>
      <c r="Z1073" s="1"/>
    </row>
    <row r="1074" ht="9.75" customHeight="1">
      <c r="A1074" s="61"/>
      <c r="B1074" s="61"/>
      <c r="C1074" s="35" t="s">
        <v>74</v>
      </c>
      <c r="D1074" s="13"/>
      <c r="E1074" s="59" t="s">
        <v>75</v>
      </c>
      <c r="F1074" s="59"/>
      <c r="G1074" s="22"/>
      <c r="H1074" s="22"/>
      <c r="I1074" s="22"/>
      <c r="J1074" s="46">
        <f t="shared" ref="J1074:K1074" si="419">SUM(J1076:J1078)</f>
        <v>142700000</v>
      </c>
      <c r="K1074" s="46">
        <f t="shared" si="419"/>
        <v>0</v>
      </c>
      <c r="L1074" s="26"/>
      <c r="M1074" s="46">
        <f>SUM(M1076:M1078)</f>
        <v>820000</v>
      </c>
      <c r="N1074" s="61"/>
      <c r="O1074" s="75">
        <f t="shared" si="3"/>
        <v>142700000</v>
      </c>
      <c r="P1074" s="75">
        <f t="shared" si="4"/>
        <v>141880000</v>
      </c>
      <c r="Q1074" s="64"/>
      <c r="R1074" s="1"/>
      <c r="S1074" s="1"/>
      <c r="T1074" s="1"/>
      <c r="U1074" s="1"/>
      <c r="V1074" s="1"/>
      <c r="W1074" s="1"/>
      <c r="X1074" s="1"/>
      <c r="Y1074" s="1"/>
      <c r="Z1074" s="1"/>
    </row>
    <row r="1075" ht="9.75" customHeight="1">
      <c r="A1075" s="61"/>
      <c r="B1075" s="91"/>
      <c r="C1075" s="67"/>
      <c r="D1075" s="22"/>
      <c r="E1075" s="59" t="s">
        <v>23</v>
      </c>
      <c r="F1075" s="59"/>
      <c r="G1075" s="22"/>
      <c r="H1075" s="22"/>
      <c r="I1075" s="22"/>
      <c r="J1075" s="22"/>
      <c r="K1075" s="22"/>
      <c r="L1075" s="26"/>
      <c r="M1075" s="22"/>
      <c r="N1075" s="61"/>
      <c r="O1075" s="75">
        <f t="shared" si="3"/>
        <v>0</v>
      </c>
      <c r="P1075" s="75">
        <f t="shared" si="4"/>
        <v>0</v>
      </c>
      <c r="Q1075" s="64"/>
      <c r="R1075" s="1"/>
      <c r="S1075" s="1"/>
      <c r="T1075" s="1"/>
      <c r="U1075" s="1"/>
      <c r="V1075" s="1"/>
      <c r="W1075" s="1"/>
      <c r="X1075" s="1"/>
      <c r="Y1075" s="1"/>
      <c r="Z1075" s="1"/>
    </row>
    <row r="1076" ht="14.25" customHeight="1">
      <c r="A1076" s="61"/>
      <c r="B1076" s="91"/>
      <c r="C1076" s="67"/>
      <c r="D1076" s="22"/>
      <c r="E1076" s="59" t="s">
        <v>76</v>
      </c>
      <c r="F1076" s="59"/>
      <c r="G1076" s="36">
        <v>20.0</v>
      </c>
      <c r="H1076" s="36" t="s">
        <v>26</v>
      </c>
      <c r="I1076" s="48">
        <v>5000000.0</v>
      </c>
      <c r="J1076" s="46">
        <f t="shared" ref="J1076:J1078" si="420">G1076*I1076</f>
        <v>100000000</v>
      </c>
      <c r="K1076" s="46"/>
      <c r="L1076" s="26"/>
      <c r="M1076" s="53">
        <v>820000.0</v>
      </c>
      <c r="N1076" s="61"/>
      <c r="O1076" s="75">
        <f t="shared" si="3"/>
        <v>100000000</v>
      </c>
      <c r="P1076" s="75">
        <f t="shared" si="4"/>
        <v>99180000</v>
      </c>
      <c r="Q1076" s="64"/>
      <c r="R1076" s="1"/>
      <c r="S1076" s="1"/>
      <c r="T1076" s="1"/>
      <c r="U1076" s="1"/>
      <c r="V1076" s="1"/>
      <c r="W1076" s="1"/>
      <c r="X1076" s="1"/>
      <c r="Y1076" s="1"/>
      <c r="Z1076" s="1"/>
    </row>
    <row r="1077" ht="14.25" customHeight="1">
      <c r="A1077" s="61"/>
      <c r="B1077" s="91"/>
      <c r="C1077" s="67"/>
      <c r="D1077" s="22"/>
      <c r="E1077" s="59" t="s">
        <v>77</v>
      </c>
      <c r="F1077" s="59"/>
      <c r="G1077" s="36">
        <v>30.0</v>
      </c>
      <c r="H1077" s="36" t="s">
        <v>26</v>
      </c>
      <c r="I1077" s="48">
        <v>850000.0</v>
      </c>
      <c r="J1077" s="46">
        <f t="shared" si="420"/>
        <v>25500000</v>
      </c>
      <c r="K1077" s="46"/>
      <c r="L1077" s="26"/>
      <c r="M1077" s="46"/>
      <c r="N1077" s="61"/>
      <c r="O1077" s="75">
        <f t="shared" si="3"/>
        <v>25500000</v>
      </c>
      <c r="P1077" s="75">
        <f t="shared" si="4"/>
        <v>25500000</v>
      </c>
      <c r="Q1077" s="64"/>
      <c r="R1077" s="1"/>
      <c r="S1077" s="1"/>
      <c r="T1077" s="1"/>
      <c r="U1077" s="1"/>
      <c r="V1077" s="1"/>
      <c r="W1077" s="1"/>
      <c r="X1077" s="1"/>
      <c r="Y1077" s="1"/>
      <c r="Z1077" s="1"/>
    </row>
    <row r="1078" ht="14.25" customHeight="1">
      <c r="A1078" s="61"/>
      <c r="B1078" s="91"/>
      <c r="C1078" s="67"/>
      <c r="D1078" s="22"/>
      <c r="E1078" s="59" t="s">
        <v>78</v>
      </c>
      <c r="F1078" s="59"/>
      <c r="G1078" s="36">
        <v>40.0</v>
      </c>
      <c r="H1078" s="36" t="s">
        <v>26</v>
      </c>
      <c r="I1078" s="48">
        <v>430000.0</v>
      </c>
      <c r="J1078" s="46">
        <f t="shared" si="420"/>
        <v>17200000</v>
      </c>
      <c r="K1078" s="46"/>
      <c r="L1078" s="26"/>
      <c r="M1078" s="46"/>
      <c r="N1078" s="61"/>
      <c r="O1078" s="75">
        <f t="shared" si="3"/>
        <v>17200000</v>
      </c>
      <c r="P1078" s="75">
        <f t="shared" si="4"/>
        <v>17200000</v>
      </c>
      <c r="Q1078" s="64"/>
      <c r="R1078" s="1"/>
      <c r="S1078" s="1"/>
      <c r="T1078" s="1"/>
      <c r="U1078" s="1"/>
      <c r="V1078" s="1"/>
      <c r="W1078" s="1"/>
      <c r="X1078" s="1"/>
      <c r="Y1078" s="1"/>
      <c r="Z1078" s="1"/>
    </row>
    <row r="1079" ht="9.75" customHeight="1">
      <c r="A1079" s="61"/>
      <c r="B1079" s="61"/>
      <c r="C1079" s="35" t="s">
        <v>79</v>
      </c>
      <c r="D1079" s="13"/>
      <c r="E1079" s="59" t="s">
        <v>80</v>
      </c>
      <c r="F1079" s="59"/>
      <c r="G1079" s="22"/>
      <c r="H1079" s="22"/>
      <c r="I1079" s="22"/>
      <c r="J1079" s="46">
        <f t="shared" ref="J1079:K1079" si="421">J1081</f>
        <v>8500000</v>
      </c>
      <c r="K1079" s="46" t="str">
        <f t="shared" si="421"/>
        <v/>
      </c>
      <c r="L1079" s="26"/>
      <c r="M1079" s="46">
        <f>M1081</f>
        <v>240000</v>
      </c>
      <c r="N1079" s="61"/>
      <c r="O1079" s="75">
        <f t="shared" si="3"/>
        <v>8500000</v>
      </c>
      <c r="P1079" s="75">
        <f t="shared" si="4"/>
        <v>8260000</v>
      </c>
      <c r="Q1079" s="64"/>
      <c r="R1079" s="1"/>
      <c r="S1079" s="1"/>
      <c r="T1079" s="1"/>
      <c r="U1079" s="1"/>
      <c r="V1079" s="1"/>
      <c r="W1079" s="1"/>
      <c r="X1079" s="1"/>
      <c r="Y1079" s="1"/>
      <c r="Z1079" s="1"/>
    </row>
    <row r="1080" ht="9.75" customHeight="1">
      <c r="A1080" s="61"/>
      <c r="B1080" s="91"/>
      <c r="C1080" s="67"/>
      <c r="D1080" s="22"/>
      <c r="E1080" s="59" t="s">
        <v>23</v>
      </c>
      <c r="F1080" s="59"/>
      <c r="G1080" s="22"/>
      <c r="H1080" s="22"/>
      <c r="I1080" s="22"/>
      <c r="J1080" s="22"/>
      <c r="K1080" s="22"/>
      <c r="L1080" s="26"/>
      <c r="M1080" s="22"/>
      <c r="N1080" s="61"/>
      <c r="O1080" s="75">
        <f t="shared" si="3"/>
        <v>0</v>
      </c>
      <c r="P1080" s="75">
        <f t="shared" si="4"/>
        <v>0</v>
      </c>
      <c r="Q1080" s="64"/>
      <c r="R1080" s="1"/>
      <c r="S1080" s="1"/>
      <c r="T1080" s="1"/>
      <c r="U1080" s="1"/>
      <c r="V1080" s="1"/>
      <c r="W1080" s="1"/>
      <c r="X1080" s="1"/>
      <c r="Y1080" s="1"/>
      <c r="Z1080" s="1"/>
    </row>
    <row r="1081" ht="14.25" customHeight="1">
      <c r="A1081" s="61"/>
      <c r="B1081" s="91"/>
      <c r="C1081" s="67"/>
      <c r="D1081" s="22"/>
      <c r="E1081" s="59" t="s">
        <v>81</v>
      </c>
      <c r="F1081" s="59"/>
      <c r="G1081" s="36">
        <v>50.0</v>
      </c>
      <c r="H1081" s="36" t="s">
        <v>26</v>
      </c>
      <c r="I1081" s="48">
        <v>170000.0</v>
      </c>
      <c r="J1081" s="46">
        <f>G1081*I1081</f>
        <v>8500000</v>
      </c>
      <c r="K1081" s="46"/>
      <c r="L1081" s="26"/>
      <c r="M1081" s="53">
        <v>240000.0</v>
      </c>
      <c r="N1081" s="61"/>
      <c r="O1081" s="75">
        <f t="shared" si="3"/>
        <v>8500000</v>
      </c>
      <c r="P1081" s="75">
        <f t="shared" si="4"/>
        <v>8260000</v>
      </c>
      <c r="Q1081" s="64"/>
      <c r="R1081" s="1"/>
      <c r="S1081" s="1"/>
      <c r="T1081" s="1"/>
      <c r="U1081" s="1"/>
      <c r="V1081" s="1"/>
      <c r="W1081" s="1"/>
      <c r="X1081" s="1"/>
      <c r="Y1081" s="1"/>
      <c r="Z1081" s="1"/>
    </row>
    <row r="1082" ht="9.75" customHeight="1">
      <c r="A1082" s="61"/>
      <c r="B1082" s="61"/>
      <c r="C1082" s="41" t="s">
        <v>82</v>
      </c>
      <c r="D1082" s="13"/>
      <c r="E1082" s="59" t="s">
        <v>83</v>
      </c>
      <c r="F1082" s="59"/>
      <c r="G1082" s="22"/>
      <c r="H1082" s="22"/>
      <c r="I1082" s="22"/>
      <c r="J1082" s="43">
        <f t="shared" ref="J1082:K1082" si="422">J1083+J1088</f>
        <v>1434000000</v>
      </c>
      <c r="K1082" s="43">
        <f t="shared" si="422"/>
        <v>54390000</v>
      </c>
      <c r="L1082" s="26"/>
      <c r="M1082" s="43">
        <f>M1083+M1088</f>
        <v>71992117</v>
      </c>
      <c r="N1082" s="61"/>
      <c r="O1082" s="75">
        <f t="shared" si="3"/>
        <v>1379610000</v>
      </c>
      <c r="P1082" s="75">
        <f t="shared" si="4"/>
        <v>1362007883</v>
      </c>
      <c r="Q1082" s="64"/>
      <c r="R1082" s="1"/>
      <c r="S1082" s="1"/>
      <c r="T1082" s="1"/>
      <c r="U1082" s="1"/>
      <c r="V1082" s="1"/>
      <c r="W1082" s="1"/>
      <c r="X1082" s="1"/>
      <c r="Y1082" s="1"/>
      <c r="Z1082" s="1"/>
    </row>
    <row r="1083" ht="9.75" customHeight="1">
      <c r="A1083" s="61"/>
      <c r="B1083" s="61"/>
      <c r="C1083" s="35" t="s">
        <v>84</v>
      </c>
      <c r="D1083" s="13"/>
      <c r="E1083" s="59" t="s">
        <v>85</v>
      </c>
      <c r="F1083" s="59"/>
      <c r="G1083" s="22"/>
      <c r="H1083" s="22"/>
      <c r="I1083" s="22"/>
      <c r="J1083" s="46">
        <f t="shared" ref="J1083:K1083" si="423">SUM(J1085:J1087)</f>
        <v>1320000000</v>
      </c>
      <c r="K1083" s="46">
        <f t="shared" si="423"/>
        <v>54390000</v>
      </c>
      <c r="L1083" s="26"/>
      <c r="M1083" s="46">
        <f>SUM(M1085:M1087)</f>
        <v>66597000</v>
      </c>
      <c r="N1083" s="61"/>
      <c r="O1083" s="75">
        <f t="shared" si="3"/>
        <v>1265610000</v>
      </c>
      <c r="P1083" s="75">
        <f t="shared" si="4"/>
        <v>1253403000</v>
      </c>
      <c r="Q1083" s="64"/>
      <c r="R1083" s="1"/>
      <c r="S1083" s="1"/>
      <c r="T1083" s="1"/>
      <c r="U1083" s="1"/>
      <c r="V1083" s="1"/>
      <c r="W1083" s="1"/>
      <c r="X1083" s="1"/>
      <c r="Y1083" s="1"/>
      <c r="Z1083" s="1"/>
    </row>
    <row r="1084" ht="9.75" customHeight="1">
      <c r="A1084" s="61"/>
      <c r="B1084" s="91"/>
      <c r="C1084" s="67"/>
      <c r="D1084" s="22"/>
      <c r="E1084" s="59" t="s">
        <v>23</v>
      </c>
      <c r="F1084" s="59"/>
      <c r="G1084" s="22"/>
      <c r="H1084" s="22"/>
      <c r="I1084" s="22"/>
      <c r="J1084" s="22"/>
      <c r="K1084" s="22"/>
      <c r="L1084" s="26"/>
      <c r="M1084" s="22"/>
      <c r="N1084" s="61"/>
      <c r="O1084" s="75">
        <f t="shared" si="3"/>
        <v>0</v>
      </c>
      <c r="P1084" s="75">
        <f t="shared" si="4"/>
        <v>0</v>
      </c>
      <c r="Q1084" s="64"/>
      <c r="R1084" s="1"/>
      <c r="S1084" s="1"/>
      <c r="T1084" s="1"/>
      <c r="U1084" s="1"/>
      <c r="V1084" s="1"/>
      <c r="W1084" s="1"/>
      <c r="X1084" s="1"/>
      <c r="Y1084" s="1"/>
      <c r="Z1084" s="1"/>
    </row>
    <row r="1085" ht="9.75" customHeight="1">
      <c r="A1085" s="61"/>
      <c r="B1085" s="91"/>
      <c r="C1085" s="67"/>
      <c r="D1085" s="22"/>
      <c r="E1085" s="59" t="s">
        <v>168</v>
      </c>
      <c r="F1085" s="59"/>
      <c r="G1085" s="36">
        <v>54750.0</v>
      </c>
      <c r="H1085" s="36" t="s">
        <v>87</v>
      </c>
      <c r="I1085" s="48">
        <v>15000.0</v>
      </c>
      <c r="J1085" s="46">
        <f t="shared" ref="J1085:J1087" si="424">G1085*I1085</f>
        <v>821250000</v>
      </c>
      <c r="K1085" s="46">
        <v>4.0425E7</v>
      </c>
      <c r="L1085" s="26"/>
      <c r="M1085" s="46">
        <v>4.0425E7</v>
      </c>
      <c r="N1085" s="61"/>
      <c r="O1085" s="75">
        <f t="shared" si="3"/>
        <v>780825000</v>
      </c>
      <c r="P1085" s="75">
        <f t="shared" si="4"/>
        <v>780825000</v>
      </c>
      <c r="Q1085" s="64"/>
      <c r="R1085" s="1"/>
      <c r="S1085" s="1"/>
      <c r="T1085" s="1"/>
      <c r="U1085" s="1"/>
      <c r="V1085" s="1"/>
      <c r="W1085" s="1"/>
      <c r="X1085" s="1"/>
      <c r="Y1085" s="1"/>
      <c r="Z1085" s="1"/>
    </row>
    <row r="1086" ht="14.25" customHeight="1">
      <c r="A1086" s="61"/>
      <c r="B1086" s="91"/>
      <c r="C1086" s="67"/>
      <c r="D1086" s="22"/>
      <c r="E1086" s="59" t="s">
        <v>88</v>
      </c>
      <c r="F1086" s="59"/>
      <c r="G1086" s="36">
        <v>9000.0</v>
      </c>
      <c r="H1086" s="36" t="s">
        <v>87</v>
      </c>
      <c r="I1086" s="48">
        <v>25000.0</v>
      </c>
      <c r="J1086" s="46">
        <f t="shared" si="424"/>
        <v>225000000</v>
      </c>
      <c r="K1086" s="46"/>
      <c r="L1086" s="26"/>
      <c r="M1086" s="53">
        <v>1.2207E7</v>
      </c>
      <c r="N1086" s="61"/>
      <c r="O1086" s="75">
        <f t="shared" si="3"/>
        <v>225000000</v>
      </c>
      <c r="P1086" s="75">
        <f t="shared" si="4"/>
        <v>212793000</v>
      </c>
      <c r="Q1086" s="64"/>
      <c r="R1086" s="1"/>
      <c r="S1086" s="1"/>
      <c r="T1086" s="1"/>
      <c r="U1086" s="1"/>
      <c r="V1086" s="1"/>
      <c r="W1086" s="1"/>
      <c r="X1086" s="1"/>
      <c r="Y1086" s="1"/>
      <c r="Z1086" s="1"/>
    </row>
    <row r="1087" ht="9.75" customHeight="1">
      <c r="A1087" s="61"/>
      <c r="B1087" s="91"/>
      <c r="C1087" s="67"/>
      <c r="D1087" s="22"/>
      <c r="E1087" s="59" t="s">
        <v>169</v>
      </c>
      <c r="F1087" s="59"/>
      <c r="G1087" s="36">
        <v>36500.0</v>
      </c>
      <c r="H1087" s="36" t="s">
        <v>87</v>
      </c>
      <c r="I1087" s="48">
        <v>7500.0</v>
      </c>
      <c r="J1087" s="46">
        <f t="shared" si="424"/>
        <v>273750000</v>
      </c>
      <c r="K1087" s="46">
        <v>1.3965E7</v>
      </c>
      <c r="L1087" s="26"/>
      <c r="M1087" s="46">
        <v>1.3965E7</v>
      </c>
      <c r="N1087" s="61"/>
      <c r="O1087" s="75">
        <f t="shared" si="3"/>
        <v>259785000</v>
      </c>
      <c r="P1087" s="75">
        <f t="shared" si="4"/>
        <v>259785000</v>
      </c>
      <c r="Q1087" s="64"/>
      <c r="R1087" s="1"/>
      <c r="S1087" s="1"/>
      <c r="T1087" s="1"/>
      <c r="U1087" s="1"/>
      <c r="V1087" s="1"/>
      <c r="W1087" s="1"/>
      <c r="X1087" s="1"/>
      <c r="Y1087" s="1"/>
      <c r="Z1087" s="1"/>
    </row>
    <row r="1088" ht="9.75" customHeight="1">
      <c r="A1088" s="61"/>
      <c r="B1088" s="61"/>
      <c r="C1088" s="35" t="s">
        <v>63</v>
      </c>
      <c r="D1088" s="13"/>
      <c r="E1088" s="59" t="s">
        <v>64</v>
      </c>
      <c r="F1088" s="59"/>
      <c r="G1088" s="22"/>
      <c r="H1088" s="22"/>
      <c r="I1088" s="22"/>
      <c r="J1088" s="88">
        <f t="shared" ref="J1088:N1088" si="425">J1090+J1091</f>
        <v>114000000</v>
      </c>
      <c r="K1088" s="88">
        <f t="shared" si="425"/>
        <v>0</v>
      </c>
      <c r="L1088" s="88">
        <f t="shared" si="425"/>
        <v>0</v>
      </c>
      <c r="M1088" s="88">
        <f t="shared" si="425"/>
        <v>5395117</v>
      </c>
      <c r="N1088" s="88">
        <f t="shared" si="425"/>
        <v>0</v>
      </c>
      <c r="O1088" s="75">
        <f t="shared" si="3"/>
        <v>114000000</v>
      </c>
      <c r="P1088" s="75">
        <f t="shared" si="4"/>
        <v>108604883</v>
      </c>
      <c r="Q1088" s="64"/>
      <c r="R1088" s="1"/>
      <c r="S1088" s="1"/>
      <c r="T1088" s="1"/>
      <c r="U1088" s="1"/>
      <c r="V1088" s="1"/>
      <c r="W1088" s="1"/>
      <c r="X1088" s="1"/>
      <c r="Y1088" s="1"/>
      <c r="Z1088" s="1"/>
    </row>
    <row r="1089" ht="9.75" customHeight="1">
      <c r="A1089" s="61"/>
      <c r="B1089" s="91"/>
      <c r="C1089" s="67"/>
      <c r="D1089" s="22"/>
      <c r="E1089" s="59" t="s">
        <v>23</v>
      </c>
      <c r="F1089" s="59"/>
      <c r="G1089" s="22"/>
      <c r="H1089" s="22"/>
      <c r="I1089" s="22"/>
      <c r="J1089" s="22"/>
      <c r="K1089" s="22"/>
      <c r="L1089" s="26"/>
      <c r="M1089" s="22"/>
      <c r="N1089" s="61"/>
      <c r="O1089" s="75">
        <f t="shared" si="3"/>
        <v>0</v>
      </c>
      <c r="P1089" s="75">
        <f t="shared" si="4"/>
        <v>0</v>
      </c>
      <c r="Q1089" s="64"/>
      <c r="R1089" s="1"/>
      <c r="S1089" s="1"/>
      <c r="T1089" s="1"/>
      <c r="U1089" s="1"/>
      <c r="V1089" s="1"/>
      <c r="W1089" s="1"/>
      <c r="X1089" s="1"/>
      <c r="Y1089" s="1"/>
      <c r="Z1089" s="1"/>
    </row>
    <row r="1090" ht="14.25" customHeight="1">
      <c r="A1090" s="61"/>
      <c r="B1090" s="91"/>
      <c r="C1090" s="67"/>
      <c r="D1090" s="22"/>
      <c r="E1090" s="59" t="s">
        <v>90</v>
      </c>
      <c r="F1090" s="59"/>
      <c r="G1090" s="36">
        <v>180.0</v>
      </c>
      <c r="H1090" s="36" t="s">
        <v>87</v>
      </c>
      <c r="I1090" s="48">
        <v>500000.0</v>
      </c>
      <c r="J1090" s="46">
        <f t="shared" ref="J1090:J1091" si="426">G1090*I1090</f>
        <v>90000000</v>
      </c>
      <c r="K1090" s="46"/>
      <c r="L1090" s="26"/>
      <c r="M1090" s="53">
        <v>2795117.0</v>
      </c>
      <c r="N1090" s="61"/>
      <c r="O1090" s="75">
        <f t="shared" si="3"/>
        <v>90000000</v>
      </c>
      <c r="P1090" s="75">
        <f t="shared" si="4"/>
        <v>87204883</v>
      </c>
      <c r="Q1090" s="64"/>
      <c r="R1090" s="1"/>
      <c r="S1090" s="1"/>
      <c r="T1090" s="1"/>
      <c r="U1090" s="1"/>
      <c r="V1090" s="1"/>
      <c r="W1090" s="1"/>
      <c r="X1090" s="1"/>
      <c r="Y1090" s="1"/>
      <c r="Z1090" s="1"/>
    </row>
    <row r="1091" ht="14.25" customHeight="1">
      <c r="A1091" s="61"/>
      <c r="B1091" s="91"/>
      <c r="C1091" s="67"/>
      <c r="D1091" s="22"/>
      <c r="E1091" s="59" t="s">
        <v>170</v>
      </c>
      <c r="F1091" s="59"/>
      <c r="G1091" s="36">
        <v>600.0</v>
      </c>
      <c r="H1091" s="36" t="s">
        <v>87</v>
      </c>
      <c r="I1091" s="48">
        <v>40000.0</v>
      </c>
      <c r="J1091" s="46">
        <f t="shared" si="426"/>
        <v>24000000</v>
      </c>
      <c r="K1091" s="46"/>
      <c r="L1091" s="26"/>
      <c r="M1091" s="53">
        <v>2600000.0</v>
      </c>
      <c r="N1091" s="61"/>
      <c r="O1091" s="75">
        <f t="shared" si="3"/>
        <v>24000000</v>
      </c>
      <c r="P1091" s="75">
        <f t="shared" si="4"/>
        <v>21400000</v>
      </c>
      <c r="Q1091" s="64"/>
      <c r="R1091" s="1"/>
      <c r="S1091" s="1"/>
      <c r="T1091" s="1"/>
      <c r="U1091" s="1"/>
      <c r="V1091" s="1"/>
      <c r="W1091" s="1"/>
      <c r="X1091" s="1"/>
      <c r="Y1091" s="1"/>
      <c r="Z1091" s="1"/>
    </row>
    <row r="1092" ht="9.75" customHeight="1">
      <c r="A1092" s="61"/>
      <c r="B1092" s="61"/>
      <c r="C1092" s="41" t="s">
        <v>92</v>
      </c>
      <c r="D1092" s="13"/>
      <c r="E1092" s="59" t="s">
        <v>93</v>
      </c>
      <c r="F1092" s="59"/>
      <c r="G1092" s="22"/>
      <c r="H1092" s="22"/>
      <c r="I1092" s="22"/>
      <c r="J1092" s="43">
        <f t="shared" ref="J1092:K1092" si="427">J1093</f>
        <v>41836000</v>
      </c>
      <c r="K1092" s="43">
        <f t="shared" si="427"/>
        <v>0</v>
      </c>
      <c r="L1092" s="26"/>
      <c r="M1092" s="43">
        <f>M1093</f>
        <v>541650</v>
      </c>
      <c r="N1092" s="61"/>
      <c r="O1092" s="75">
        <f t="shared" si="3"/>
        <v>41836000</v>
      </c>
      <c r="P1092" s="75">
        <f t="shared" si="4"/>
        <v>41294350</v>
      </c>
      <c r="Q1092" s="64"/>
      <c r="R1092" s="1"/>
      <c r="S1092" s="1"/>
      <c r="T1092" s="1"/>
      <c r="U1092" s="1"/>
      <c r="V1092" s="1"/>
      <c r="W1092" s="1"/>
      <c r="X1092" s="1"/>
      <c r="Y1092" s="1"/>
      <c r="Z1092" s="1"/>
    </row>
    <row r="1093" ht="9.75" customHeight="1">
      <c r="A1093" s="61"/>
      <c r="B1093" s="61"/>
      <c r="C1093" s="35" t="s">
        <v>68</v>
      </c>
      <c r="D1093" s="13"/>
      <c r="E1093" s="59" t="s">
        <v>69</v>
      </c>
      <c r="F1093" s="59"/>
      <c r="G1093" s="22"/>
      <c r="H1093" s="22"/>
      <c r="I1093" s="22"/>
      <c r="J1093" s="46">
        <f t="shared" ref="J1093:K1093" si="428">SUM(J1095:J1096)</f>
        <v>41836000</v>
      </c>
      <c r="K1093" s="46">
        <f t="shared" si="428"/>
        <v>0</v>
      </c>
      <c r="L1093" s="26"/>
      <c r="M1093" s="46">
        <f>SUM(M1095:M1096)</f>
        <v>541650</v>
      </c>
      <c r="N1093" s="61"/>
      <c r="O1093" s="75">
        <f t="shared" si="3"/>
        <v>41836000</v>
      </c>
      <c r="P1093" s="75">
        <f t="shared" si="4"/>
        <v>41294350</v>
      </c>
      <c r="Q1093" s="64"/>
      <c r="R1093" s="1"/>
      <c r="S1093" s="1"/>
      <c r="T1093" s="1"/>
      <c r="U1093" s="1"/>
      <c r="V1093" s="1"/>
      <c r="W1093" s="1"/>
      <c r="X1093" s="1"/>
      <c r="Y1093" s="1"/>
      <c r="Z1093" s="1"/>
    </row>
    <row r="1094" ht="9.75" customHeight="1">
      <c r="A1094" s="61"/>
      <c r="B1094" s="91"/>
      <c r="C1094" s="67"/>
      <c r="D1094" s="22"/>
      <c r="E1094" s="59" t="s">
        <v>23</v>
      </c>
      <c r="F1094" s="59"/>
      <c r="G1094" s="22"/>
      <c r="H1094" s="22"/>
      <c r="I1094" s="22"/>
      <c r="J1094" s="22"/>
      <c r="K1094" s="22"/>
      <c r="L1094" s="26"/>
      <c r="M1094" s="22"/>
      <c r="N1094" s="61"/>
      <c r="O1094" s="75">
        <f t="shared" si="3"/>
        <v>0</v>
      </c>
      <c r="P1094" s="75">
        <f t="shared" si="4"/>
        <v>0</v>
      </c>
      <c r="Q1094" s="64"/>
      <c r="R1094" s="1"/>
      <c r="S1094" s="1"/>
      <c r="T1094" s="1"/>
      <c r="U1094" s="1"/>
      <c r="V1094" s="1"/>
      <c r="W1094" s="1"/>
      <c r="X1094" s="1"/>
      <c r="Y1094" s="1"/>
      <c r="Z1094" s="1"/>
    </row>
    <row r="1095" ht="14.25" customHeight="1">
      <c r="A1095" s="61"/>
      <c r="B1095" s="91"/>
      <c r="C1095" s="67"/>
      <c r="D1095" s="22"/>
      <c r="E1095" s="59" t="s">
        <v>94</v>
      </c>
      <c r="F1095" s="59"/>
      <c r="G1095" s="36">
        <v>12.0</v>
      </c>
      <c r="H1095" s="36" t="s">
        <v>95</v>
      </c>
      <c r="I1095" s="48">
        <v>2500000.0</v>
      </c>
      <c r="J1095" s="46">
        <f t="shared" ref="J1095:J1096" si="429">G1095*I1095</f>
        <v>30000000</v>
      </c>
      <c r="K1095" s="46"/>
      <c r="L1095" s="26"/>
      <c r="M1095" s="53">
        <v>541650.0</v>
      </c>
      <c r="N1095" s="61"/>
      <c r="O1095" s="75">
        <f t="shared" si="3"/>
        <v>30000000</v>
      </c>
      <c r="P1095" s="75">
        <f t="shared" si="4"/>
        <v>29458350</v>
      </c>
      <c r="Q1095" s="64"/>
      <c r="R1095" s="1"/>
      <c r="S1095" s="1"/>
      <c r="T1095" s="1"/>
      <c r="U1095" s="1"/>
      <c r="V1095" s="1"/>
      <c r="W1095" s="1"/>
      <c r="X1095" s="1"/>
      <c r="Y1095" s="1"/>
      <c r="Z1095" s="1"/>
    </row>
    <row r="1096" ht="14.25" customHeight="1">
      <c r="A1096" s="61"/>
      <c r="B1096" s="91"/>
      <c r="C1096" s="67"/>
      <c r="D1096" s="22"/>
      <c r="E1096" s="59" t="s">
        <v>290</v>
      </c>
      <c r="F1096" s="59"/>
      <c r="G1096" s="36">
        <v>1.0</v>
      </c>
      <c r="H1096" s="36" t="s">
        <v>97</v>
      </c>
      <c r="I1096" s="48">
        <v>1.1836E7</v>
      </c>
      <c r="J1096" s="46">
        <f t="shared" si="429"/>
        <v>11836000</v>
      </c>
      <c r="K1096" s="46"/>
      <c r="L1096" s="26"/>
      <c r="M1096" s="46"/>
      <c r="N1096" s="61"/>
      <c r="O1096" s="75">
        <f t="shared" si="3"/>
        <v>11836000</v>
      </c>
      <c r="P1096" s="75">
        <f t="shared" si="4"/>
        <v>11836000</v>
      </c>
      <c r="Q1096" s="64"/>
      <c r="R1096" s="1"/>
      <c r="S1096" s="1"/>
      <c r="T1096" s="1"/>
      <c r="U1096" s="1"/>
      <c r="V1096" s="1"/>
      <c r="W1096" s="1"/>
      <c r="X1096" s="1"/>
      <c r="Y1096" s="1"/>
      <c r="Z1096" s="1"/>
    </row>
    <row r="1097" ht="9.75" customHeight="1">
      <c r="A1097" s="61"/>
      <c r="B1097" s="61"/>
      <c r="C1097" s="41" t="s">
        <v>98</v>
      </c>
      <c r="D1097" s="13"/>
      <c r="E1097" s="59" t="s">
        <v>99</v>
      </c>
      <c r="F1097" s="59"/>
      <c r="G1097" s="22"/>
      <c r="H1097" s="22"/>
      <c r="I1097" s="22"/>
      <c r="J1097" s="43">
        <f t="shared" ref="J1097:K1097" si="430">J1098+J1107</f>
        <v>6760000</v>
      </c>
      <c r="K1097" s="43">
        <f t="shared" si="430"/>
        <v>0</v>
      </c>
      <c r="L1097" s="26"/>
      <c r="M1097" s="43">
        <f>M1098+M1107</f>
        <v>0</v>
      </c>
      <c r="N1097" s="61"/>
      <c r="O1097" s="75">
        <f t="shared" si="3"/>
        <v>6760000</v>
      </c>
      <c r="P1097" s="75">
        <f t="shared" si="4"/>
        <v>6760000</v>
      </c>
      <c r="Q1097" s="64"/>
      <c r="R1097" s="1"/>
      <c r="S1097" s="1"/>
      <c r="T1097" s="1"/>
      <c r="U1097" s="1"/>
      <c r="V1097" s="1"/>
      <c r="W1097" s="1"/>
      <c r="X1097" s="1"/>
      <c r="Y1097" s="1"/>
      <c r="Z1097" s="1"/>
    </row>
    <row r="1098" ht="9.75" customHeight="1">
      <c r="A1098" s="61"/>
      <c r="B1098" s="61"/>
      <c r="C1098" s="35" t="s">
        <v>100</v>
      </c>
      <c r="D1098" s="13"/>
      <c r="E1098" s="59" t="s">
        <v>101</v>
      </c>
      <c r="F1098" s="59"/>
      <c r="G1098" s="22"/>
      <c r="H1098" s="22"/>
      <c r="I1098" s="22"/>
      <c r="J1098" s="46">
        <f t="shared" ref="J1098:K1098" si="431">SUM(J1100:J1106)</f>
        <v>5600000</v>
      </c>
      <c r="K1098" s="46">
        <f t="shared" si="431"/>
        <v>0</v>
      </c>
      <c r="L1098" s="26"/>
      <c r="M1098" s="46">
        <f>SUM(M1100:M1106)</f>
        <v>0</v>
      </c>
      <c r="N1098" s="61"/>
      <c r="O1098" s="75">
        <f t="shared" si="3"/>
        <v>5600000</v>
      </c>
      <c r="P1098" s="75">
        <f t="shared" si="4"/>
        <v>5600000</v>
      </c>
      <c r="Q1098" s="64"/>
      <c r="R1098" s="1"/>
      <c r="S1098" s="1"/>
      <c r="T1098" s="1"/>
      <c r="U1098" s="1"/>
      <c r="V1098" s="1"/>
      <c r="W1098" s="1"/>
      <c r="X1098" s="1"/>
      <c r="Y1098" s="1"/>
      <c r="Z1098" s="1"/>
    </row>
    <row r="1099" ht="9.75" customHeight="1">
      <c r="A1099" s="61"/>
      <c r="B1099" s="91"/>
      <c r="C1099" s="67"/>
      <c r="D1099" s="22"/>
      <c r="E1099" s="59" t="s">
        <v>23</v>
      </c>
      <c r="F1099" s="59"/>
      <c r="G1099" s="22"/>
      <c r="H1099" s="22"/>
      <c r="I1099" s="22"/>
      <c r="J1099" s="22"/>
      <c r="K1099" s="22"/>
      <c r="L1099" s="26"/>
      <c r="M1099" s="22"/>
      <c r="N1099" s="61"/>
      <c r="O1099" s="75">
        <f t="shared" si="3"/>
        <v>0</v>
      </c>
      <c r="P1099" s="75">
        <f t="shared" si="4"/>
        <v>0</v>
      </c>
      <c r="Q1099" s="64"/>
      <c r="R1099" s="1"/>
      <c r="S1099" s="1"/>
      <c r="T1099" s="1"/>
      <c r="U1099" s="1"/>
      <c r="V1099" s="1"/>
      <c r="W1099" s="1"/>
      <c r="X1099" s="1"/>
      <c r="Y1099" s="1"/>
      <c r="Z1099" s="1"/>
    </row>
    <row r="1100" ht="14.25" customHeight="1">
      <c r="A1100" s="61"/>
      <c r="B1100" s="91"/>
      <c r="C1100" s="67"/>
      <c r="D1100" s="22"/>
      <c r="E1100" s="59" t="s">
        <v>102</v>
      </c>
      <c r="F1100" s="59"/>
      <c r="G1100" s="36">
        <v>2.0</v>
      </c>
      <c r="H1100" s="36" t="s">
        <v>95</v>
      </c>
      <c r="I1100" s="48">
        <v>350000.0</v>
      </c>
      <c r="J1100" s="46">
        <f t="shared" ref="J1100:J1106" si="432">G1100*I1100</f>
        <v>700000</v>
      </c>
      <c r="K1100" s="46"/>
      <c r="L1100" s="26"/>
      <c r="M1100" s="46"/>
      <c r="N1100" s="61"/>
      <c r="O1100" s="75">
        <f t="shared" si="3"/>
        <v>700000</v>
      </c>
      <c r="P1100" s="75">
        <f t="shared" si="4"/>
        <v>700000</v>
      </c>
      <c r="Q1100" s="64"/>
      <c r="R1100" s="1"/>
      <c r="S1100" s="1"/>
      <c r="T1100" s="1"/>
      <c r="U1100" s="1"/>
      <c r="V1100" s="1"/>
      <c r="W1100" s="1"/>
      <c r="X1100" s="1"/>
      <c r="Y1100" s="1"/>
      <c r="Z1100" s="1"/>
    </row>
    <row r="1101" ht="14.25" customHeight="1">
      <c r="A1101" s="61"/>
      <c r="B1101" s="91"/>
      <c r="C1101" s="67"/>
      <c r="D1101" s="22"/>
      <c r="E1101" s="59" t="s">
        <v>103</v>
      </c>
      <c r="F1101" s="59"/>
      <c r="G1101" s="36">
        <v>2.0</v>
      </c>
      <c r="H1101" s="36" t="s">
        <v>95</v>
      </c>
      <c r="I1101" s="48">
        <v>225000.0</v>
      </c>
      <c r="J1101" s="46">
        <f t="shared" si="432"/>
        <v>450000</v>
      </c>
      <c r="K1101" s="46"/>
      <c r="L1101" s="26"/>
      <c r="M1101" s="46"/>
      <c r="N1101" s="61"/>
      <c r="O1101" s="75">
        <f t="shared" si="3"/>
        <v>450000</v>
      </c>
      <c r="P1101" s="75">
        <f t="shared" si="4"/>
        <v>450000</v>
      </c>
      <c r="Q1101" s="64"/>
      <c r="R1101" s="1"/>
      <c r="S1101" s="1"/>
      <c r="T1101" s="1"/>
      <c r="U1101" s="1"/>
      <c r="V1101" s="1"/>
      <c r="W1101" s="1"/>
      <c r="X1101" s="1"/>
      <c r="Y1101" s="1"/>
      <c r="Z1101" s="1"/>
    </row>
    <row r="1102" ht="14.25" customHeight="1">
      <c r="A1102" s="61"/>
      <c r="B1102" s="91"/>
      <c r="C1102" s="67"/>
      <c r="D1102" s="22"/>
      <c r="E1102" s="59" t="s">
        <v>104</v>
      </c>
      <c r="F1102" s="59"/>
      <c r="G1102" s="36">
        <v>2.0</v>
      </c>
      <c r="H1102" s="36" t="s">
        <v>95</v>
      </c>
      <c r="I1102" s="48">
        <v>450000.0</v>
      </c>
      <c r="J1102" s="46">
        <f t="shared" si="432"/>
        <v>900000</v>
      </c>
      <c r="K1102" s="46"/>
      <c r="L1102" s="26"/>
      <c r="M1102" s="46"/>
      <c r="N1102" s="61"/>
      <c r="O1102" s="75">
        <f t="shared" si="3"/>
        <v>900000</v>
      </c>
      <c r="P1102" s="75">
        <f t="shared" si="4"/>
        <v>900000</v>
      </c>
      <c r="Q1102" s="64"/>
      <c r="R1102" s="1"/>
      <c r="S1102" s="1"/>
      <c r="T1102" s="1"/>
      <c r="U1102" s="1"/>
      <c r="V1102" s="1"/>
      <c r="W1102" s="1"/>
      <c r="X1102" s="1"/>
      <c r="Y1102" s="1"/>
      <c r="Z1102" s="1"/>
    </row>
    <row r="1103" ht="14.25" customHeight="1">
      <c r="A1103" s="61"/>
      <c r="B1103" s="91"/>
      <c r="C1103" s="67"/>
      <c r="D1103" s="22"/>
      <c r="E1103" s="59" t="s">
        <v>105</v>
      </c>
      <c r="F1103" s="59"/>
      <c r="G1103" s="36">
        <v>2.0</v>
      </c>
      <c r="H1103" s="36" t="s">
        <v>95</v>
      </c>
      <c r="I1103" s="48">
        <v>250000.0</v>
      </c>
      <c r="J1103" s="46">
        <f t="shared" si="432"/>
        <v>500000</v>
      </c>
      <c r="K1103" s="46"/>
      <c r="L1103" s="26"/>
      <c r="M1103" s="46"/>
      <c r="N1103" s="61"/>
      <c r="O1103" s="75">
        <f t="shared" si="3"/>
        <v>500000</v>
      </c>
      <c r="P1103" s="75">
        <f t="shared" si="4"/>
        <v>500000</v>
      </c>
      <c r="Q1103" s="64"/>
      <c r="R1103" s="1"/>
      <c r="S1103" s="1"/>
      <c r="T1103" s="1"/>
      <c r="U1103" s="1"/>
      <c r="V1103" s="1"/>
      <c r="W1103" s="1"/>
      <c r="X1103" s="1"/>
      <c r="Y1103" s="1"/>
      <c r="Z1103" s="1"/>
    </row>
    <row r="1104" ht="14.25" customHeight="1">
      <c r="A1104" s="61"/>
      <c r="B1104" s="91"/>
      <c r="C1104" s="67"/>
      <c r="D1104" s="22"/>
      <c r="E1104" s="59" t="s">
        <v>106</v>
      </c>
      <c r="F1104" s="59"/>
      <c r="G1104" s="36">
        <v>2.0</v>
      </c>
      <c r="H1104" s="36" t="s">
        <v>95</v>
      </c>
      <c r="I1104" s="48">
        <v>100000.0</v>
      </c>
      <c r="J1104" s="46">
        <f t="shared" si="432"/>
        <v>200000</v>
      </c>
      <c r="K1104" s="46"/>
      <c r="L1104" s="26"/>
      <c r="M1104" s="46"/>
      <c r="N1104" s="61"/>
      <c r="O1104" s="75">
        <f t="shared" si="3"/>
        <v>200000</v>
      </c>
      <c r="P1104" s="75">
        <f t="shared" si="4"/>
        <v>200000</v>
      </c>
      <c r="Q1104" s="64"/>
      <c r="R1104" s="1"/>
      <c r="S1104" s="1"/>
      <c r="T1104" s="1"/>
      <c r="U1104" s="1"/>
      <c r="V1104" s="1"/>
      <c r="W1104" s="1"/>
      <c r="X1104" s="1"/>
      <c r="Y1104" s="1"/>
      <c r="Z1104" s="1"/>
    </row>
    <row r="1105" ht="14.25" customHeight="1">
      <c r="A1105" s="61"/>
      <c r="B1105" s="91"/>
      <c r="C1105" s="67"/>
      <c r="D1105" s="22"/>
      <c r="E1105" s="59" t="s">
        <v>107</v>
      </c>
      <c r="F1105" s="59"/>
      <c r="G1105" s="36">
        <v>2.0</v>
      </c>
      <c r="H1105" s="36" t="s">
        <v>95</v>
      </c>
      <c r="I1105" s="48">
        <v>725000.0</v>
      </c>
      <c r="J1105" s="46">
        <f t="shared" si="432"/>
        <v>1450000</v>
      </c>
      <c r="K1105" s="46"/>
      <c r="L1105" s="26"/>
      <c r="M1105" s="46"/>
      <c r="N1105" s="61"/>
      <c r="O1105" s="75">
        <f t="shared" si="3"/>
        <v>1450000</v>
      </c>
      <c r="P1105" s="75">
        <f t="shared" si="4"/>
        <v>1450000</v>
      </c>
      <c r="Q1105" s="64"/>
      <c r="R1105" s="1"/>
      <c r="S1105" s="1"/>
      <c r="T1105" s="1"/>
      <c r="U1105" s="1"/>
      <c r="V1105" s="1"/>
      <c r="W1105" s="1"/>
      <c r="X1105" s="1"/>
      <c r="Y1105" s="1"/>
      <c r="Z1105" s="1"/>
    </row>
    <row r="1106" ht="14.25" customHeight="1">
      <c r="A1106" s="61"/>
      <c r="B1106" s="91"/>
      <c r="C1106" s="67"/>
      <c r="D1106" s="22"/>
      <c r="E1106" s="59" t="s">
        <v>108</v>
      </c>
      <c r="F1106" s="59"/>
      <c r="G1106" s="36">
        <v>2.0</v>
      </c>
      <c r="H1106" s="36" t="s">
        <v>95</v>
      </c>
      <c r="I1106" s="48">
        <v>700000.0</v>
      </c>
      <c r="J1106" s="46">
        <f t="shared" si="432"/>
        <v>1400000</v>
      </c>
      <c r="K1106" s="46"/>
      <c r="L1106" s="26"/>
      <c r="M1106" s="46"/>
      <c r="N1106" s="61"/>
      <c r="O1106" s="75">
        <f t="shared" si="3"/>
        <v>1400000</v>
      </c>
      <c r="P1106" s="75">
        <f t="shared" si="4"/>
        <v>1400000</v>
      </c>
      <c r="Q1106" s="64"/>
      <c r="R1106" s="1"/>
      <c r="S1106" s="1"/>
      <c r="T1106" s="1"/>
      <c r="U1106" s="1"/>
      <c r="V1106" s="1"/>
      <c r="W1106" s="1"/>
      <c r="X1106" s="1"/>
      <c r="Y1106" s="1"/>
      <c r="Z1106" s="1"/>
    </row>
    <row r="1107" ht="9.75" customHeight="1">
      <c r="A1107" s="61"/>
      <c r="B1107" s="61"/>
      <c r="C1107" s="35" t="s">
        <v>68</v>
      </c>
      <c r="D1107" s="13"/>
      <c r="E1107" s="59" t="s">
        <v>69</v>
      </c>
      <c r="F1107" s="59"/>
      <c r="G1107" s="22"/>
      <c r="H1107" s="22"/>
      <c r="I1107" s="22"/>
      <c r="J1107" s="46">
        <f t="shared" ref="J1107:K1107" si="433">SUM(J1109:J1112)</f>
        <v>1160000</v>
      </c>
      <c r="K1107" s="46">
        <f t="shared" si="433"/>
        <v>0</v>
      </c>
      <c r="L1107" s="26"/>
      <c r="M1107" s="46">
        <f>SUM(M1109:M1112)</f>
        <v>0</v>
      </c>
      <c r="N1107" s="61"/>
      <c r="O1107" s="75">
        <f t="shared" si="3"/>
        <v>1160000</v>
      </c>
      <c r="P1107" s="75">
        <f t="shared" si="4"/>
        <v>1160000</v>
      </c>
      <c r="Q1107" s="64"/>
      <c r="R1107" s="1"/>
      <c r="S1107" s="1"/>
      <c r="T1107" s="1"/>
      <c r="U1107" s="1"/>
      <c r="V1107" s="1"/>
      <c r="W1107" s="1"/>
      <c r="X1107" s="1"/>
      <c r="Y1107" s="1"/>
      <c r="Z1107" s="1"/>
    </row>
    <row r="1108" ht="9.75" customHeight="1">
      <c r="A1108" s="61"/>
      <c r="B1108" s="91"/>
      <c r="C1108" s="67"/>
      <c r="D1108" s="22"/>
      <c r="E1108" s="59" t="s">
        <v>23</v>
      </c>
      <c r="F1108" s="59"/>
      <c r="G1108" s="22"/>
      <c r="H1108" s="22"/>
      <c r="I1108" s="22"/>
      <c r="J1108" s="22"/>
      <c r="K1108" s="22"/>
      <c r="L1108" s="26"/>
      <c r="M1108" s="22"/>
      <c r="N1108" s="61"/>
      <c r="O1108" s="75">
        <f t="shared" si="3"/>
        <v>0</v>
      </c>
      <c r="P1108" s="75">
        <f t="shared" si="4"/>
        <v>0</v>
      </c>
      <c r="Q1108" s="64"/>
      <c r="R1108" s="1"/>
      <c r="S1108" s="1"/>
      <c r="T1108" s="1"/>
      <c r="U1108" s="1"/>
      <c r="V1108" s="1"/>
      <c r="W1108" s="1"/>
      <c r="X1108" s="1"/>
      <c r="Y1108" s="1"/>
      <c r="Z1108" s="1"/>
    </row>
    <row r="1109" ht="14.25" customHeight="1">
      <c r="A1109" s="61"/>
      <c r="B1109" s="91"/>
      <c r="C1109" s="67"/>
      <c r="D1109" s="22"/>
      <c r="E1109" s="59" t="s">
        <v>109</v>
      </c>
      <c r="F1109" s="59"/>
      <c r="G1109" s="36">
        <v>10.0</v>
      </c>
      <c r="H1109" s="36" t="s">
        <v>95</v>
      </c>
      <c r="I1109" s="48">
        <v>50000.0</v>
      </c>
      <c r="J1109" s="46">
        <f t="shared" ref="J1109:J1112" si="434">G1109*I1109</f>
        <v>500000</v>
      </c>
      <c r="K1109" s="46"/>
      <c r="L1109" s="26"/>
      <c r="M1109" s="46"/>
      <c r="N1109" s="61"/>
      <c r="O1109" s="75">
        <f t="shared" si="3"/>
        <v>500000</v>
      </c>
      <c r="P1109" s="75">
        <f t="shared" si="4"/>
        <v>500000</v>
      </c>
      <c r="Q1109" s="64"/>
      <c r="R1109" s="1"/>
      <c r="S1109" s="1"/>
      <c r="T1109" s="1"/>
      <c r="U1109" s="1"/>
      <c r="V1109" s="1"/>
      <c r="W1109" s="1"/>
      <c r="X1109" s="1"/>
      <c r="Y1109" s="1"/>
      <c r="Z1109" s="1"/>
    </row>
    <row r="1110" ht="14.25" customHeight="1">
      <c r="A1110" s="61"/>
      <c r="B1110" s="91"/>
      <c r="C1110" s="67"/>
      <c r="D1110" s="22"/>
      <c r="E1110" s="59" t="s">
        <v>110</v>
      </c>
      <c r="F1110" s="59"/>
      <c r="G1110" s="36">
        <v>2.0</v>
      </c>
      <c r="H1110" s="36" t="s">
        <v>95</v>
      </c>
      <c r="I1110" s="48">
        <v>100000.0</v>
      </c>
      <c r="J1110" s="46">
        <f t="shared" si="434"/>
        <v>200000</v>
      </c>
      <c r="K1110" s="46"/>
      <c r="L1110" s="26"/>
      <c r="M1110" s="46"/>
      <c r="N1110" s="61"/>
      <c r="O1110" s="75">
        <f t="shared" si="3"/>
        <v>200000</v>
      </c>
      <c r="P1110" s="75">
        <f t="shared" si="4"/>
        <v>200000</v>
      </c>
      <c r="Q1110" s="64"/>
      <c r="R1110" s="1"/>
      <c r="S1110" s="1"/>
      <c r="T1110" s="1"/>
      <c r="U1110" s="1"/>
      <c r="V1110" s="1"/>
      <c r="W1110" s="1"/>
      <c r="X1110" s="1"/>
      <c r="Y1110" s="1"/>
      <c r="Z1110" s="1"/>
    </row>
    <row r="1111" ht="14.25" customHeight="1">
      <c r="A1111" s="61"/>
      <c r="B1111" s="91"/>
      <c r="C1111" s="67"/>
      <c r="D1111" s="22"/>
      <c r="E1111" s="59" t="s">
        <v>111</v>
      </c>
      <c r="F1111" s="59"/>
      <c r="G1111" s="36">
        <v>2.0</v>
      </c>
      <c r="H1111" s="36" t="s">
        <v>95</v>
      </c>
      <c r="I1111" s="48">
        <v>200000.0</v>
      </c>
      <c r="J1111" s="46">
        <f t="shared" si="434"/>
        <v>400000</v>
      </c>
      <c r="K1111" s="46"/>
      <c r="L1111" s="26"/>
      <c r="M1111" s="46"/>
      <c r="N1111" s="61"/>
      <c r="O1111" s="75">
        <f t="shared" si="3"/>
        <v>400000</v>
      </c>
      <c r="P1111" s="75">
        <f t="shared" si="4"/>
        <v>400000</v>
      </c>
      <c r="Q1111" s="64"/>
      <c r="R1111" s="1"/>
      <c r="S1111" s="1"/>
      <c r="T1111" s="1"/>
      <c r="U1111" s="1"/>
      <c r="V1111" s="1"/>
      <c r="W1111" s="1"/>
      <c r="X1111" s="1"/>
      <c r="Y1111" s="1"/>
      <c r="Z1111" s="1"/>
    </row>
    <row r="1112" ht="14.25" customHeight="1">
      <c r="A1112" s="61"/>
      <c r="B1112" s="91"/>
      <c r="C1112" s="67"/>
      <c r="D1112" s="22"/>
      <c r="E1112" s="59" t="s">
        <v>112</v>
      </c>
      <c r="F1112" s="59"/>
      <c r="G1112" s="36">
        <v>2.0</v>
      </c>
      <c r="H1112" s="36" t="s">
        <v>95</v>
      </c>
      <c r="I1112" s="48">
        <v>30000.0</v>
      </c>
      <c r="J1112" s="46">
        <f t="shared" si="434"/>
        <v>60000</v>
      </c>
      <c r="K1112" s="46"/>
      <c r="L1112" s="26"/>
      <c r="M1112" s="46"/>
      <c r="N1112" s="61"/>
      <c r="O1112" s="75">
        <f t="shared" si="3"/>
        <v>60000</v>
      </c>
      <c r="P1112" s="75">
        <f t="shared" si="4"/>
        <v>60000</v>
      </c>
      <c r="Q1112" s="64"/>
      <c r="R1112" s="1"/>
      <c r="S1112" s="1"/>
      <c r="T1112" s="1"/>
      <c r="U1112" s="1"/>
      <c r="V1112" s="1"/>
      <c r="W1112" s="1"/>
      <c r="X1112" s="1"/>
      <c r="Y1112" s="1"/>
      <c r="Z1112" s="1"/>
    </row>
    <row r="1113" ht="9.75" customHeight="1">
      <c r="A1113" s="61"/>
      <c r="B1113" s="61"/>
      <c r="C1113" s="41" t="s">
        <v>113</v>
      </c>
      <c r="D1113" s="13"/>
      <c r="E1113" s="59" t="s">
        <v>114</v>
      </c>
      <c r="F1113" s="59"/>
      <c r="G1113" s="22"/>
      <c r="H1113" s="22"/>
      <c r="I1113" s="22"/>
      <c r="J1113" s="43">
        <f t="shared" ref="J1113:K1113" si="435">J1114</f>
        <v>410750000</v>
      </c>
      <c r="K1113" s="43">
        <f t="shared" si="435"/>
        <v>0</v>
      </c>
      <c r="L1113" s="26"/>
      <c r="M1113" s="43">
        <f>M1114</f>
        <v>15510000</v>
      </c>
      <c r="N1113" s="61"/>
      <c r="O1113" s="75">
        <f t="shared" si="3"/>
        <v>410750000</v>
      </c>
      <c r="P1113" s="75">
        <f t="shared" si="4"/>
        <v>395240000</v>
      </c>
      <c r="Q1113" s="64"/>
      <c r="R1113" s="1"/>
      <c r="S1113" s="1"/>
      <c r="T1113" s="1"/>
      <c r="U1113" s="1"/>
      <c r="V1113" s="1"/>
      <c r="W1113" s="1"/>
      <c r="X1113" s="1"/>
      <c r="Y1113" s="1"/>
      <c r="Z1113" s="1"/>
    </row>
    <row r="1114" ht="9.75" customHeight="1">
      <c r="A1114" s="61"/>
      <c r="B1114" s="61"/>
      <c r="C1114" s="35" t="s">
        <v>68</v>
      </c>
      <c r="D1114" s="13"/>
      <c r="E1114" s="59" t="s">
        <v>69</v>
      </c>
      <c r="F1114" s="59"/>
      <c r="G1114" s="22"/>
      <c r="H1114" s="22"/>
      <c r="I1114" s="22"/>
      <c r="J1114" s="46">
        <f t="shared" ref="J1114:K1114" si="436">SUM(J1116:J1126)</f>
        <v>410750000</v>
      </c>
      <c r="K1114" s="46">
        <f t="shared" si="436"/>
        <v>0</v>
      </c>
      <c r="L1114" s="26"/>
      <c r="M1114" s="46">
        <f>SUM(M1116:M1126)</f>
        <v>15510000</v>
      </c>
      <c r="N1114" s="61"/>
      <c r="O1114" s="75">
        <f t="shared" si="3"/>
        <v>410750000</v>
      </c>
      <c r="P1114" s="75">
        <f t="shared" si="4"/>
        <v>395240000</v>
      </c>
      <c r="Q1114" s="64"/>
      <c r="R1114" s="1"/>
      <c r="S1114" s="1"/>
      <c r="T1114" s="1"/>
      <c r="U1114" s="1"/>
      <c r="V1114" s="1"/>
      <c r="W1114" s="1"/>
      <c r="X1114" s="1"/>
      <c r="Y1114" s="1"/>
      <c r="Z1114" s="1"/>
    </row>
    <row r="1115" ht="9.75" customHeight="1">
      <c r="A1115" s="61"/>
      <c r="B1115" s="91"/>
      <c r="C1115" s="67"/>
      <c r="D1115" s="22"/>
      <c r="E1115" s="59" t="s">
        <v>23</v>
      </c>
      <c r="F1115" s="59"/>
      <c r="G1115" s="22"/>
      <c r="H1115" s="22"/>
      <c r="I1115" s="22"/>
      <c r="J1115" s="22"/>
      <c r="K1115" s="22"/>
      <c r="L1115" s="26"/>
      <c r="M1115" s="22"/>
      <c r="N1115" s="61"/>
      <c r="O1115" s="75">
        <f t="shared" si="3"/>
        <v>0</v>
      </c>
      <c r="P1115" s="75">
        <f t="shared" si="4"/>
        <v>0</v>
      </c>
      <c r="Q1115" s="64"/>
      <c r="R1115" s="1"/>
      <c r="S1115" s="1"/>
      <c r="T1115" s="1"/>
      <c r="U1115" s="1"/>
      <c r="V1115" s="1"/>
      <c r="W1115" s="1"/>
      <c r="X1115" s="1"/>
      <c r="Y1115" s="1"/>
      <c r="Z1115" s="1"/>
    </row>
    <row r="1116" ht="14.25" customHeight="1">
      <c r="A1116" s="61"/>
      <c r="B1116" s="91"/>
      <c r="C1116" s="67"/>
      <c r="D1116" s="22"/>
      <c r="E1116" s="59" t="s">
        <v>172</v>
      </c>
      <c r="F1116" s="59"/>
      <c r="G1116" s="36">
        <v>100.0</v>
      </c>
      <c r="H1116" s="36" t="s">
        <v>95</v>
      </c>
      <c r="I1116" s="48">
        <v>110000.0</v>
      </c>
      <c r="J1116" s="46">
        <f t="shared" ref="J1116:J1126" si="437">G1116*I1116</f>
        <v>11000000</v>
      </c>
      <c r="K1116" s="46"/>
      <c r="L1116" s="26"/>
      <c r="M1116" s="46"/>
      <c r="N1116" s="61"/>
      <c r="O1116" s="75">
        <f t="shared" si="3"/>
        <v>11000000</v>
      </c>
      <c r="P1116" s="75">
        <f t="shared" si="4"/>
        <v>11000000</v>
      </c>
      <c r="Q1116" s="64"/>
      <c r="R1116" s="1"/>
      <c r="S1116" s="1"/>
      <c r="T1116" s="1"/>
      <c r="U1116" s="1"/>
      <c r="V1116" s="1"/>
      <c r="W1116" s="1"/>
      <c r="X1116" s="1"/>
      <c r="Y1116" s="1"/>
      <c r="Z1116" s="1"/>
    </row>
    <row r="1117" ht="14.25" customHeight="1">
      <c r="A1117" s="61"/>
      <c r="B1117" s="91"/>
      <c r="C1117" s="67"/>
      <c r="D1117" s="22"/>
      <c r="E1117" s="59" t="s">
        <v>173</v>
      </c>
      <c r="F1117" s="59"/>
      <c r="G1117" s="36">
        <v>100.0</v>
      </c>
      <c r="H1117" s="36" t="s">
        <v>95</v>
      </c>
      <c r="I1117" s="48">
        <v>120000.0</v>
      </c>
      <c r="J1117" s="46">
        <f t="shared" si="437"/>
        <v>12000000</v>
      </c>
      <c r="K1117" s="46"/>
      <c r="L1117" s="26"/>
      <c r="M1117" s="46"/>
      <c r="N1117" s="61"/>
      <c r="O1117" s="75">
        <f t="shared" si="3"/>
        <v>12000000</v>
      </c>
      <c r="P1117" s="75">
        <f t="shared" si="4"/>
        <v>12000000</v>
      </c>
      <c r="Q1117" s="64"/>
      <c r="R1117" s="1"/>
      <c r="S1117" s="1"/>
      <c r="T1117" s="1"/>
      <c r="U1117" s="1"/>
      <c r="V1117" s="1"/>
      <c r="W1117" s="1"/>
      <c r="X1117" s="1"/>
      <c r="Y1117" s="1"/>
      <c r="Z1117" s="1"/>
    </row>
    <row r="1118" ht="14.25" customHeight="1">
      <c r="A1118" s="61"/>
      <c r="B1118" s="91"/>
      <c r="C1118" s="67"/>
      <c r="D1118" s="22"/>
      <c r="E1118" s="59" t="s">
        <v>174</v>
      </c>
      <c r="F1118" s="59"/>
      <c r="G1118" s="36">
        <v>100.0</v>
      </c>
      <c r="H1118" s="36" t="s">
        <v>95</v>
      </c>
      <c r="I1118" s="48">
        <v>150000.0</v>
      </c>
      <c r="J1118" s="46">
        <f t="shared" si="437"/>
        <v>15000000</v>
      </c>
      <c r="K1118" s="46"/>
      <c r="L1118" s="26"/>
      <c r="M1118" s="46"/>
      <c r="N1118" s="61"/>
      <c r="O1118" s="75">
        <f t="shared" si="3"/>
        <v>15000000</v>
      </c>
      <c r="P1118" s="75">
        <f t="shared" si="4"/>
        <v>15000000</v>
      </c>
      <c r="Q1118" s="64"/>
      <c r="R1118" s="1"/>
      <c r="S1118" s="1"/>
      <c r="T1118" s="1"/>
      <c r="U1118" s="1"/>
      <c r="V1118" s="1"/>
      <c r="W1118" s="1"/>
      <c r="X1118" s="1"/>
      <c r="Y1118" s="1"/>
      <c r="Z1118" s="1"/>
    </row>
    <row r="1119" ht="14.25" customHeight="1">
      <c r="A1119" s="61"/>
      <c r="B1119" s="91"/>
      <c r="C1119" s="67"/>
      <c r="D1119" s="22"/>
      <c r="E1119" s="59" t="s">
        <v>175</v>
      </c>
      <c r="F1119" s="59"/>
      <c r="G1119" s="36">
        <v>100.0</v>
      </c>
      <c r="H1119" s="36" t="s">
        <v>95</v>
      </c>
      <c r="I1119" s="48">
        <v>100000.0</v>
      </c>
      <c r="J1119" s="46">
        <f t="shared" si="437"/>
        <v>10000000</v>
      </c>
      <c r="K1119" s="46"/>
      <c r="L1119" s="26"/>
      <c r="M1119" s="46"/>
      <c r="N1119" s="61"/>
      <c r="O1119" s="75">
        <f t="shared" si="3"/>
        <v>10000000</v>
      </c>
      <c r="P1119" s="75">
        <f t="shared" si="4"/>
        <v>10000000</v>
      </c>
      <c r="Q1119" s="64"/>
      <c r="R1119" s="1"/>
      <c r="S1119" s="1"/>
      <c r="T1119" s="1"/>
      <c r="U1119" s="1"/>
      <c r="V1119" s="1"/>
      <c r="W1119" s="1"/>
      <c r="X1119" s="1"/>
      <c r="Y1119" s="1"/>
      <c r="Z1119" s="1"/>
    </row>
    <row r="1120" ht="14.25" customHeight="1">
      <c r="A1120" s="61"/>
      <c r="B1120" s="91"/>
      <c r="C1120" s="67"/>
      <c r="D1120" s="22"/>
      <c r="E1120" s="59" t="s">
        <v>176</v>
      </c>
      <c r="F1120" s="59"/>
      <c r="G1120" s="36">
        <v>100.0</v>
      </c>
      <c r="H1120" s="36" t="s">
        <v>95</v>
      </c>
      <c r="I1120" s="48">
        <v>350000.0</v>
      </c>
      <c r="J1120" s="46">
        <f t="shared" si="437"/>
        <v>35000000</v>
      </c>
      <c r="K1120" s="46"/>
      <c r="L1120" s="26"/>
      <c r="M1120" s="46"/>
      <c r="N1120" s="61"/>
      <c r="O1120" s="75">
        <f t="shared" si="3"/>
        <v>35000000</v>
      </c>
      <c r="P1120" s="75">
        <f t="shared" si="4"/>
        <v>35000000</v>
      </c>
      <c r="Q1120" s="64"/>
      <c r="R1120" s="1"/>
      <c r="S1120" s="1"/>
      <c r="T1120" s="1"/>
      <c r="U1120" s="1"/>
      <c r="V1120" s="1"/>
      <c r="W1120" s="1"/>
      <c r="X1120" s="1"/>
      <c r="Y1120" s="1"/>
      <c r="Z1120" s="1"/>
    </row>
    <row r="1121" ht="14.25" customHeight="1">
      <c r="A1121" s="61"/>
      <c r="B1121" s="91"/>
      <c r="C1121" s="67"/>
      <c r="D1121" s="22"/>
      <c r="E1121" s="59" t="s">
        <v>177</v>
      </c>
      <c r="F1121" s="59"/>
      <c r="G1121" s="36">
        <v>50.0</v>
      </c>
      <c r="H1121" s="36" t="s">
        <v>95</v>
      </c>
      <c r="I1121" s="48">
        <v>175000.0</v>
      </c>
      <c r="J1121" s="46">
        <f t="shared" si="437"/>
        <v>8750000</v>
      </c>
      <c r="K1121" s="46"/>
      <c r="L1121" s="26"/>
      <c r="M1121" s="46"/>
      <c r="N1121" s="61"/>
      <c r="O1121" s="75">
        <f t="shared" si="3"/>
        <v>8750000</v>
      </c>
      <c r="P1121" s="75">
        <f t="shared" si="4"/>
        <v>8750000</v>
      </c>
      <c r="Q1121" s="64"/>
      <c r="R1121" s="1"/>
      <c r="S1121" s="1"/>
      <c r="T1121" s="1"/>
      <c r="U1121" s="1"/>
      <c r="V1121" s="1"/>
      <c r="W1121" s="1"/>
      <c r="X1121" s="1"/>
      <c r="Y1121" s="1"/>
      <c r="Z1121" s="1"/>
    </row>
    <row r="1122" ht="14.25" customHeight="1">
      <c r="A1122" s="61"/>
      <c r="B1122" s="91"/>
      <c r="C1122" s="67"/>
      <c r="D1122" s="22"/>
      <c r="E1122" s="59" t="s">
        <v>178</v>
      </c>
      <c r="F1122" s="59"/>
      <c r="G1122" s="36">
        <v>350.0</v>
      </c>
      <c r="H1122" s="36" t="s">
        <v>95</v>
      </c>
      <c r="I1122" s="48">
        <v>150000.0</v>
      </c>
      <c r="J1122" s="46">
        <f t="shared" si="437"/>
        <v>52500000</v>
      </c>
      <c r="K1122" s="46"/>
      <c r="L1122" s="26"/>
      <c r="M1122" s="46"/>
      <c r="N1122" s="61"/>
      <c r="O1122" s="75">
        <f t="shared" si="3"/>
        <v>52500000</v>
      </c>
      <c r="P1122" s="75">
        <f t="shared" si="4"/>
        <v>52500000</v>
      </c>
      <c r="Q1122" s="64"/>
      <c r="R1122" s="1"/>
      <c r="S1122" s="1"/>
      <c r="T1122" s="1"/>
      <c r="U1122" s="1"/>
      <c r="V1122" s="1"/>
      <c r="W1122" s="1"/>
      <c r="X1122" s="1"/>
      <c r="Y1122" s="1"/>
      <c r="Z1122" s="1"/>
    </row>
    <row r="1123" ht="14.25" customHeight="1">
      <c r="A1123" s="61"/>
      <c r="B1123" s="91"/>
      <c r="C1123" s="67"/>
      <c r="D1123" s="22"/>
      <c r="E1123" s="59" t="s">
        <v>179</v>
      </c>
      <c r="F1123" s="59"/>
      <c r="G1123" s="36">
        <v>350.0</v>
      </c>
      <c r="H1123" s="36" t="s">
        <v>95</v>
      </c>
      <c r="I1123" s="48">
        <v>200000.0</v>
      </c>
      <c r="J1123" s="46">
        <f t="shared" si="437"/>
        <v>70000000</v>
      </c>
      <c r="K1123" s="46"/>
      <c r="L1123" s="26"/>
      <c r="M1123" s="46"/>
      <c r="N1123" s="61"/>
      <c r="O1123" s="75">
        <f t="shared" si="3"/>
        <v>70000000</v>
      </c>
      <c r="P1123" s="75">
        <f t="shared" si="4"/>
        <v>70000000</v>
      </c>
      <c r="Q1123" s="64"/>
      <c r="R1123" s="1"/>
      <c r="S1123" s="1"/>
      <c r="T1123" s="1"/>
      <c r="U1123" s="1"/>
      <c r="V1123" s="1"/>
      <c r="W1123" s="1"/>
      <c r="X1123" s="1"/>
      <c r="Y1123" s="1"/>
      <c r="Z1123" s="1"/>
    </row>
    <row r="1124" ht="14.25" customHeight="1">
      <c r="A1124" s="61"/>
      <c r="B1124" s="91"/>
      <c r="C1124" s="67"/>
      <c r="D1124" s="22"/>
      <c r="E1124" s="59" t="s">
        <v>180</v>
      </c>
      <c r="F1124" s="59"/>
      <c r="G1124" s="36">
        <v>600.0</v>
      </c>
      <c r="H1124" s="36" t="s">
        <v>95</v>
      </c>
      <c r="I1124" s="48">
        <v>250000.0</v>
      </c>
      <c r="J1124" s="46">
        <f t="shared" si="437"/>
        <v>150000000</v>
      </c>
      <c r="K1124" s="46"/>
      <c r="L1124" s="26"/>
      <c r="M1124" s="46">
        <v>1.486375E7</v>
      </c>
      <c r="N1124" s="61"/>
      <c r="O1124" s="75">
        <f t="shared" si="3"/>
        <v>150000000</v>
      </c>
      <c r="P1124" s="75">
        <f t="shared" si="4"/>
        <v>135136250</v>
      </c>
      <c r="Q1124" s="64"/>
      <c r="R1124" s="1"/>
      <c r="S1124" s="1"/>
      <c r="T1124" s="1"/>
      <c r="U1124" s="1"/>
      <c r="V1124" s="1"/>
      <c r="W1124" s="1"/>
      <c r="X1124" s="1"/>
      <c r="Y1124" s="1"/>
      <c r="Z1124" s="1"/>
    </row>
    <row r="1125" ht="14.25" customHeight="1">
      <c r="A1125" s="61"/>
      <c r="B1125" s="91"/>
      <c r="C1125" s="67"/>
      <c r="D1125" s="22"/>
      <c r="E1125" s="59" t="s">
        <v>181</v>
      </c>
      <c r="F1125" s="59"/>
      <c r="G1125" s="36">
        <v>360.0</v>
      </c>
      <c r="H1125" s="36" t="s">
        <v>95</v>
      </c>
      <c r="I1125" s="48">
        <v>100000.0</v>
      </c>
      <c r="J1125" s="46">
        <f t="shared" si="437"/>
        <v>36000000</v>
      </c>
      <c r="K1125" s="46"/>
      <c r="L1125" s="26"/>
      <c r="M1125" s="46">
        <v>646250.0</v>
      </c>
      <c r="N1125" s="61"/>
      <c r="O1125" s="75">
        <f t="shared" si="3"/>
        <v>36000000</v>
      </c>
      <c r="P1125" s="75">
        <f t="shared" si="4"/>
        <v>35353750</v>
      </c>
      <c r="Q1125" s="64"/>
      <c r="R1125" s="1"/>
      <c r="S1125" s="1"/>
      <c r="T1125" s="1"/>
      <c r="U1125" s="1"/>
      <c r="V1125" s="1"/>
      <c r="W1125" s="1"/>
      <c r="X1125" s="1"/>
      <c r="Y1125" s="1"/>
      <c r="Z1125" s="1"/>
    </row>
    <row r="1126" ht="14.25" customHeight="1">
      <c r="A1126" s="61"/>
      <c r="B1126" s="91"/>
      <c r="C1126" s="67"/>
      <c r="D1126" s="22"/>
      <c r="E1126" s="59" t="s">
        <v>182</v>
      </c>
      <c r="F1126" s="59"/>
      <c r="G1126" s="36">
        <v>210.0</v>
      </c>
      <c r="H1126" s="36" t="s">
        <v>95</v>
      </c>
      <c r="I1126" s="48">
        <v>50000.0</v>
      </c>
      <c r="J1126" s="46">
        <f t="shared" si="437"/>
        <v>10500000</v>
      </c>
      <c r="K1126" s="46"/>
      <c r="L1126" s="26"/>
      <c r="M1126" s="46"/>
      <c r="N1126" s="61"/>
      <c r="O1126" s="75">
        <f t="shared" si="3"/>
        <v>10500000</v>
      </c>
      <c r="P1126" s="75">
        <f t="shared" si="4"/>
        <v>10500000</v>
      </c>
      <c r="Q1126" s="64"/>
      <c r="R1126" s="1"/>
      <c r="S1126" s="1"/>
      <c r="T1126" s="1"/>
      <c r="U1126" s="1"/>
      <c r="V1126" s="1"/>
      <c r="W1126" s="1"/>
      <c r="X1126" s="1"/>
      <c r="Y1126" s="1"/>
      <c r="Z1126" s="1"/>
    </row>
    <row r="1127" ht="9.75" customHeight="1">
      <c r="A1127" s="61"/>
      <c r="B1127" s="61"/>
      <c r="C1127" s="41" t="s">
        <v>126</v>
      </c>
      <c r="D1127" s="13"/>
      <c r="E1127" s="59" t="s">
        <v>127</v>
      </c>
      <c r="F1127" s="59"/>
      <c r="G1127" s="22"/>
      <c r="H1127" s="22"/>
      <c r="I1127" s="22"/>
      <c r="J1127" s="43">
        <f t="shared" ref="J1127:K1127" si="438">J1128</f>
        <v>190740000</v>
      </c>
      <c r="K1127" s="43">
        <f t="shared" si="438"/>
        <v>0</v>
      </c>
      <c r="L1127" s="26"/>
      <c r="M1127" s="43">
        <f>M1128</f>
        <v>0</v>
      </c>
      <c r="N1127" s="61"/>
      <c r="O1127" s="75">
        <f t="shared" si="3"/>
        <v>190740000</v>
      </c>
      <c r="P1127" s="75">
        <f t="shared" si="4"/>
        <v>190740000</v>
      </c>
      <c r="Q1127" s="64"/>
      <c r="R1127" s="1"/>
      <c r="S1127" s="1"/>
      <c r="T1127" s="1"/>
      <c r="U1127" s="1"/>
      <c r="V1127" s="1"/>
      <c r="W1127" s="1"/>
      <c r="X1127" s="1"/>
      <c r="Y1127" s="1"/>
      <c r="Z1127" s="1"/>
    </row>
    <row r="1128" ht="9.75" customHeight="1">
      <c r="A1128" s="61"/>
      <c r="B1128" s="61"/>
      <c r="C1128" s="35" t="s">
        <v>68</v>
      </c>
      <c r="D1128" s="13"/>
      <c r="E1128" s="59" t="s">
        <v>69</v>
      </c>
      <c r="F1128" s="59"/>
      <c r="G1128" s="22"/>
      <c r="H1128" s="22"/>
      <c r="I1128" s="22"/>
      <c r="J1128" s="46">
        <f t="shared" ref="J1128:K1128" si="439">SUM(J1130:J1134)</f>
        <v>190740000</v>
      </c>
      <c r="K1128" s="46">
        <f t="shared" si="439"/>
        <v>0</v>
      </c>
      <c r="L1128" s="26"/>
      <c r="M1128" s="46">
        <f>SUM(M1130:M1134)</f>
        <v>0</v>
      </c>
      <c r="N1128" s="61"/>
      <c r="O1128" s="75">
        <f t="shared" si="3"/>
        <v>190740000</v>
      </c>
      <c r="P1128" s="75">
        <f t="shared" si="4"/>
        <v>190740000</v>
      </c>
      <c r="Q1128" s="64"/>
      <c r="R1128" s="1"/>
      <c r="S1128" s="1"/>
      <c r="T1128" s="1"/>
      <c r="U1128" s="1"/>
      <c r="V1128" s="1"/>
      <c r="W1128" s="1"/>
      <c r="X1128" s="1"/>
      <c r="Y1128" s="1"/>
      <c r="Z1128" s="1"/>
    </row>
    <row r="1129" ht="9.75" customHeight="1">
      <c r="A1129" s="61"/>
      <c r="B1129" s="91"/>
      <c r="C1129" s="67"/>
      <c r="D1129" s="22"/>
      <c r="E1129" s="59" t="s">
        <v>23</v>
      </c>
      <c r="F1129" s="59"/>
      <c r="G1129" s="22"/>
      <c r="H1129" s="22"/>
      <c r="I1129" s="22"/>
      <c r="J1129" s="22"/>
      <c r="K1129" s="22"/>
      <c r="L1129" s="26"/>
      <c r="M1129" s="22"/>
      <c r="N1129" s="61"/>
      <c r="O1129" s="75">
        <f t="shared" si="3"/>
        <v>0</v>
      </c>
      <c r="P1129" s="75">
        <f t="shared" si="4"/>
        <v>0</v>
      </c>
      <c r="Q1129" s="64"/>
      <c r="R1129" s="1"/>
      <c r="S1129" s="1"/>
      <c r="T1129" s="1"/>
      <c r="U1129" s="1"/>
      <c r="V1129" s="1"/>
      <c r="W1129" s="1"/>
      <c r="X1129" s="1"/>
      <c r="Y1129" s="1"/>
      <c r="Z1129" s="1"/>
    </row>
    <row r="1130" ht="14.25" customHeight="1">
      <c r="A1130" s="61"/>
      <c r="B1130" s="91"/>
      <c r="C1130" s="67"/>
      <c r="D1130" s="22"/>
      <c r="E1130" s="59" t="s">
        <v>128</v>
      </c>
      <c r="F1130" s="59"/>
      <c r="G1130" s="36">
        <v>88.0</v>
      </c>
      <c r="H1130" s="36" t="s">
        <v>233</v>
      </c>
      <c r="I1130" s="48">
        <v>110000.0</v>
      </c>
      <c r="J1130" s="46">
        <f t="shared" ref="J1130:J1134" si="440">G1130*I1130</f>
        <v>9680000</v>
      </c>
      <c r="K1130" s="46"/>
      <c r="L1130" s="26"/>
      <c r="M1130" s="46"/>
      <c r="N1130" s="61"/>
      <c r="O1130" s="75">
        <f t="shared" si="3"/>
        <v>9680000</v>
      </c>
      <c r="P1130" s="75">
        <f t="shared" si="4"/>
        <v>9680000</v>
      </c>
      <c r="Q1130" s="64"/>
      <c r="R1130" s="1"/>
      <c r="S1130" s="1"/>
      <c r="T1130" s="1"/>
      <c r="U1130" s="1"/>
      <c r="V1130" s="1"/>
      <c r="W1130" s="1"/>
      <c r="X1130" s="1"/>
      <c r="Y1130" s="1"/>
      <c r="Z1130" s="1"/>
    </row>
    <row r="1131" ht="14.25" customHeight="1">
      <c r="A1131" s="61"/>
      <c r="B1131" s="91"/>
      <c r="C1131" s="67"/>
      <c r="D1131" s="22"/>
      <c r="E1131" s="59" t="s">
        <v>130</v>
      </c>
      <c r="F1131" s="59"/>
      <c r="G1131" s="36">
        <v>88.0</v>
      </c>
      <c r="H1131" s="36" t="s">
        <v>233</v>
      </c>
      <c r="I1131" s="48">
        <v>120000.0</v>
      </c>
      <c r="J1131" s="46">
        <f t="shared" si="440"/>
        <v>10560000</v>
      </c>
      <c r="K1131" s="46"/>
      <c r="L1131" s="26"/>
      <c r="M1131" s="46"/>
      <c r="N1131" s="61"/>
      <c r="O1131" s="75">
        <f t="shared" si="3"/>
        <v>10560000</v>
      </c>
      <c r="P1131" s="75">
        <f t="shared" si="4"/>
        <v>10560000</v>
      </c>
      <c r="Q1131" s="64"/>
      <c r="R1131" s="1"/>
      <c r="S1131" s="1"/>
      <c r="T1131" s="1"/>
      <c r="U1131" s="1"/>
      <c r="V1131" s="1"/>
      <c r="W1131" s="1"/>
      <c r="X1131" s="1"/>
      <c r="Y1131" s="1"/>
      <c r="Z1131" s="1"/>
    </row>
    <row r="1132" ht="14.25" customHeight="1">
      <c r="A1132" s="61"/>
      <c r="B1132" s="91"/>
      <c r="C1132" s="67"/>
      <c r="D1132" s="22"/>
      <c r="E1132" s="59" t="s">
        <v>131</v>
      </c>
      <c r="F1132" s="59"/>
      <c r="G1132" s="36">
        <v>88.0</v>
      </c>
      <c r="H1132" s="36" t="s">
        <v>233</v>
      </c>
      <c r="I1132" s="48">
        <v>350000.0</v>
      </c>
      <c r="J1132" s="46">
        <f t="shared" si="440"/>
        <v>30800000</v>
      </c>
      <c r="K1132" s="46"/>
      <c r="L1132" s="26"/>
      <c r="M1132" s="46"/>
      <c r="N1132" s="61"/>
      <c r="O1132" s="75">
        <f t="shared" si="3"/>
        <v>30800000</v>
      </c>
      <c r="P1132" s="75">
        <f t="shared" si="4"/>
        <v>30800000</v>
      </c>
      <c r="Q1132" s="64"/>
      <c r="R1132" s="1"/>
      <c r="S1132" s="1"/>
      <c r="T1132" s="1"/>
      <c r="U1132" s="1"/>
      <c r="V1132" s="1"/>
      <c r="W1132" s="1"/>
      <c r="X1132" s="1"/>
      <c r="Y1132" s="1"/>
      <c r="Z1132" s="1"/>
    </row>
    <row r="1133" ht="14.25" customHeight="1">
      <c r="A1133" s="61"/>
      <c r="B1133" s="91"/>
      <c r="C1133" s="67"/>
      <c r="D1133" s="22"/>
      <c r="E1133" s="59" t="s">
        <v>132</v>
      </c>
      <c r="F1133" s="59"/>
      <c r="G1133" s="36">
        <v>44.0</v>
      </c>
      <c r="H1133" s="36" t="s">
        <v>233</v>
      </c>
      <c r="I1133" s="48">
        <v>175000.0</v>
      </c>
      <c r="J1133" s="46">
        <f t="shared" si="440"/>
        <v>7700000</v>
      </c>
      <c r="K1133" s="46"/>
      <c r="L1133" s="26"/>
      <c r="M1133" s="46"/>
      <c r="N1133" s="61"/>
      <c r="O1133" s="75">
        <f t="shared" si="3"/>
        <v>7700000</v>
      </c>
      <c r="P1133" s="75">
        <f t="shared" si="4"/>
        <v>7700000</v>
      </c>
      <c r="Q1133" s="64"/>
      <c r="R1133" s="1"/>
      <c r="S1133" s="1"/>
      <c r="T1133" s="1"/>
      <c r="U1133" s="1"/>
      <c r="V1133" s="1"/>
      <c r="W1133" s="1"/>
      <c r="X1133" s="1"/>
      <c r="Y1133" s="1"/>
      <c r="Z1133" s="1"/>
    </row>
    <row r="1134" ht="14.25" customHeight="1">
      <c r="A1134" s="61"/>
      <c r="B1134" s="91"/>
      <c r="C1134" s="67"/>
      <c r="D1134" s="22"/>
      <c r="E1134" s="59" t="s">
        <v>133</v>
      </c>
      <c r="F1134" s="59"/>
      <c r="G1134" s="36">
        <v>528.0</v>
      </c>
      <c r="H1134" s="36" t="s">
        <v>233</v>
      </c>
      <c r="I1134" s="48">
        <v>250000.0</v>
      </c>
      <c r="J1134" s="46">
        <f t="shared" si="440"/>
        <v>132000000</v>
      </c>
      <c r="K1134" s="46"/>
      <c r="L1134" s="26"/>
      <c r="M1134" s="46"/>
      <c r="N1134" s="61"/>
      <c r="O1134" s="75">
        <f t="shared" si="3"/>
        <v>132000000</v>
      </c>
      <c r="P1134" s="75">
        <f t="shared" si="4"/>
        <v>132000000</v>
      </c>
      <c r="Q1134" s="64"/>
      <c r="R1134" s="1"/>
      <c r="S1134" s="1"/>
      <c r="T1134" s="1"/>
      <c r="U1134" s="1"/>
      <c r="V1134" s="1"/>
      <c r="W1134" s="1"/>
      <c r="X1134" s="1"/>
      <c r="Y1134" s="1"/>
      <c r="Z1134" s="1"/>
    </row>
    <row r="1135" ht="9.75" customHeight="1">
      <c r="A1135" s="61"/>
      <c r="B1135" s="61"/>
      <c r="C1135" s="41" t="s">
        <v>134</v>
      </c>
      <c r="D1135" s="13"/>
      <c r="E1135" s="59" t="s">
        <v>135</v>
      </c>
      <c r="F1135" s="59"/>
      <c r="G1135" s="22"/>
      <c r="H1135" s="22"/>
      <c r="I1135" s="22"/>
      <c r="J1135" s="43">
        <f t="shared" ref="J1135:K1135" si="441">J1136</f>
        <v>20020000</v>
      </c>
      <c r="K1135" s="43">
        <f t="shared" si="441"/>
        <v>0</v>
      </c>
      <c r="L1135" s="26"/>
      <c r="M1135" s="43">
        <f>M1136</f>
        <v>0</v>
      </c>
      <c r="N1135" s="61"/>
      <c r="O1135" s="75">
        <f t="shared" si="3"/>
        <v>20020000</v>
      </c>
      <c r="P1135" s="75">
        <f t="shared" si="4"/>
        <v>20020000</v>
      </c>
      <c r="Q1135" s="64"/>
      <c r="R1135" s="1"/>
      <c r="S1135" s="1"/>
      <c r="T1135" s="1"/>
      <c r="U1135" s="1"/>
      <c r="V1135" s="1"/>
      <c r="W1135" s="1"/>
      <c r="X1135" s="1"/>
      <c r="Y1135" s="1"/>
      <c r="Z1135" s="1"/>
    </row>
    <row r="1136" ht="9.75" customHeight="1">
      <c r="A1136" s="61"/>
      <c r="B1136" s="61"/>
      <c r="C1136" s="35" t="s">
        <v>68</v>
      </c>
      <c r="D1136" s="13"/>
      <c r="E1136" s="59" t="s">
        <v>69</v>
      </c>
      <c r="F1136" s="59"/>
      <c r="G1136" s="22"/>
      <c r="H1136" s="22"/>
      <c r="I1136" s="22"/>
      <c r="J1136" s="46">
        <f t="shared" ref="J1136:K1136" si="442">SUM(J1138:J1142)</f>
        <v>20020000</v>
      </c>
      <c r="K1136" s="46">
        <f t="shared" si="442"/>
        <v>0</v>
      </c>
      <c r="L1136" s="26"/>
      <c r="M1136" s="46">
        <f>SUM(M1138:M1142)</f>
        <v>0</v>
      </c>
      <c r="N1136" s="61"/>
      <c r="O1136" s="75">
        <f t="shared" si="3"/>
        <v>20020000</v>
      </c>
      <c r="P1136" s="75">
        <f t="shared" si="4"/>
        <v>20020000</v>
      </c>
      <c r="Q1136" s="64"/>
      <c r="R1136" s="1"/>
      <c r="S1136" s="1"/>
      <c r="T1136" s="1"/>
      <c r="U1136" s="1"/>
      <c r="V1136" s="1"/>
      <c r="W1136" s="1"/>
      <c r="X1136" s="1"/>
      <c r="Y1136" s="1"/>
      <c r="Z1136" s="1"/>
    </row>
    <row r="1137" ht="9.75" customHeight="1">
      <c r="A1137" s="61"/>
      <c r="B1137" s="91"/>
      <c r="C1137" s="67"/>
      <c r="D1137" s="22"/>
      <c r="E1137" s="59" t="s">
        <v>23</v>
      </c>
      <c r="F1137" s="59"/>
      <c r="G1137" s="22"/>
      <c r="H1137" s="22"/>
      <c r="I1137" s="22"/>
      <c r="J1137" s="22"/>
      <c r="K1137" s="22"/>
      <c r="L1137" s="26"/>
      <c r="M1137" s="22"/>
      <c r="N1137" s="61"/>
      <c r="O1137" s="75">
        <f t="shared" si="3"/>
        <v>0</v>
      </c>
      <c r="P1137" s="75">
        <f t="shared" si="4"/>
        <v>0</v>
      </c>
      <c r="Q1137" s="64"/>
      <c r="R1137" s="1"/>
      <c r="S1137" s="1"/>
      <c r="T1137" s="1"/>
      <c r="U1137" s="1"/>
      <c r="V1137" s="1"/>
      <c r="W1137" s="1"/>
      <c r="X1137" s="1"/>
      <c r="Y1137" s="1"/>
      <c r="Z1137" s="1"/>
    </row>
    <row r="1138" ht="14.25" customHeight="1">
      <c r="A1138" s="61"/>
      <c r="B1138" s="91"/>
      <c r="C1138" s="67"/>
      <c r="D1138" s="22"/>
      <c r="E1138" s="59" t="s">
        <v>183</v>
      </c>
      <c r="F1138" s="59"/>
      <c r="G1138" s="36">
        <v>150.0</v>
      </c>
      <c r="H1138" s="36" t="s">
        <v>95</v>
      </c>
      <c r="I1138" s="48">
        <v>75000.0</v>
      </c>
      <c r="J1138" s="46">
        <f t="shared" ref="J1138:J1142" si="443">G1138*I1138</f>
        <v>11250000</v>
      </c>
      <c r="K1138" s="46"/>
      <c r="L1138" s="26"/>
      <c r="M1138" s="46"/>
      <c r="N1138" s="61"/>
      <c r="O1138" s="75">
        <f t="shared" si="3"/>
        <v>11250000</v>
      </c>
      <c r="P1138" s="75">
        <f t="shared" si="4"/>
        <v>11250000</v>
      </c>
      <c r="Q1138" s="64"/>
      <c r="R1138" s="1"/>
      <c r="S1138" s="1"/>
      <c r="T1138" s="1"/>
      <c r="U1138" s="1"/>
      <c r="V1138" s="1"/>
      <c r="W1138" s="1"/>
      <c r="X1138" s="1"/>
      <c r="Y1138" s="1"/>
      <c r="Z1138" s="1"/>
    </row>
    <row r="1139" ht="9.75" customHeight="1">
      <c r="A1139" s="61"/>
      <c r="B1139" s="91"/>
      <c r="C1139" s="67"/>
      <c r="D1139" s="22"/>
      <c r="E1139" s="59" t="s">
        <v>137</v>
      </c>
      <c r="F1139" s="59"/>
      <c r="G1139" s="36">
        <v>2.0</v>
      </c>
      <c r="H1139" s="36" t="s">
        <v>95</v>
      </c>
      <c r="I1139" s="48">
        <v>360000.0</v>
      </c>
      <c r="J1139" s="46">
        <f t="shared" si="443"/>
        <v>720000</v>
      </c>
      <c r="K1139" s="46"/>
      <c r="L1139" s="26"/>
      <c r="M1139" s="46"/>
      <c r="N1139" s="61"/>
      <c r="O1139" s="75">
        <f t="shared" si="3"/>
        <v>720000</v>
      </c>
      <c r="P1139" s="75">
        <f t="shared" si="4"/>
        <v>720000</v>
      </c>
      <c r="Q1139" s="64"/>
      <c r="R1139" s="1"/>
      <c r="S1139" s="1"/>
      <c r="T1139" s="1"/>
      <c r="U1139" s="1"/>
      <c r="V1139" s="1"/>
      <c r="W1139" s="1"/>
      <c r="X1139" s="1"/>
      <c r="Y1139" s="1"/>
      <c r="Z1139" s="1"/>
    </row>
    <row r="1140" ht="14.25" customHeight="1">
      <c r="A1140" s="61"/>
      <c r="B1140" s="91"/>
      <c r="C1140" s="67"/>
      <c r="D1140" s="22"/>
      <c r="E1140" s="59" t="s">
        <v>184</v>
      </c>
      <c r="F1140" s="59"/>
      <c r="G1140" s="36">
        <v>50.0</v>
      </c>
      <c r="H1140" s="36" t="s">
        <v>95</v>
      </c>
      <c r="I1140" s="48">
        <v>93000.0</v>
      </c>
      <c r="J1140" s="46">
        <f t="shared" si="443"/>
        <v>4650000</v>
      </c>
      <c r="K1140" s="46"/>
      <c r="L1140" s="26"/>
      <c r="M1140" s="46"/>
      <c r="N1140" s="61"/>
      <c r="O1140" s="75">
        <f t="shared" si="3"/>
        <v>4650000</v>
      </c>
      <c r="P1140" s="75">
        <f t="shared" si="4"/>
        <v>4650000</v>
      </c>
      <c r="Q1140" s="64"/>
      <c r="R1140" s="1"/>
      <c r="S1140" s="1"/>
      <c r="T1140" s="1"/>
      <c r="U1140" s="1"/>
      <c r="V1140" s="1"/>
      <c r="W1140" s="1"/>
      <c r="X1140" s="1"/>
      <c r="Y1140" s="1"/>
      <c r="Z1140" s="1"/>
    </row>
    <row r="1141" ht="14.25" customHeight="1">
      <c r="A1141" s="61"/>
      <c r="B1141" s="91"/>
      <c r="C1141" s="67"/>
      <c r="D1141" s="22"/>
      <c r="E1141" s="59" t="s">
        <v>185</v>
      </c>
      <c r="F1141" s="59"/>
      <c r="G1141" s="36">
        <v>50.0</v>
      </c>
      <c r="H1141" s="36" t="s">
        <v>95</v>
      </c>
      <c r="I1141" s="48">
        <v>53000.0</v>
      </c>
      <c r="J1141" s="46">
        <f t="shared" si="443"/>
        <v>2650000</v>
      </c>
      <c r="K1141" s="46"/>
      <c r="L1141" s="26"/>
      <c r="M1141" s="46"/>
      <c r="N1141" s="61"/>
      <c r="O1141" s="75">
        <f t="shared" si="3"/>
        <v>2650000</v>
      </c>
      <c r="P1141" s="75">
        <f t="shared" si="4"/>
        <v>2650000</v>
      </c>
      <c r="Q1141" s="64"/>
      <c r="R1141" s="1"/>
      <c r="S1141" s="1"/>
      <c r="T1141" s="1"/>
      <c r="U1141" s="1"/>
      <c r="V1141" s="1"/>
      <c r="W1141" s="1"/>
      <c r="X1141" s="1"/>
      <c r="Y1141" s="1"/>
      <c r="Z1141" s="1"/>
    </row>
    <row r="1142" ht="14.25" customHeight="1">
      <c r="A1142" s="61"/>
      <c r="B1142" s="91"/>
      <c r="C1142" s="67"/>
      <c r="D1142" s="22"/>
      <c r="E1142" s="59" t="s">
        <v>186</v>
      </c>
      <c r="F1142" s="59"/>
      <c r="G1142" s="36">
        <v>50.0</v>
      </c>
      <c r="H1142" s="36" t="s">
        <v>95</v>
      </c>
      <c r="I1142" s="48">
        <v>15000.0</v>
      </c>
      <c r="J1142" s="46">
        <f t="shared" si="443"/>
        <v>750000</v>
      </c>
      <c r="K1142" s="46"/>
      <c r="L1142" s="26"/>
      <c r="M1142" s="46"/>
      <c r="N1142" s="61"/>
      <c r="O1142" s="75">
        <f t="shared" si="3"/>
        <v>750000</v>
      </c>
      <c r="P1142" s="75">
        <f t="shared" si="4"/>
        <v>750000</v>
      </c>
      <c r="Q1142" s="64"/>
      <c r="R1142" s="1"/>
      <c r="S1142" s="1"/>
      <c r="T1142" s="1"/>
      <c r="U1142" s="1"/>
      <c r="V1142" s="1"/>
      <c r="W1142" s="1"/>
      <c r="X1142" s="1"/>
      <c r="Y1142" s="1"/>
      <c r="Z1142" s="1"/>
    </row>
    <row r="1143" ht="9.75" customHeight="1">
      <c r="A1143" s="61"/>
      <c r="B1143" s="61"/>
      <c r="C1143" s="41" t="s">
        <v>141</v>
      </c>
      <c r="D1143" s="13"/>
      <c r="E1143" s="59" t="s">
        <v>142</v>
      </c>
      <c r="F1143" s="59"/>
      <c r="G1143" s="22"/>
      <c r="H1143" s="22"/>
      <c r="I1143" s="22"/>
      <c r="J1143" s="43">
        <f t="shared" ref="J1143:K1143" si="444">J1144</f>
        <v>145500000</v>
      </c>
      <c r="K1143" s="43">
        <f t="shared" si="444"/>
        <v>0</v>
      </c>
      <c r="L1143" s="26"/>
      <c r="M1143" s="43">
        <f>M1144</f>
        <v>0</v>
      </c>
      <c r="N1143" s="61"/>
      <c r="O1143" s="75">
        <f t="shared" si="3"/>
        <v>145500000</v>
      </c>
      <c r="P1143" s="75">
        <f t="shared" si="4"/>
        <v>145500000</v>
      </c>
      <c r="Q1143" s="64"/>
      <c r="R1143" s="1"/>
      <c r="S1143" s="1"/>
      <c r="T1143" s="1"/>
      <c r="U1143" s="1"/>
      <c r="V1143" s="1"/>
      <c r="W1143" s="1"/>
      <c r="X1143" s="1"/>
      <c r="Y1143" s="1"/>
      <c r="Z1143" s="1"/>
    </row>
    <row r="1144" ht="9.75" customHeight="1">
      <c r="A1144" s="61"/>
      <c r="B1144" s="61"/>
      <c r="C1144" s="35" t="s">
        <v>68</v>
      </c>
      <c r="D1144" s="13"/>
      <c r="E1144" s="59" t="s">
        <v>69</v>
      </c>
      <c r="F1144" s="59"/>
      <c r="G1144" s="22"/>
      <c r="H1144" s="22"/>
      <c r="I1144" s="22"/>
      <c r="J1144" s="46">
        <f t="shared" ref="J1144:K1144" si="445">SUM(J1146:J1148)</f>
        <v>145500000</v>
      </c>
      <c r="K1144" s="46">
        <f t="shared" si="445"/>
        <v>0</v>
      </c>
      <c r="L1144" s="26"/>
      <c r="M1144" s="46">
        <f>SUM(M1146:M1148)</f>
        <v>0</v>
      </c>
      <c r="N1144" s="61"/>
      <c r="O1144" s="75">
        <f t="shared" si="3"/>
        <v>145500000</v>
      </c>
      <c r="P1144" s="75">
        <f t="shared" si="4"/>
        <v>145500000</v>
      </c>
      <c r="Q1144" s="64"/>
      <c r="R1144" s="1"/>
      <c r="S1144" s="1"/>
      <c r="T1144" s="1"/>
      <c r="U1144" s="1"/>
      <c r="V1144" s="1"/>
      <c r="W1144" s="1"/>
      <c r="X1144" s="1"/>
      <c r="Y1144" s="1"/>
      <c r="Z1144" s="1"/>
    </row>
    <row r="1145" ht="9.75" customHeight="1">
      <c r="A1145" s="61"/>
      <c r="B1145" s="91"/>
      <c r="C1145" s="67"/>
      <c r="D1145" s="22"/>
      <c r="E1145" s="59" t="s">
        <v>23</v>
      </c>
      <c r="F1145" s="59"/>
      <c r="G1145" s="22"/>
      <c r="H1145" s="22"/>
      <c r="I1145" s="22"/>
      <c r="J1145" s="22"/>
      <c r="K1145" s="22"/>
      <c r="L1145" s="26"/>
      <c r="M1145" s="22"/>
      <c r="N1145" s="61"/>
      <c r="O1145" s="75">
        <f t="shared" si="3"/>
        <v>0</v>
      </c>
      <c r="P1145" s="75">
        <f t="shared" si="4"/>
        <v>0</v>
      </c>
      <c r="Q1145" s="64"/>
      <c r="R1145" s="1"/>
      <c r="S1145" s="1"/>
      <c r="T1145" s="1"/>
      <c r="U1145" s="1"/>
      <c r="V1145" s="1"/>
      <c r="W1145" s="1"/>
      <c r="X1145" s="1"/>
      <c r="Y1145" s="1"/>
      <c r="Z1145" s="1"/>
    </row>
    <row r="1146" ht="14.25" customHeight="1">
      <c r="A1146" s="61"/>
      <c r="B1146" s="91"/>
      <c r="C1146" s="67"/>
      <c r="D1146" s="22"/>
      <c r="E1146" s="59" t="s">
        <v>187</v>
      </c>
      <c r="F1146" s="59"/>
      <c r="G1146" s="36">
        <v>50.0</v>
      </c>
      <c r="H1146" s="36" t="s">
        <v>95</v>
      </c>
      <c r="I1146" s="48">
        <v>2000000.0</v>
      </c>
      <c r="J1146" s="46">
        <f t="shared" ref="J1146:J1148" si="446">G1146*I1146</f>
        <v>100000000</v>
      </c>
      <c r="K1146" s="46"/>
      <c r="L1146" s="26"/>
      <c r="M1146" s="46"/>
      <c r="N1146" s="61"/>
      <c r="O1146" s="75">
        <f t="shared" si="3"/>
        <v>100000000</v>
      </c>
      <c r="P1146" s="75">
        <f t="shared" si="4"/>
        <v>100000000</v>
      </c>
      <c r="Q1146" s="64"/>
      <c r="R1146" s="1"/>
      <c r="S1146" s="1"/>
      <c r="T1146" s="1"/>
      <c r="U1146" s="1"/>
      <c r="V1146" s="1"/>
      <c r="W1146" s="1"/>
      <c r="X1146" s="1"/>
      <c r="Y1146" s="1"/>
      <c r="Z1146" s="1"/>
    </row>
    <row r="1147" ht="14.25" customHeight="1">
      <c r="A1147" s="61"/>
      <c r="B1147" s="91"/>
      <c r="C1147" s="67"/>
      <c r="D1147" s="22"/>
      <c r="E1147" s="59" t="s">
        <v>188</v>
      </c>
      <c r="F1147" s="59"/>
      <c r="G1147" s="36">
        <v>50.0</v>
      </c>
      <c r="H1147" s="36" t="s">
        <v>95</v>
      </c>
      <c r="I1147" s="48">
        <v>750000.0</v>
      </c>
      <c r="J1147" s="46">
        <f t="shared" si="446"/>
        <v>37500000</v>
      </c>
      <c r="K1147" s="46"/>
      <c r="L1147" s="26"/>
      <c r="M1147" s="46"/>
      <c r="N1147" s="61"/>
      <c r="O1147" s="75">
        <f t="shared" si="3"/>
        <v>37500000</v>
      </c>
      <c r="P1147" s="75">
        <f t="shared" si="4"/>
        <v>37500000</v>
      </c>
      <c r="Q1147" s="64"/>
      <c r="R1147" s="1"/>
      <c r="S1147" s="1"/>
      <c r="T1147" s="1"/>
      <c r="U1147" s="1"/>
      <c r="V1147" s="1"/>
      <c r="W1147" s="1"/>
      <c r="X1147" s="1"/>
      <c r="Y1147" s="1"/>
      <c r="Z1147" s="1"/>
    </row>
    <row r="1148" ht="14.25" customHeight="1">
      <c r="A1148" s="61"/>
      <c r="B1148" s="91"/>
      <c r="C1148" s="67"/>
      <c r="D1148" s="22"/>
      <c r="E1148" s="59" t="s">
        <v>145</v>
      </c>
      <c r="F1148" s="59"/>
      <c r="G1148" s="36">
        <v>4.0</v>
      </c>
      <c r="H1148" s="36" t="s">
        <v>95</v>
      </c>
      <c r="I1148" s="48">
        <v>2000000.0</v>
      </c>
      <c r="J1148" s="46">
        <f t="shared" si="446"/>
        <v>8000000</v>
      </c>
      <c r="K1148" s="46"/>
      <c r="L1148" s="26"/>
      <c r="M1148" s="46"/>
      <c r="N1148" s="61"/>
      <c r="O1148" s="75">
        <f t="shared" si="3"/>
        <v>8000000</v>
      </c>
      <c r="P1148" s="75">
        <f t="shared" si="4"/>
        <v>8000000</v>
      </c>
      <c r="Q1148" s="64"/>
      <c r="R1148" s="1"/>
      <c r="S1148" s="1"/>
      <c r="T1148" s="1"/>
      <c r="U1148" s="1"/>
      <c r="V1148" s="1"/>
      <c r="W1148" s="1"/>
      <c r="X1148" s="1"/>
      <c r="Y1148" s="1"/>
      <c r="Z1148" s="1"/>
    </row>
    <row r="1149" ht="9.75" customHeight="1">
      <c r="A1149" s="61"/>
      <c r="B1149" s="61"/>
      <c r="C1149" s="41" t="s">
        <v>146</v>
      </c>
      <c r="D1149" s="13"/>
      <c r="E1149" s="59" t="s">
        <v>147</v>
      </c>
      <c r="F1149" s="59"/>
      <c r="G1149" s="22"/>
      <c r="H1149" s="22"/>
      <c r="I1149" s="22"/>
      <c r="J1149" s="43">
        <f t="shared" ref="J1149:K1149" si="447">J1150+J1157</f>
        <v>219800000</v>
      </c>
      <c r="K1149" s="43">
        <f t="shared" si="447"/>
        <v>0</v>
      </c>
      <c r="L1149" s="26"/>
      <c r="M1149" s="43">
        <f>M1150+M1157</f>
        <v>48070000</v>
      </c>
      <c r="N1149" s="61"/>
      <c r="O1149" s="75">
        <f t="shared" si="3"/>
        <v>219800000</v>
      </c>
      <c r="P1149" s="75">
        <f t="shared" si="4"/>
        <v>171730000</v>
      </c>
      <c r="Q1149" s="64"/>
      <c r="R1149" s="1"/>
      <c r="S1149" s="1"/>
      <c r="T1149" s="1"/>
      <c r="U1149" s="1"/>
      <c r="V1149" s="1"/>
      <c r="W1149" s="1"/>
      <c r="X1149" s="1"/>
      <c r="Y1149" s="1"/>
      <c r="Z1149" s="1"/>
    </row>
    <row r="1150" ht="9.75" customHeight="1">
      <c r="A1150" s="61"/>
      <c r="B1150" s="61"/>
      <c r="C1150" s="35" t="s">
        <v>74</v>
      </c>
      <c r="D1150" s="13"/>
      <c r="E1150" s="59" t="s">
        <v>75</v>
      </c>
      <c r="F1150" s="59"/>
      <c r="G1150" s="22"/>
      <c r="H1150" s="22"/>
      <c r="I1150" s="22"/>
      <c r="J1150" s="46">
        <f t="shared" ref="J1150:K1150" si="448">SUM(J1152:J1156)</f>
        <v>195800000</v>
      </c>
      <c r="K1150" s="46">
        <f t="shared" si="448"/>
        <v>0</v>
      </c>
      <c r="L1150" s="26"/>
      <c r="M1150" s="46">
        <f>SUM(M1152:M1156)</f>
        <v>48070000</v>
      </c>
      <c r="N1150" s="61"/>
      <c r="O1150" s="75">
        <f t="shared" si="3"/>
        <v>195800000</v>
      </c>
      <c r="P1150" s="75">
        <f t="shared" si="4"/>
        <v>147730000</v>
      </c>
      <c r="Q1150" s="64"/>
      <c r="R1150" s="1"/>
      <c r="S1150" s="1"/>
      <c r="T1150" s="1"/>
      <c r="U1150" s="1"/>
      <c r="V1150" s="1"/>
      <c r="W1150" s="1"/>
      <c r="X1150" s="1"/>
      <c r="Y1150" s="1"/>
      <c r="Z1150" s="1"/>
    </row>
    <row r="1151" ht="9.75" customHeight="1">
      <c r="A1151" s="61"/>
      <c r="B1151" s="91"/>
      <c r="C1151" s="67"/>
      <c r="D1151" s="22"/>
      <c r="E1151" s="59" t="s">
        <v>23</v>
      </c>
      <c r="F1151" s="59"/>
      <c r="G1151" s="22"/>
      <c r="H1151" s="22"/>
      <c r="I1151" s="22"/>
      <c r="J1151" s="22"/>
      <c r="K1151" s="22"/>
      <c r="L1151" s="26"/>
      <c r="M1151" s="22"/>
      <c r="N1151" s="61"/>
      <c r="O1151" s="75">
        <f t="shared" si="3"/>
        <v>0</v>
      </c>
      <c r="P1151" s="75">
        <f t="shared" si="4"/>
        <v>0</v>
      </c>
      <c r="Q1151" s="64"/>
      <c r="R1151" s="1"/>
      <c r="S1151" s="1"/>
      <c r="T1151" s="1"/>
      <c r="U1151" s="1"/>
      <c r="V1151" s="1"/>
      <c r="W1151" s="1"/>
      <c r="X1151" s="1"/>
      <c r="Y1151" s="1"/>
      <c r="Z1151" s="1"/>
    </row>
    <row r="1152" ht="14.25" customHeight="1">
      <c r="A1152" s="61"/>
      <c r="B1152" s="91"/>
      <c r="C1152" s="67"/>
      <c r="D1152" s="22"/>
      <c r="E1152" s="59" t="s">
        <v>291</v>
      </c>
      <c r="F1152" s="59"/>
      <c r="G1152" s="36">
        <v>25.0</v>
      </c>
      <c r="H1152" s="36" t="s">
        <v>26</v>
      </c>
      <c r="I1152" s="48">
        <v>875000.0</v>
      </c>
      <c r="J1152" s="46">
        <f t="shared" ref="J1152:J1156" si="449">G1152*I1152</f>
        <v>21875000</v>
      </c>
      <c r="K1152" s="46"/>
      <c r="L1152" s="26"/>
      <c r="M1152" s="53">
        <v>3690000.0</v>
      </c>
      <c r="N1152" s="61"/>
      <c r="O1152" s="75">
        <f t="shared" si="3"/>
        <v>21875000</v>
      </c>
      <c r="P1152" s="75">
        <f t="shared" si="4"/>
        <v>18185000</v>
      </c>
      <c r="Q1152" s="64"/>
      <c r="R1152" s="1"/>
      <c r="S1152" s="1"/>
      <c r="T1152" s="1"/>
      <c r="U1152" s="1"/>
      <c r="V1152" s="1"/>
      <c r="W1152" s="1"/>
      <c r="X1152" s="1"/>
      <c r="Y1152" s="1"/>
      <c r="Z1152" s="1"/>
    </row>
    <row r="1153" ht="14.25" customHeight="1">
      <c r="A1153" s="61"/>
      <c r="B1153" s="91"/>
      <c r="C1153" s="67"/>
      <c r="D1153" s="22"/>
      <c r="E1153" s="59" t="s">
        <v>292</v>
      </c>
      <c r="F1153" s="59"/>
      <c r="G1153" s="36">
        <v>50.0</v>
      </c>
      <c r="H1153" s="36" t="s">
        <v>26</v>
      </c>
      <c r="I1153" s="48">
        <v>783500.0</v>
      </c>
      <c r="J1153" s="46">
        <f t="shared" si="449"/>
        <v>39175000</v>
      </c>
      <c r="K1153" s="46"/>
      <c r="L1153" s="26"/>
      <c r="M1153" s="46"/>
      <c r="N1153" s="61"/>
      <c r="O1153" s="75">
        <f t="shared" si="3"/>
        <v>39175000</v>
      </c>
      <c r="P1153" s="75">
        <f t="shared" si="4"/>
        <v>39175000</v>
      </c>
      <c r="Q1153" s="64"/>
      <c r="R1153" s="1"/>
      <c r="S1153" s="1"/>
      <c r="T1153" s="1"/>
      <c r="U1153" s="1"/>
      <c r="V1153" s="1"/>
      <c r="W1153" s="1"/>
      <c r="X1153" s="1"/>
      <c r="Y1153" s="1"/>
      <c r="Z1153" s="1"/>
    </row>
    <row r="1154" ht="14.25" customHeight="1">
      <c r="A1154" s="61"/>
      <c r="B1154" s="91"/>
      <c r="C1154" s="67"/>
      <c r="D1154" s="22"/>
      <c r="E1154" s="59" t="s">
        <v>293</v>
      </c>
      <c r="F1154" s="59"/>
      <c r="G1154" s="36">
        <v>75.0</v>
      </c>
      <c r="H1154" s="36" t="s">
        <v>26</v>
      </c>
      <c r="I1154" s="48">
        <v>430000.0</v>
      </c>
      <c r="J1154" s="46">
        <f t="shared" si="449"/>
        <v>32250000</v>
      </c>
      <c r="K1154" s="46"/>
      <c r="L1154" s="26"/>
      <c r="M1154" s="46"/>
      <c r="N1154" s="61"/>
      <c r="O1154" s="75">
        <f t="shared" si="3"/>
        <v>32250000</v>
      </c>
      <c r="P1154" s="75">
        <f t="shared" si="4"/>
        <v>32250000</v>
      </c>
      <c r="Q1154" s="64"/>
      <c r="R1154" s="1"/>
      <c r="S1154" s="1"/>
      <c r="T1154" s="1"/>
      <c r="U1154" s="1"/>
      <c r="V1154" s="1"/>
      <c r="W1154" s="1"/>
      <c r="X1154" s="1"/>
      <c r="Y1154" s="1"/>
      <c r="Z1154" s="1"/>
    </row>
    <row r="1155" ht="14.25" customHeight="1">
      <c r="A1155" s="61"/>
      <c r="B1155" s="91"/>
      <c r="C1155" s="67"/>
      <c r="D1155" s="22"/>
      <c r="E1155" s="59" t="s">
        <v>294</v>
      </c>
      <c r="F1155" s="59"/>
      <c r="G1155" s="36">
        <v>100.0</v>
      </c>
      <c r="H1155" s="36" t="s">
        <v>26</v>
      </c>
      <c r="I1155" s="48">
        <v>500000.0</v>
      </c>
      <c r="J1155" s="46">
        <f t="shared" si="449"/>
        <v>50000000</v>
      </c>
      <c r="K1155" s="46"/>
      <c r="L1155" s="26"/>
      <c r="M1155" s="53">
        <v>3.703E7</v>
      </c>
      <c r="N1155" s="61"/>
      <c r="O1155" s="75">
        <f t="shared" si="3"/>
        <v>50000000</v>
      </c>
      <c r="P1155" s="75">
        <f t="shared" si="4"/>
        <v>12970000</v>
      </c>
      <c r="Q1155" s="64"/>
      <c r="R1155" s="1"/>
      <c r="S1155" s="1"/>
      <c r="T1155" s="1"/>
      <c r="U1155" s="1"/>
      <c r="V1155" s="1"/>
      <c r="W1155" s="1"/>
      <c r="X1155" s="1"/>
      <c r="Y1155" s="1"/>
      <c r="Z1155" s="1"/>
    </row>
    <row r="1156" ht="14.25" customHeight="1">
      <c r="A1156" s="61"/>
      <c r="B1156" s="91"/>
      <c r="C1156" s="67"/>
      <c r="D1156" s="22"/>
      <c r="E1156" s="59" t="s">
        <v>295</v>
      </c>
      <c r="F1156" s="59"/>
      <c r="G1156" s="36">
        <v>150.0</v>
      </c>
      <c r="H1156" s="36" t="s">
        <v>26</v>
      </c>
      <c r="I1156" s="48">
        <v>350000.0</v>
      </c>
      <c r="J1156" s="46">
        <f t="shared" si="449"/>
        <v>52500000</v>
      </c>
      <c r="K1156" s="46"/>
      <c r="L1156" s="26"/>
      <c r="M1156" s="53">
        <v>7350000.0</v>
      </c>
      <c r="N1156" s="61"/>
      <c r="O1156" s="75">
        <f t="shared" si="3"/>
        <v>52500000</v>
      </c>
      <c r="P1156" s="75">
        <f t="shared" si="4"/>
        <v>45150000</v>
      </c>
      <c r="Q1156" s="64"/>
      <c r="R1156" s="1"/>
      <c r="S1156" s="1"/>
      <c r="T1156" s="1"/>
      <c r="U1156" s="1"/>
      <c r="V1156" s="1"/>
      <c r="W1156" s="1"/>
      <c r="X1156" s="1"/>
      <c r="Y1156" s="1"/>
      <c r="Z1156" s="1"/>
    </row>
    <row r="1157" ht="9.75" customHeight="1">
      <c r="A1157" s="61"/>
      <c r="B1157" s="61"/>
      <c r="C1157" s="35" t="s">
        <v>79</v>
      </c>
      <c r="D1157" s="13"/>
      <c r="E1157" s="59" t="s">
        <v>80</v>
      </c>
      <c r="F1157" s="59"/>
      <c r="G1157" s="22"/>
      <c r="H1157" s="22"/>
      <c r="I1157" s="22"/>
      <c r="J1157" s="46">
        <f t="shared" ref="J1157:K1157" si="450">J1159</f>
        <v>24000000</v>
      </c>
      <c r="K1157" s="46" t="str">
        <f t="shared" si="450"/>
        <v/>
      </c>
      <c r="L1157" s="26"/>
      <c r="M1157" s="46"/>
      <c r="N1157" s="61"/>
      <c r="O1157" s="75">
        <f t="shared" si="3"/>
        <v>24000000</v>
      </c>
      <c r="P1157" s="75">
        <f t="shared" si="4"/>
        <v>24000000</v>
      </c>
      <c r="Q1157" s="64"/>
      <c r="R1157" s="1"/>
      <c r="S1157" s="1"/>
      <c r="T1157" s="1"/>
      <c r="U1157" s="1"/>
      <c r="V1157" s="1"/>
      <c r="W1157" s="1"/>
      <c r="X1157" s="1"/>
      <c r="Y1157" s="1"/>
      <c r="Z1157" s="1"/>
    </row>
    <row r="1158" ht="9.75" customHeight="1">
      <c r="A1158" s="61"/>
      <c r="B1158" s="91"/>
      <c r="C1158" s="67"/>
      <c r="D1158" s="22"/>
      <c r="E1158" s="59" t="s">
        <v>23</v>
      </c>
      <c r="F1158" s="59"/>
      <c r="G1158" s="22"/>
      <c r="H1158" s="22"/>
      <c r="I1158" s="22"/>
      <c r="J1158" s="22"/>
      <c r="K1158" s="22"/>
      <c r="L1158" s="26"/>
      <c r="M1158" s="22"/>
      <c r="N1158" s="61"/>
      <c r="O1158" s="75">
        <f t="shared" si="3"/>
        <v>0</v>
      </c>
      <c r="P1158" s="75">
        <f t="shared" si="4"/>
        <v>0</v>
      </c>
      <c r="Q1158" s="64"/>
      <c r="R1158" s="1"/>
      <c r="S1158" s="1"/>
      <c r="T1158" s="1"/>
      <c r="U1158" s="1"/>
      <c r="V1158" s="1"/>
      <c r="W1158" s="1"/>
      <c r="X1158" s="1"/>
      <c r="Y1158" s="1"/>
      <c r="Z1158" s="1"/>
    </row>
    <row r="1159" ht="14.25" customHeight="1">
      <c r="A1159" s="61"/>
      <c r="B1159" s="91"/>
      <c r="C1159" s="67"/>
      <c r="D1159" s="22"/>
      <c r="E1159" s="59" t="s">
        <v>296</v>
      </c>
      <c r="F1159" s="59"/>
      <c r="G1159" s="36">
        <v>160.0</v>
      </c>
      <c r="H1159" s="36" t="s">
        <v>26</v>
      </c>
      <c r="I1159" s="48">
        <v>150000.0</v>
      </c>
      <c r="J1159" s="46">
        <f>G1159*I1159</f>
        <v>24000000</v>
      </c>
      <c r="K1159" s="46"/>
      <c r="L1159" s="26"/>
      <c r="M1159" s="46"/>
      <c r="N1159" s="61"/>
      <c r="O1159" s="75">
        <f t="shared" si="3"/>
        <v>24000000</v>
      </c>
      <c r="P1159" s="75">
        <f t="shared" si="4"/>
        <v>24000000</v>
      </c>
      <c r="Q1159" s="64"/>
      <c r="R1159" s="1"/>
      <c r="S1159" s="1"/>
      <c r="T1159" s="1"/>
      <c r="U1159" s="1"/>
      <c r="V1159" s="1"/>
      <c r="W1159" s="1"/>
      <c r="X1159" s="1"/>
      <c r="Y1159" s="1"/>
      <c r="Z1159" s="1"/>
    </row>
    <row r="1160" ht="14.25" customHeight="1">
      <c r="A1160" s="61"/>
      <c r="B1160" s="91"/>
      <c r="C1160" s="94" t="s">
        <v>208</v>
      </c>
      <c r="D1160" s="87"/>
      <c r="E1160" s="95" t="s">
        <v>209</v>
      </c>
      <c r="F1160" s="96"/>
      <c r="G1160" s="82"/>
      <c r="H1160" s="82"/>
      <c r="I1160" s="83"/>
      <c r="J1160" s="84">
        <f t="shared" ref="J1160:K1160" si="451">J1161+J1175+J1187+J1200+J1217+J1226+J1236+J1241+J1257+J1271+J1279+J1287+J1293</f>
        <v>3064496000</v>
      </c>
      <c r="K1160" s="84">
        <f t="shared" si="451"/>
        <v>242259500</v>
      </c>
      <c r="L1160" s="26"/>
      <c r="M1160" s="84">
        <f>M1161+M1175+M1187+M1200+M1217+M1226+M1236+M1241+M1257+M1271+M1279+M1287+M1293</f>
        <v>182673279</v>
      </c>
      <c r="N1160" s="61"/>
      <c r="O1160" s="75">
        <f t="shared" si="3"/>
        <v>2822236500</v>
      </c>
      <c r="P1160" s="75">
        <f t="shared" si="4"/>
        <v>2881822721</v>
      </c>
      <c r="Q1160" s="64"/>
      <c r="R1160" s="49"/>
      <c r="S1160" s="1"/>
      <c r="T1160" s="1"/>
      <c r="U1160" s="1"/>
      <c r="V1160" s="1"/>
      <c r="W1160" s="1"/>
      <c r="X1160" s="1"/>
      <c r="Y1160" s="1"/>
      <c r="Z1160" s="1"/>
    </row>
    <row r="1161" ht="14.25" customHeight="1">
      <c r="A1161" s="61"/>
      <c r="B1161" s="91"/>
      <c r="C1161" s="41" t="s">
        <v>20</v>
      </c>
      <c r="D1161" s="56"/>
      <c r="E1161" s="59" t="s">
        <v>21</v>
      </c>
      <c r="F1161" s="59"/>
      <c r="G1161" s="22"/>
      <c r="H1161" s="22"/>
      <c r="I1161" s="22"/>
      <c r="J1161" s="43">
        <f t="shared" ref="J1161:K1161" si="452">J1162+J1171</f>
        <v>142640000</v>
      </c>
      <c r="K1161" s="43">
        <f t="shared" si="452"/>
        <v>2490300</v>
      </c>
      <c r="L1161" s="26"/>
      <c r="M1161" s="43">
        <f>M1162+M1171</f>
        <v>87155552</v>
      </c>
      <c r="N1161" s="61"/>
      <c r="O1161" s="75">
        <f t="shared" si="3"/>
        <v>140149700</v>
      </c>
      <c r="P1161" s="75">
        <f t="shared" si="4"/>
        <v>55484448</v>
      </c>
      <c r="Q1161" s="64"/>
      <c r="R1161" s="1"/>
      <c r="S1161" s="1"/>
      <c r="T1161" s="1"/>
      <c r="U1161" s="1"/>
      <c r="V1161" s="1"/>
      <c r="W1161" s="1"/>
      <c r="X1161" s="1"/>
      <c r="Y1161" s="1"/>
      <c r="Z1161" s="1"/>
    </row>
    <row r="1162" ht="14.25" customHeight="1">
      <c r="A1162" s="61"/>
      <c r="B1162" s="91"/>
      <c r="C1162" s="35" t="s">
        <v>40</v>
      </c>
      <c r="D1162" s="47"/>
      <c r="E1162" s="59" t="s">
        <v>22</v>
      </c>
      <c r="F1162" s="59"/>
      <c r="G1162" s="22"/>
      <c r="H1162" s="22"/>
      <c r="I1162" s="22"/>
      <c r="J1162" s="46">
        <f t="shared" ref="J1162:K1162" si="453">SUM(J1164:J1170)</f>
        <v>130640000</v>
      </c>
      <c r="K1162" s="46">
        <f t="shared" si="453"/>
        <v>1990300</v>
      </c>
      <c r="L1162" s="26"/>
      <c r="M1162" s="46">
        <f>SUM(M1164:M1170)</f>
        <v>82655552</v>
      </c>
      <c r="N1162" s="61"/>
      <c r="O1162" s="75">
        <f t="shared" si="3"/>
        <v>128649700</v>
      </c>
      <c r="P1162" s="75">
        <f t="shared" si="4"/>
        <v>47984448</v>
      </c>
      <c r="Q1162" s="64"/>
      <c r="R1162" s="1"/>
      <c r="S1162" s="1"/>
      <c r="T1162" s="1"/>
      <c r="U1162" s="1"/>
      <c r="V1162" s="1"/>
      <c r="W1162" s="1"/>
      <c r="X1162" s="1"/>
      <c r="Y1162" s="1"/>
      <c r="Z1162" s="1"/>
    </row>
    <row r="1163" ht="9.75" customHeight="1">
      <c r="A1163" s="61"/>
      <c r="B1163" s="91"/>
      <c r="C1163" s="67"/>
      <c r="D1163" s="22"/>
      <c r="E1163" s="59" t="s">
        <v>23</v>
      </c>
      <c r="F1163" s="59"/>
      <c r="G1163" s="22"/>
      <c r="H1163" s="22"/>
      <c r="I1163" s="22"/>
      <c r="J1163" s="22"/>
      <c r="K1163" s="22"/>
      <c r="L1163" s="26"/>
      <c r="M1163" s="22"/>
      <c r="N1163" s="61"/>
      <c r="O1163" s="75">
        <f t="shared" si="3"/>
        <v>0</v>
      </c>
      <c r="P1163" s="75">
        <f t="shared" si="4"/>
        <v>0</v>
      </c>
      <c r="Q1163" s="64"/>
      <c r="R1163" s="1"/>
      <c r="S1163" s="1"/>
      <c r="T1163" s="1"/>
      <c r="U1163" s="1"/>
      <c r="V1163" s="1"/>
      <c r="W1163" s="1"/>
      <c r="X1163" s="1"/>
      <c r="Y1163" s="1"/>
      <c r="Z1163" s="1"/>
    </row>
    <row r="1164" ht="14.25" customHeight="1">
      <c r="A1164" s="61"/>
      <c r="B1164" s="91"/>
      <c r="C1164" s="67"/>
      <c r="D1164" s="22"/>
      <c r="E1164" s="59" t="s">
        <v>156</v>
      </c>
      <c r="F1164" s="59"/>
      <c r="G1164" s="36">
        <v>24.0</v>
      </c>
      <c r="H1164" s="36" t="s">
        <v>26</v>
      </c>
      <c r="I1164" s="48">
        <v>500000.0</v>
      </c>
      <c r="J1164" s="46">
        <f t="shared" ref="J1164:J1170" si="454">G1164*I1164</f>
        <v>12000000</v>
      </c>
      <c r="K1164" s="46"/>
      <c r="L1164" s="26"/>
      <c r="M1164" s="53">
        <v>4869000.0</v>
      </c>
      <c r="N1164" s="61"/>
      <c r="O1164" s="75">
        <f t="shared" si="3"/>
        <v>12000000</v>
      </c>
      <c r="P1164" s="75">
        <f t="shared" si="4"/>
        <v>7131000</v>
      </c>
      <c r="Q1164" s="64"/>
      <c r="R1164" s="1"/>
      <c r="S1164" s="1"/>
      <c r="T1164" s="1"/>
      <c r="U1164" s="1"/>
      <c r="V1164" s="1"/>
      <c r="W1164" s="1"/>
      <c r="X1164" s="1"/>
      <c r="Y1164" s="1"/>
      <c r="Z1164" s="1"/>
    </row>
    <row r="1165" ht="14.25" customHeight="1">
      <c r="A1165" s="61"/>
      <c r="B1165" s="91"/>
      <c r="C1165" s="67"/>
      <c r="D1165" s="22"/>
      <c r="E1165" s="59" t="s">
        <v>27</v>
      </c>
      <c r="F1165" s="59"/>
      <c r="G1165" s="36">
        <v>2.0</v>
      </c>
      <c r="H1165" s="36" t="s">
        <v>26</v>
      </c>
      <c r="I1165" s="48">
        <v>2000000.0</v>
      </c>
      <c r="J1165" s="46">
        <f t="shared" si="454"/>
        <v>4000000</v>
      </c>
      <c r="K1165" s="46"/>
      <c r="L1165" s="26"/>
      <c r="M1165" s="53">
        <v>3271000.0</v>
      </c>
      <c r="N1165" s="61"/>
      <c r="O1165" s="75">
        <f t="shared" si="3"/>
        <v>4000000</v>
      </c>
      <c r="P1165" s="75">
        <f t="shared" si="4"/>
        <v>729000</v>
      </c>
      <c r="Q1165" s="64"/>
      <c r="R1165" s="1"/>
      <c r="S1165" s="1"/>
      <c r="T1165" s="1"/>
      <c r="U1165" s="1"/>
      <c r="V1165" s="1"/>
      <c r="W1165" s="1"/>
      <c r="X1165" s="1"/>
      <c r="Y1165" s="1"/>
      <c r="Z1165" s="1"/>
    </row>
    <row r="1166" ht="14.25" customHeight="1">
      <c r="A1166" s="61"/>
      <c r="B1166" s="91"/>
      <c r="C1166" s="67"/>
      <c r="D1166" s="22"/>
      <c r="E1166" s="59" t="s">
        <v>28</v>
      </c>
      <c r="F1166" s="59"/>
      <c r="G1166" s="36">
        <v>10.0</v>
      </c>
      <c r="H1166" s="36" t="s">
        <v>26</v>
      </c>
      <c r="I1166" s="48">
        <v>500000.0</v>
      </c>
      <c r="J1166" s="46">
        <f t="shared" si="454"/>
        <v>5000000</v>
      </c>
      <c r="K1166" s="46"/>
      <c r="L1166" s="26"/>
      <c r="M1166" s="53">
        <v>4992912.0</v>
      </c>
      <c r="N1166" s="61"/>
      <c r="O1166" s="75">
        <f t="shared" si="3"/>
        <v>5000000</v>
      </c>
      <c r="P1166" s="75">
        <f t="shared" si="4"/>
        <v>7088</v>
      </c>
      <c r="Q1166" s="64"/>
      <c r="R1166" s="1"/>
      <c r="S1166" s="1"/>
      <c r="T1166" s="1"/>
      <c r="U1166" s="1"/>
      <c r="V1166" s="1"/>
      <c r="W1166" s="1"/>
      <c r="X1166" s="1"/>
      <c r="Y1166" s="1"/>
      <c r="Z1166" s="1"/>
    </row>
    <row r="1167" ht="14.25" customHeight="1">
      <c r="A1167" s="61"/>
      <c r="B1167" s="91"/>
      <c r="C1167" s="67"/>
      <c r="D1167" s="22"/>
      <c r="E1167" s="59" t="s">
        <v>157</v>
      </c>
      <c r="F1167" s="59"/>
      <c r="G1167" s="36">
        <v>200.0</v>
      </c>
      <c r="H1167" s="36" t="s">
        <v>26</v>
      </c>
      <c r="I1167" s="48">
        <v>25000.0</v>
      </c>
      <c r="J1167" s="46">
        <f t="shared" si="454"/>
        <v>5000000</v>
      </c>
      <c r="K1167" s="46"/>
      <c r="L1167" s="26"/>
      <c r="M1167" s="53">
        <v>0.0</v>
      </c>
      <c r="N1167" s="61"/>
      <c r="O1167" s="75">
        <f t="shared" si="3"/>
        <v>5000000</v>
      </c>
      <c r="P1167" s="75">
        <f t="shared" si="4"/>
        <v>5000000</v>
      </c>
      <c r="Q1167" s="64"/>
      <c r="R1167" s="1"/>
      <c r="S1167" s="1"/>
      <c r="T1167" s="1"/>
      <c r="U1167" s="1"/>
      <c r="V1167" s="1"/>
      <c r="W1167" s="1"/>
      <c r="X1167" s="1"/>
      <c r="Y1167" s="1"/>
      <c r="Z1167" s="1"/>
    </row>
    <row r="1168" ht="14.25" customHeight="1">
      <c r="A1168" s="61"/>
      <c r="B1168" s="91"/>
      <c r="C1168" s="67"/>
      <c r="D1168" s="22"/>
      <c r="E1168" s="59" t="s">
        <v>31</v>
      </c>
      <c r="F1168" s="59"/>
      <c r="G1168" s="36">
        <v>320.0</v>
      </c>
      <c r="H1168" s="36" t="s">
        <v>26</v>
      </c>
      <c r="I1168" s="48">
        <v>53000.0</v>
      </c>
      <c r="J1168" s="46">
        <f t="shared" si="454"/>
        <v>16960000</v>
      </c>
      <c r="K1168" s="46">
        <v>1224300.0</v>
      </c>
      <c r="L1168" s="26"/>
      <c r="M1168" s="53">
        <v>7704300.0</v>
      </c>
      <c r="N1168" s="61"/>
      <c r="O1168" s="75">
        <f t="shared" si="3"/>
        <v>15735700</v>
      </c>
      <c r="P1168" s="75">
        <f t="shared" si="4"/>
        <v>9255700</v>
      </c>
      <c r="Q1168" s="64"/>
      <c r="R1168" s="1"/>
      <c r="S1168" s="1"/>
      <c r="T1168" s="1"/>
      <c r="U1168" s="1"/>
      <c r="V1168" s="1"/>
      <c r="W1168" s="1"/>
      <c r="X1168" s="1"/>
      <c r="Y1168" s="1"/>
      <c r="Z1168" s="1"/>
    </row>
    <row r="1169" ht="14.25" customHeight="1">
      <c r="A1169" s="61"/>
      <c r="B1169" s="91"/>
      <c r="C1169" s="67"/>
      <c r="D1169" s="22"/>
      <c r="E1169" s="59" t="s">
        <v>32</v>
      </c>
      <c r="F1169" s="59"/>
      <c r="G1169" s="36">
        <v>320.0</v>
      </c>
      <c r="H1169" s="36" t="s">
        <v>26</v>
      </c>
      <c r="I1169" s="48">
        <v>24000.0</v>
      </c>
      <c r="J1169" s="46">
        <f t="shared" si="454"/>
        <v>7680000</v>
      </c>
      <c r="K1169" s="46">
        <v>766000.0</v>
      </c>
      <c r="L1169" s="26"/>
      <c r="M1169" s="53">
        <v>766000.0</v>
      </c>
      <c r="N1169" s="61"/>
      <c r="O1169" s="75">
        <f t="shared" si="3"/>
        <v>6914000</v>
      </c>
      <c r="P1169" s="75">
        <f t="shared" si="4"/>
        <v>6914000</v>
      </c>
      <c r="Q1169" s="64"/>
      <c r="R1169" s="1"/>
      <c r="S1169" s="1"/>
      <c r="T1169" s="1"/>
      <c r="U1169" s="1"/>
      <c r="V1169" s="1"/>
      <c r="W1169" s="1"/>
      <c r="X1169" s="1"/>
      <c r="Y1169" s="1"/>
      <c r="Z1169" s="1"/>
    </row>
    <row r="1170" ht="14.25" customHeight="1">
      <c r="A1170" s="61"/>
      <c r="B1170" s="91"/>
      <c r="C1170" s="67"/>
      <c r="D1170" s="22"/>
      <c r="E1170" s="59" t="s">
        <v>158</v>
      </c>
      <c r="F1170" s="59"/>
      <c r="G1170" s="36">
        <v>100.0</v>
      </c>
      <c r="H1170" s="36" t="s">
        <v>26</v>
      </c>
      <c r="I1170" s="48">
        <v>800000.0</v>
      </c>
      <c r="J1170" s="46">
        <f t="shared" si="454"/>
        <v>80000000</v>
      </c>
      <c r="K1170" s="46"/>
      <c r="L1170" s="26"/>
      <c r="M1170" s="53">
        <v>6.105234E7</v>
      </c>
      <c r="N1170" s="61"/>
      <c r="O1170" s="75">
        <f t="shared" si="3"/>
        <v>80000000</v>
      </c>
      <c r="P1170" s="75">
        <f t="shared" si="4"/>
        <v>18947660</v>
      </c>
      <c r="Q1170" s="64"/>
      <c r="R1170" s="1"/>
      <c r="S1170" s="1"/>
      <c r="T1170" s="1"/>
      <c r="U1170" s="1"/>
      <c r="V1170" s="1"/>
      <c r="W1170" s="1"/>
      <c r="X1170" s="1"/>
      <c r="Y1170" s="1"/>
      <c r="Z1170" s="1"/>
    </row>
    <row r="1171" ht="14.25" customHeight="1">
      <c r="A1171" s="61"/>
      <c r="B1171" s="91"/>
      <c r="C1171" s="35" t="s">
        <v>58</v>
      </c>
      <c r="D1171" s="47"/>
      <c r="E1171" s="59" t="s">
        <v>34</v>
      </c>
      <c r="F1171" s="59"/>
      <c r="G1171" s="22"/>
      <c r="H1171" s="22"/>
      <c r="I1171" s="22"/>
      <c r="J1171" s="46">
        <f t="shared" ref="J1171:K1171" si="455">SUM(J1173:J1174)</f>
        <v>12000000</v>
      </c>
      <c r="K1171" s="46">
        <f t="shared" si="455"/>
        <v>500000</v>
      </c>
      <c r="L1171" s="26"/>
      <c r="M1171" s="46">
        <f>SUM(M1173:M1174)</f>
        <v>4500000</v>
      </c>
      <c r="N1171" s="61"/>
      <c r="O1171" s="75">
        <f t="shared" si="3"/>
        <v>11500000</v>
      </c>
      <c r="P1171" s="75">
        <f t="shared" si="4"/>
        <v>7500000</v>
      </c>
      <c r="Q1171" s="64"/>
      <c r="R1171" s="1"/>
      <c r="S1171" s="1"/>
      <c r="T1171" s="1"/>
      <c r="U1171" s="1"/>
      <c r="V1171" s="1"/>
      <c r="W1171" s="1"/>
      <c r="X1171" s="1"/>
      <c r="Y1171" s="1"/>
      <c r="Z1171" s="1"/>
    </row>
    <row r="1172" ht="9.75" customHeight="1">
      <c r="A1172" s="61"/>
      <c r="B1172" s="91"/>
      <c r="C1172" s="67"/>
      <c r="D1172" s="22"/>
      <c r="E1172" s="59" t="s">
        <v>23</v>
      </c>
      <c r="F1172" s="59"/>
      <c r="G1172" s="22"/>
      <c r="H1172" s="22"/>
      <c r="I1172" s="22"/>
      <c r="J1172" s="22"/>
      <c r="K1172" s="22"/>
      <c r="L1172" s="26"/>
      <c r="M1172" s="22"/>
      <c r="N1172" s="61"/>
      <c r="O1172" s="75">
        <f t="shared" si="3"/>
        <v>0</v>
      </c>
      <c r="P1172" s="75">
        <f t="shared" si="4"/>
        <v>0</v>
      </c>
      <c r="Q1172" s="64"/>
      <c r="R1172" s="1"/>
      <c r="S1172" s="1"/>
      <c r="T1172" s="1"/>
      <c r="U1172" s="1"/>
      <c r="V1172" s="1"/>
      <c r="W1172" s="1"/>
      <c r="X1172" s="1"/>
      <c r="Y1172" s="1"/>
      <c r="Z1172" s="1"/>
    </row>
    <row r="1173" ht="14.25" customHeight="1">
      <c r="A1173" s="61"/>
      <c r="B1173" s="91"/>
      <c r="C1173" s="67"/>
      <c r="D1173" s="22"/>
      <c r="E1173" s="59" t="s">
        <v>159</v>
      </c>
      <c r="F1173" s="59"/>
      <c r="G1173" s="36">
        <v>16.0</v>
      </c>
      <c r="H1173" s="36" t="s">
        <v>26</v>
      </c>
      <c r="I1173" s="48">
        <v>500000.0</v>
      </c>
      <c r="J1173" s="46">
        <f t="shared" ref="J1173:J1174" si="456">G1173*I1173</f>
        <v>8000000</v>
      </c>
      <c r="K1173" s="46">
        <v>500000.0</v>
      </c>
      <c r="L1173" s="26"/>
      <c r="M1173" s="53">
        <v>4000000.0</v>
      </c>
      <c r="N1173" s="61"/>
      <c r="O1173" s="75">
        <f t="shared" si="3"/>
        <v>7500000</v>
      </c>
      <c r="P1173" s="75">
        <f t="shared" si="4"/>
        <v>4000000</v>
      </c>
      <c r="Q1173" s="64"/>
      <c r="R1173" s="1"/>
      <c r="S1173" s="1"/>
      <c r="T1173" s="1"/>
      <c r="U1173" s="1"/>
      <c r="V1173" s="1"/>
      <c r="W1173" s="1"/>
      <c r="X1173" s="1"/>
      <c r="Y1173" s="1"/>
      <c r="Z1173" s="1"/>
    </row>
    <row r="1174" ht="14.25" customHeight="1">
      <c r="A1174" s="61"/>
      <c r="B1174" s="91"/>
      <c r="C1174" s="67"/>
      <c r="D1174" s="22"/>
      <c r="E1174" s="59" t="s">
        <v>36</v>
      </c>
      <c r="F1174" s="59"/>
      <c r="G1174" s="36">
        <v>8.0</v>
      </c>
      <c r="H1174" s="36" t="s">
        <v>26</v>
      </c>
      <c r="I1174" s="48">
        <v>500000.0</v>
      </c>
      <c r="J1174" s="46">
        <f t="shared" si="456"/>
        <v>4000000</v>
      </c>
      <c r="K1174" s="46"/>
      <c r="L1174" s="26"/>
      <c r="M1174" s="53">
        <v>500000.0</v>
      </c>
      <c r="N1174" s="61"/>
      <c r="O1174" s="75">
        <f t="shared" si="3"/>
        <v>4000000</v>
      </c>
      <c r="P1174" s="75">
        <f t="shared" si="4"/>
        <v>3500000</v>
      </c>
      <c r="Q1174" s="64"/>
      <c r="R1174" s="1"/>
      <c r="S1174" s="1"/>
      <c r="T1174" s="1"/>
      <c r="U1174" s="1"/>
      <c r="V1174" s="1"/>
      <c r="W1174" s="1"/>
      <c r="X1174" s="1"/>
      <c r="Y1174" s="1"/>
      <c r="Z1174" s="1"/>
    </row>
    <row r="1175" ht="9.75" customHeight="1">
      <c r="A1175" s="61"/>
      <c r="B1175" s="91"/>
      <c r="C1175" s="41" t="s">
        <v>37</v>
      </c>
      <c r="D1175" s="56"/>
      <c r="E1175" s="59" t="s">
        <v>38</v>
      </c>
      <c r="F1175" s="59"/>
      <c r="G1175" s="22"/>
      <c r="H1175" s="22"/>
      <c r="I1175" s="22"/>
      <c r="J1175" s="43">
        <f t="shared" ref="J1175:K1175" si="457">J1176+J1181+J1184</f>
        <v>24400000</v>
      </c>
      <c r="K1175" s="43">
        <f t="shared" si="457"/>
        <v>0</v>
      </c>
      <c r="L1175" s="26"/>
      <c r="M1175" s="43">
        <f>M1176+M1181+M1184</f>
        <v>0</v>
      </c>
      <c r="N1175" s="61"/>
      <c r="O1175" s="75">
        <f t="shared" si="3"/>
        <v>24400000</v>
      </c>
      <c r="P1175" s="75">
        <f t="shared" si="4"/>
        <v>24400000</v>
      </c>
      <c r="Q1175" s="64"/>
      <c r="R1175" s="1"/>
      <c r="S1175" s="1"/>
      <c r="T1175" s="1"/>
      <c r="U1175" s="1"/>
      <c r="V1175" s="1"/>
      <c r="W1175" s="1"/>
      <c r="X1175" s="1"/>
      <c r="Y1175" s="1"/>
      <c r="Z1175" s="1"/>
    </row>
    <row r="1176" ht="14.25" customHeight="1">
      <c r="A1176" s="61"/>
      <c r="B1176" s="91"/>
      <c r="C1176" s="35" t="s">
        <v>40</v>
      </c>
      <c r="D1176" s="47"/>
      <c r="E1176" s="59" t="s">
        <v>22</v>
      </c>
      <c r="F1176" s="59"/>
      <c r="G1176" s="22"/>
      <c r="H1176" s="22"/>
      <c r="I1176" s="22"/>
      <c r="J1176" s="46">
        <f t="shared" ref="J1176:K1176" si="458">SUM(J1178:J1180)</f>
        <v>6400000</v>
      </c>
      <c r="K1176" s="46">
        <f t="shared" si="458"/>
        <v>0</v>
      </c>
      <c r="L1176" s="26"/>
      <c r="M1176" s="46">
        <f>SUM(M1178:M1180)</f>
        <v>0</v>
      </c>
      <c r="N1176" s="61"/>
      <c r="O1176" s="75">
        <f t="shared" si="3"/>
        <v>6400000</v>
      </c>
      <c r="P1176" s="75">
        <f t="shared" si="4"/>
        <v>6400000</v>
      </c>
      <c r="Q1176" s="64"/>
      <c r="R1176" s="1"/>
      <c r="S1176" s="1"/>
      <c r="T1176" s="1"/>
      <c r="U1176" s="1"/>
      <c r="V1176" s="1"/>
      <c r="W1176" s="1"/>
      <c r="X1176" s="1"/>
      <c r="Y1176" s="1"/>
      <c r="Z1176" s="1"/>
    </row>
    <row r="1177" ht="9.75" customHeight="1">
      <c r="A1177" s="61"/>
      <c r="B1177" s="91"/>
      <c r="C1177" s="67"/>
      <c r="D1177" s="22"/>
      <c r="E1177" s="59" t="s">
        <v>23</v>
      </c>
      <c r="F1177" s="59"/>
      <c r="G1177" s="22"/>
      <c r="H1177" s="22"/>
      <c r="I1177" s="22"/>
      <c r="J1177" s="22"/>
      <c r="K1177" s="22"/>
      <c r="L1177" s="26"/>
      <c r="M1177" s="22"/>
      <c r="N1177" s="61"/>
      <c r="O1177" s="75">
        <f t="shared" si="3"/>
        <v>0</v>
      </c>
      <c r="P1177" s="75">
        <f t="shared" si="4"/>
        <v>0</v>
      </c>
      <c r="Q1177" s="64"/>
      <c r="R1177" s="1"/>
      <c r="S1177" s="1"/>
      <c r="T1177" s="1"/>
      <c r="U1177" s="1"/>
      <c r="V1177" s="1"/>
      <c r="W1177" s="1"/>
      <c r="X1177" s="1"/>
      <c r="Y1177" s="1"/>
      <c r="Z1177" s="1"/>
    </row>
    <row r="1178" ht="14.25" customHeight="1">
      <c r="A1178" s="61"/>
      <c r="B1178" s="91"/>
      <c r="C1178" s="67"/>
      <c r="D1178" s="22"/>
      <c r="E1178" s="59" t="s">
        <v>160</v>
      </c>
      <c r="F1178" s="59"/>
      <c r="G1178" s="36">
        <v>100.0</v>
      </c>
      <c r="H1178" s="36" t="s">
        <v>26</v>
      </c>
      <c r="I1178" s="48">
        <v>53000.0</v>
      </c>
      <c r="J1178" s="46">
        <f t="shared" ref="J1178:J1180" si="459">G1178*I1178</f>
        <v>5300000</v>
      </c>
      <c r="K1178" s="46"/>
      <c r="L1178" s="26"/>
      <c r="M1178" s="46"/>
      <c r="N1178" s="61"/>
      <c r="O1178" s="75">
        <f t="shared" si="3"/>
        <v>5300000</v>
      </c>
      <c r="P1178" s="75">
        <f t="shared" si="4"/>
        <v>5300000</v>
      </c>
      <c r="Q1178" s="64"/>
      <c r="R1178" s="1"/>
      <c r="S1178" s="1"/>
      <c r="T1178" s="1"/>
      <c r="U1178" s="1"/>
      <c r="V1178" s="1"/>
      <c r="W1178" s="1"/>
      <c r="X1178" s="1"/>
      <c r="Y1178" s="1"/>
      <c r="Z1178" s="1"/>
    </row>
    <row r="1179" ht="14.25" customHeight="1">
      <c r="A1179" s="61"/>
      <c r="B1179" s="91"/>
      <c r="C1179" s="67"/>
      <c r="D1179" s="22"/>
      <c r="E1179" s="59" t="s">
        <v>42</v>
      </c>
      <c r="F1179" s="59"/>
      <c r="G1179" s="36">
        <v>2.0</v>
      </c>
      <c r="H1179" s="36" t="s">
        <v>26</v>
      </c>
      <c r="I1179" s="48">
        <v>250000.0</v>
      </c>
      <c r="J1179" s="46">
        <f t="shared" si="459"/>
        <v>500000</v>
      </c>
      <c r="K1179" s="46"/>
      <c r="L1179" s="26"/>
      <c r="M1179" s="46"/>
      <c r="N1179" s="61"/>
      <c r="O1179" s="75">
        <f t="shared" si="3"/>
        <v>500000</v>
      </c>
      <c r="P1179" s="75">
        <f t="shared" si="4"/>
        <v>500000</v>
      </c>
      <c r="Q1179" s="64"/>
      <c r="R1179" s="1"/>
      <c r="S1179" s="1"/>
      <c r="T1179" s="1"/>
      <c r="U1179" s="1"/>
      <c r="V1179" s="1"/>
      <c r="W1179" s="1"/>
      <c r="X1179" s="1"/>
      <c r="Y1179" s="1"/>
      <c r="Z1179" s="1"/>
    </row>
    <row r="1180" ht="14.25" customHeight="1">
      <c r="A1180" s="61"/>
      <c r="B1180" s="91"/>
      <c r="C1180" s="67"/>
      <c r="D1180" s="22"/>
      <c r="E1180" s="59" t="s">
        <v>43</v>
      </c>
      <c r="F1180" s="59"/>
      <c r="G1180" s="36">
        <v>2.0</v>
      </c>
      <c r="H1180" s="36" t="s">
        <v>26</v>
      </c>
      <c r="I1180" s="48">
        <v>300000.0</v>
      </c>
      <c r="J1180" s="46">
        <f t="shared" si="459"/>
        <v>600000</v>
      </c>
      <c r="K1180" s="46"/>
      <c r="L1180" s="26"/>
      <c r="M1180" s="46"/>
      <c r="N1180" s="61"/>
      <c r="O1180" s="75">
        <f t="shared" si="3"/>
        <v>600000</v>
      </c>
      <c r="P1180" s="75">
        <f t="shared" si="4"/>
        <v>600000</v>
      </c>
      <c r="Q1180" s="64"/>
      <c r="R1180" s="1"/>
      <c r="S1180" s="1"/>
      <c r="T1180" s="1"/>
      <c r="U1180" s="1"/>
      <c r="V1180" s="1"/>
      <c r="W1180" s="1"/>
      <c r="X1180" s="1"/>
      <c r="Y1180" s="1"/>
      <c r="Z1180" s="1"/>
    </row>
    <row r="1181" ht="14.25" customHeight="1">
      <c r="A1181" s="61"/>
      <c r="B1181" s="91"/>
      <c r="C1181" s="35" t="s">
        <v>44</v>
      </c>
      <c r="D1181" s="47"/>
      <c r="E1181" s="59" t="s">
        <v>45</v>
      </c>
      <c r="F1181" s="59"/>
      <c r="G1181" s="22"/>
      <c r="H1181" s="22"/>
      <c r="I1181" s="22"/>
      <c r="J1181" s="46">
        <f t="shared" ref="J1181:K1181" si="460">J1183</f>
        <v>2000000</v>
      </c>
      <c r="K1181" s="46" t="str">
        <f t="shared" si="460"/>
        <v/>
      </c>
      <c r="L1181" s="26"/>
      <c r="M1181" s="46" t="str">
        <f>M1183</f>
        <v/>
      </c>
      <c r="N1181" s="61"/>
      <c r="O1181" s="75">
        <f t="shared" si="3"/>
        <v>2000000</v>
      </c>
      <c r="P1181" s="75">
        <f t="shared" si="4"/>
        <v>2000000</v>
      </c>
      <c r="Q1181" s="64"/>
      <c r="R1181" s="1"/>
      <c r="S1181" s="1"/>
      <c r="T1181" s="1"/>
      <c r="U1181" s="1"/>
      <c r="V1181" s="1"/>
      <c r="W1181" s="1"/>
      <c r="X1181" s="1"/>
      <c r="Y1181" s="1"/>
      <c r="Z1181" s="1"/>
    </row>
    <row r="1182" ht="9.75" customHeight="1">
      <c r="A1182" s="61"/>
      <c r="B1182" s="91"/>
      <c r="C1182" s="67"/>
      <c r="D1182" s="22"/>
      <c r="E1182" s="59" t="s">
        <v>23</v>
      </c>
      <c r="F1182" s="59"/>
      <c r="G1182" s="22"/>
      <c r="H1182" s="22"/>
      <c r="I1182" s="22"/>
      <c r="J1182" s="22"/>
      <c r="K1182" s="22"/>
      <c r="L1182" s="26"/>
      <c r="M1182" s="22"/>
      <c r="N1182" s="61"/>
      <c r="O1182" s="75">
        <f t="shared" si="3"/>
        <v>0</v>
      </c>
      <c r="P1182" s="75">
        <f t="shared" si="4"/>
        <v>0</v>
      </c>
      <c r="Q1182" s="64"/>
      <c r="R1182" s="1"/>
      <c r="S1182" s="1"/>
      <c r="T1182" s="1"/>
      <c r="U1182" s="1"/>
      <c r="V1182" s="1"/>
      <c r="W1182" s="1"/>
      <c r="X1182" s="1"/>
      <c r="Y1182" s="1"/>
      <c r="Z1182" s="1"/>
    </row>
    <row r="1183" ht="14.25" customHeight="1">
      <c r="A1183" s="61"/>
      <c r="B1183" s="91"/>
      <c r="C1183" s="67"/>
      <c r="D1183" s="22"/>
      <c r="E1183" s="59" t="s">
        <v>161</v>
      </c>
      <c r="F1183" s="59"/>
      <c r="G1183" s="36">
        <v>4.0</v>
      </c>
      <c r="H1183" s="36" t="s">
        <v>26</v>
      </c>
      <c r="I1183" s="48">
        <v>500000.0</v>
      </c>
      <c r="J1183" s="46">
        <f>G1183*I1183</f>
        <v>2000000</v>
      </c>
      <c r="K1183" s="46"/>
      <c r="L1183" s="26"/>
      <c r="M1183" s="46"/>
      <c r="N1183" s="61"/>
      <c r="O1183" s="75">
        <f t="shared" si="3"/>
        <v>2000000</v>
      </c>
      <c r="P1183" s="75">
        <f t="shared" si="4"/>
        <v>2000000</v>
      </c>
      <c r="Q1183" s="64"/>
      <c r="R1183" s="1"/>
      <c r="S1183" s="1"/>
      <c r="T1183" s="1"/>
      <c r="U1183" s="1"/>
      <c r="V1183" s="1"/>
      <c r="W1183" s="1"/>
      <c r="X1183" s="1"/>
      <c r="Y1183" s="1"/>
      <c r="Z1183" s="1"/>
    </row>
    <row r="1184" ht="14.25" customHeight="1">
      <c r="A1184" s="61"/>
      <c r="B1184" s="91"/>
      <c r="C1184" s="35" t="s">
        <v>47</v>
      </c>
      <c r="D1184" s="47"/>
      <c r="E1184" s="59" t="s">
        <v>48</v>
      </c>
      <c r="F1184" s="59"/>
      <c r="G1184" s="22"/>
      <c r="H1184" s="22"/>
      <c r="I1184" s="22"/>
      <c r="J1184" s="46">
        <f t="shared" ref="J1184:K1184" si="461">J1186</f>
        <v>16000000</v>
      </c>
      <c r="K1184" s="46" t="str">
        <f t="shared" si="461"/>
        <v/>
      </c>
      <c r="L1184" s="26"/>
      <c r="M1184" s="46" t="str">
        <f>M1186</f>
        <v/>
      </c>
      <c r="N1184" s="61"/>
      <c r="O1184" s="75">
        <f t="shared" si="3"/>
        <v>16000000</v>
      </c>
      <c r="P1184" s="75">
        <f t="shared" si="4"/>
        <v>16000000</v>
      </c>
      <c r="Q1184" s="64"/>
      <c r="R1184" s="1"/>
      <c r="S1184" s="1"/>
      <c r="T1184" s="1"/>
      <c r="U1184" s="1"/>
      <c r="V1184" s="1"/>
      <c r="W1184" s="1"/>
      <c r="X1184" s="1"/>
      <c r="Y1184" s="1"/>
      <c r="Z1184" s="1"/>
    </row>
    <row r="1185" ht="9.75" customHeight="1">
      <c r="A1185" s="61"/>
      <c r="B1185" s="91"/>
      <c r="C1185" s="67"/>
      <c r="D1185" s="22"/>
      <c r="E1185" s="59" t="s">
        <v>23</v>
      </c>
      <c r="F1185" s="59"/>
      <c r="G1185" s="22"/>
      <c r="H1185" s="22"/>
      <c r="I1185" s="22"/>
      <c r="J1185" s="22"/>
      <c r="K1185" s="22"/>
      <c r="L1185" s="26"/>
      <c r="M1185" s="22"/>
      <c r="N1185" s="61"/>
      <c r="O1185" s="75">
        <f t="shared" si="3"/>
        <v>0</v>
      </c>
      <c r="P1185" s="75">
        <f t="shared" si="4"/>
        <v>0</v>
      </c>
      <c r="Q1185" s="64"/>
      <c r="R1185" s="1"/>
      <c r="S1185" s="1"/>
      <c r="T1185" s="1"/>
      <c r="U1185" s="1"/>
      <c r="V1185" s="1"/>
      <c r="W1185" s="1"/>
      <c r="X1185" s="1"/>
      <c r="Y1185" s="1"/>
      <c r="Z1185" s="1"/>
    </row>
    <row r="1186" ht="14.25" customHeight="1">
      <c r="A1186" s="61"/>
      <c r="B1186" s="91"/>
      <c r="C1186" s="67"/>
      <c r="D1186" s="22"/>
      <c r="E1186" s="59" t="s">
        <v>162</v>
      </c>
      <c r="F1186" s="59"/>
      <c r="G1186" s="36">
        <v>4.0</v>
      </c>
      <c r="H1186" s="36" t="s">
        <v>26</v>
      </c>
      <c r="I1186" s="48">
        <v>4000000.0</v>
      </c>
      <c r="J1186" s="46">
        <f>G1186*I1186</f>
        <v>16000000</v>
      </c>
      <c r="K1186" s="46"/>
      <c r="L1186" s="26"/>
      <c r="M1186" s="46"/>
      <c r="N1186" s="61"/>
      <c r="O1186" s="75">
        <f t="shared" si="3"/>
        <v>16000000</v>
      </c>
      <c r="P1186" s="75">
        <f t="shared" si="4"/>
        <v>16000000</v>
      </c>
      <c r="Q1186" s="64"/>
      <c r="R1186" s="1"/>
      <c r="S1186" s="1"/>
      <c r="T1186" s="1"/>
      <c r="U1186" s="1"/>
      <c r="V1186" s="1"/>
      <c r="W1186" s="1"/>
      <c r="X1186" s="1"/>
      <c r="Y1186" s="1"/>
      <c r="Z1186" s="1"/>
    </row>
    <row r="1187" ht="9.75" customHeight="1">
      <c r="A1187" s="61"/>
      <c r="B1187" s="91"/>
      <c r="C1187" s="41" t="s">
        <v>50</v>
      </c>
      <c r="D1187" s="56"/>
      <c r="E1187" s="59" t="s">
        <v>51</v>
      </c>
      <c r="F1187" s="59"/>
      <c r="G1187" s="22"/>
      <c r="H1187" s="22"/>
      <c r="I1187" s="22"/>
      <c r="J1187" s="43">
        <f t="shared" ref="J1187:K1187" si="462">J1188+J1194+J1197</f>
        <v>56050000</v>
      </c>
      <c r="K1187" s="43">
        <f t="shared" si="462"/>
        <v>0</v>
      </c>
      <c r="L1187" s="26"/>
      <c r="M1187" s="43">
        <f>M1188+M1194+M1197</f>
        <v>1545000</v>
      </c>
      <c r="N1187" s="61"/>
      <c r="O1187" s="75">
        <f t="shared" si="3"/>
        <v>56050000</v>
      </c>
      <c r="P1187" s="75">
        <f t="shared" si="4"/>
        <v>54505000</v>
      </c>
      <c r="Q1187" s="64"/>
      <c r="R1187" s="1"/>
      <c r="S1187" s="1"/>
      <c r="T1187" s="1"/>
      <c r="U1187" s="1"/>
      <c r="V1187" s="1"/>
      <c r="W1187" s="1"/>
      <c r="X1187" s="1"/>
      <c r="Y1187" s="1"/>
      <c r="Z1187" s="1"/>
    </row>
    <row r="1188" ht="14.25" customHeight="1">
      <c r="A1188" s="61"/>
      <c r="B1188" s="91"/>
      <c r="C1188" s="35" t="s">
        <v>40</v>
      </c>
      <c r="D1188" s="47"/>
      <c r="E1188" s="59" t="s">
        <v>22</v>
      </c>
      <c r="F1188" s="59"/>
      <c r="G1188" s="22"/>
      <c r="H1188" s="22"/>
      <c r="I1188" s="22"/>
      <c r="J1188" s="46">
        <f t="shared" ref="J1188:K1188" si="463">SUM(J1190:J1193)</f>
        <v>38050000</v>
      </c>
      <c r="K1188" s="46">
        <f t="shared" si="463"/>
        <v>0</v>
      </c>
      <c r="L1188" s="26"/>
      <c r="M1188" s="46">
        <f>SUM(M1190:M1193)</f>
        <v>45000</v>
      </c>
      <c r="N1188" s="61"/>
      <c r="O1188" s="75">
        <f t="shared" si="3"/>
        <v>38050000</v>
      </c>
      <c r="P1188" s="75">
        <f t="shared" si="4"/>
        <v>38005000</v>
      </c>
      <c r="Q1188" s="64"/>
      <c r="R1188" s="1"/>
      <c r="S1188" s="1"/>
      <c r="T1188" s="1"/>
      <c r="U1188" s="1"/>
      <c r="V1188" s="1"/>
      <c r="W1188" s="1"/>
      <c r="X1188" s="1"/>
      <c r="Y1188" s="1"/>
      <c r="Z1188" s="1"/>
    </row>
    <row r="1189" ht="9.75" customHeight="1">
      <c r="A1189" s="61"/>
      <c r="B1189" s="91"/>
      <c r="C1189" s="67"/>
      <c r="D1189" s="22"/>
      <c r="E1189" s="59" t="s">
        <v>23</v>
      </c>
      <c r="F1189" s="59"/>
      <c r="G1189" s="22"/>
      <c r="H1189" s="22"/>
      <c r="I1189" s="22"/>
      <c r="J1189" s="22"/>
      <c r="K1189" s="22"/>
      <c r="L1189" s="26"/>
      <c r="M1189" s="22"/>
      <c r="N1189" s="61"/>
      <c r="O1189" s="75">
        <f t="shared" si="3"/>
        <v>0</v>
      </c>
      <c r="P1189" s="75">
        <f t="shared" si="4"/>
        <v>0</v>
      </c>
      <c r="Q1189" s="64"/>
      <c r="R1189" s="1"/>
      <c r="S1189" s="1"/>
      <c r="T1189" s="1"/>
      <c r="U1189" s="1"/>
      <c r="V1189" s="1"/>
      <c r="W1189" s="1"/>
      <c r="X1189" s="1"/>
      <c r="Y1189" s="1"/>
      <c r="Z1189" s="1"/>
    </row>
    <row r="1190" ht="14.25" customHeight="1">
      <c r="A1190" s="61"/>
      <c r="B1190" s="91"/>
      <c r="C1190" s="67"/>
      <c r="D1190" s="22"/>
      <c r="E1190" s="59" t="s">
        <v>163</v>
      </c>
      <c r="F1190" s="59"/>
      <c r="G1190" s="36">
        <v>100.0</v>
      </c>
      <c r="H1190" s="36" t="s">
        <v>26</v>
      </c>
      <c r="I1190" s="48">
        <v>53000.0</v>
      </c>
      <c r="J1190" s="46">
        <f t="shared" ref="J1190:J1193" si="464">G1190*I1190</f>
        <v>5300000</v>
      </c>
      <c r="K1190" s="46"/>
      <c r="L1190" s="26"/>
      <c r="M1190" s="46"/>
      <c r="N1190" s="61"/>
      <c r="O1190" s="75">
        <f t="shared" si="3"/>
        <v>5300000</v>
      </c>
      <c r="P1190" s="75">
        <f t="shared" si="4"/>
        <v>5300000</v>
      </c>
      <c r="Q1190" s="64"/>
      <c r="R1190" s="1"/>
      <c r="S1190" s="1"/>
      <c r="T1190" s="1"/>
      <c r="U1190" s="1"/>
      <c r="V1190" s="1"/>
      <c r="W1190" s="1"/>
      <c r="X1190" s="1"/>
      <c r="Y1190" s="1"/>
      <c r="Z1190" s="1"/>
    </row>
    <row r="1191" ht="14.25" customHeight="1">
      <c r="A1191" s="61"/>
      <c r="B1191" s="91"/>
      <c r="C1191" s="67"/>
      <c r="D1191" s="22"/>
      <c r="E1191" s="59" t="s">
        <v>53</v>
      </c>
      <c r="F1191" s="59"/>
      <c r="G1191" s="36">
        <v>5.0</v>
      </c>
      <c r="H1191" s="36" t="s">
        <v>26</v>
      </c>
      <c r="I1191" s="48">
        <v>500000.0</v>
      </c>
      <c r="J1191" s="46">
        <f t="shared" si="464"/>
        <v>2500000</v>
      </c>
      <c r="K1191" s="46"/>
      <c r="L1191" s="26"/>
      <c r="M1191" s="46"/>
      <c r="N1191" s="61"/>
      <c r="O1191" s="75">
        <f t="shared" si="3"/>
        <v>2500000</v>
      </c>
      <c r="P1191" s="75">
        <f t="shared" si="4"/>
        <v>2500000</v>
      </c>
      <c r="Q1191" s="64"/>
      <c r="R1191" s="1"/>
      <c r="S1191" s="1"/>
      <c r="T1191" s="1"/>
      <c r="U1191" s="1"/>
      <c r="V1191" s="1"/>
      <c r="W1191" s="1"/>
      <c r="X1191" s="1"/>
      <c r="Y1191" s="1"/>
      <c r="Z1191" s="1"/>
    </row>
    <row r="1192" ht="14.25" customHeight="1">
      <c r="A1192" s="61"/>
      <c r="B1192" s="91"/>
      <c r="C1192" s="67"/>
      <c r="D1192" s="22"/>
      <c r="E1192" s="59" t="s">
        <v>54</v>
      </c>
      <c r="F1192" s="59"/>
      <c r="G1192" s="36">
        <v>1.0</v>
      </c>
      <c r="H1192" s="36" t="s">
        <v>55</v>
      </c>
      <c r="I1192" s="48">
        <v>250000.0</v>
      </c>
      <c r="J1192" s="46">
        <f t="shared" si="464"/>
        <v>250000</v>
      </c>
      <c r="K1192" s="46"/>
      <c r="L1192" s="26"/>
      <c r="M1192" s="46"/>
      <c r="N1192" s="61"/>
      <c r="O1192" s="75">
        <f t="shared" si="3"/>
        <v>250000</v>
      </c>
      <c r="P1192" s="75">
        <f t="shared" si="4"/>
        <v>250000</v>
      </c>
      <c r="Q1192" s="64"/>
      <c r="R1192" s="1"/>
      <c r="S1192" s="1"/>
      <c r="T1192" s="1"/>
      <c r="U1192" s="1"/>
      <c r="V1192" s="1"/>
      <c r="W1192" s="1"/>
      <c r="X1192" s="1"/>
      <c r="Y1192" s="1"/>
      <c r="Z1192" s="1"/>
    </row>
    <row r="1193" ht="14.25" customHeight="1">
      <c r="A1193" s="61"/>
      <c r="B1193" s="91"/>
      <c r="C1193" s="67"/>
      <c r="D1193" s="22"/>
      <c r="E1193" s="59" t="s">
        <v>164</v>
      </c>
      <c r="F1193" s="59"/>
      <c r="G1193" s="36">
        <v>100.0</v>
      </c>
      <c r="H1193" s="36" t="s">
        <v>26</v>
      </c>
      <c r="I1193" s="48">
        <v>300000.0</v>
      </c>
      <c r="J1193" s="46">
        <f t="shared" si="464"/>
        <v>30000000</v>
      </c>
      <c r="K1193" s="46"/>
      <c r="L1193" s="26"/>
      <c r="M1193" s="53">
        <v>45000.0</v>
      </c>
      <c r="N1193" s="61"/>
      <c r="O1193" s="75">
        <f t="shared" si="3"/>
        <v>30000000</v>
      </c>
      <c r="P1193" s="75">
        <f t="shared" si="4"/>
        <v>29955000</v>
      </c>
      <c r="Q1193" s="64"/>
      <c r="R1193" s="1"/>
      <c r="S1193" s="1"/>
      <c r="T1193" s="1"/>
      <c r="U1193" s="1"/>
      <c r="V1193" s="1"/>
      <c r="W1193" s="1"/>
      <c r="X1193" s="1"/>
      <c r="Y1193" s="1"/>
      <c r="Z1193" s="1"/>
    </row>
    <row r="1194" ht="14.25" customHeight="1">
      <c r="A1194" s="61"/>
      <c r="B1194" s="91"/>
      <c r="C1194" s="35" t="s">
        <v>47</v>
      </c>
      <c r="D1194" s="47"/>
      <c r="E1194" s="59" t="s">
        <v>48</v>
      </c>
      <c r="F1194" s="59"/>
      <c r="G1194" s="22"/>
      <c r="H1194" s="22"/>
      <c r="I1194" s="22"/>
      <c r="J1194" s="46">
        <f t="shared" ref="J1194:K1194" si="465">J1196</f>
        <v>16000000</v>
      </c>
      <c r="K1194" s="46" t="str">
        <f t="shared" si="465"/>
        <v/>
      </c>
      <c r="L1194" s="26"/>
      <c r="M1194" s="46" t="str">
        <f>M1196</f>
        <v/>
      </c>
      <c r="N1194" s="61"/>
      <c r="O1194" s="75">
        <f t="shared" si="3"/>
        <v>16000000</v>
      </c>
      <c r="P1194" s="75">
        <f t="shared" si="4"/>
        <v>16000000</v>
      </c>
      <c r="Q1194" s="64"/>
      <c r="R1194" s="1"/>
      <c r="S1194" s="1"/>
      <c r="T1194" s="1"/>
      <c r="U1194" s="1"/>
      <c r="V1194" s="1"/>
      <c r="W1194" s="1"/>
      <c r="X1194" s="1"/>
      <c r="Y1194" s="1"/>
      <c r="Z1194" s="1"/>
    </row>
    <row r="1195" ht="9.75" customHeight="1">
      <c r="A1195" s="61"/>
      <c r="B1195" s="91"/>
      <c r="C1195" s="67"/>
      <c r="D1195" s="22"/>
      <c r="E1195" s="59" t="s">
        <v>23</v>
      </c>
      <c r="F1195" s="59"/>
      <c r="G1195" s="22"/>
      <c r="H1195" s="22"/>
      <c r="I1195" s="22"/>
      <c r="J1195" s="22"/>
      <c r="K1195" s="22"/>
      <c r="L1195" s="26"/>
      <c r="M1195" s="22"/>
      <c r="N1195" s="61"/>
      <c r="O1195" s="75">
        <f t="shared" si="3"/>
        <v>0</v>
      </c>
      <c r="P1195" s="75">
        <f t="shared" si="4"/>
        <v>0</v>
      </c>
      <c r="Q1195" s="64"/>
      <c r="R1195" s="1"/>
      <c r="S1195" s="1"/>
      <c r="T1195" s="1"/>
      <c r="U1195" s="1"/>
      <c r="V1195" s="1"/>
      <c r="W1195" s="1"/>
      <c r="X1195" s="1"/>
      <c r="Y1195" s="1"/>
      <c r="Z1195" s="1"/>
    </row>
    <row r="1196" ht="14.25" customHeight="1">
      <c r="A1196" s="61"/>
      <c r="B1196" s="91"/>
      <c r="C1196" s="67"/>
      <c r="D1196" s="22"/>
      <c r="E1196" s="59" t="s">
        <v>165</v>
      </c>
      <c r="F1196" s="59"/>
      <c r="G1196" s="36">
        <v>4.0</v>
      </c>
      <c r="H1196" s="36" t="s">
        <v>26</v>
      </c>
      <c r="I1196" s="48">
        <v>4000000.0</v>
      </c>
      <c r="J1196" s="46">
        <f>G1196*I1196</f>
        <v>16000000</v>
      </c>
      <c r="K1196" s="46"/>
      <c r="L1196" s="26"/>
      <c r="M1196" s="46"/>
      <c r="N1196" s="61"/>
      <c r="O1196" s="75">
        <f t="shared" si="3"/>
        <v>16000000</v>
      </c>
      <c r="P1196" s="75">
        <f t="shared" si="4"/>
        <v>16000000</v>
      </c>
      <c r="Q1196" s="64"/>
      <c r="R1196" s="1"/>
      <c r="S1196" s="1"/>
      <c r="T1196" s="1"/>
      <c r="U1196" s="1"/>
      <c r="V1196" s="1"/>
      <c r="W1196" s="1"/>
      <c r="X1196" s="1"/>
      <c r="Y1196" s="1"/>
      <c r="Z1196" s="1"/>
    </row>
    <row r="1197" ht="14.25" customHeight="1">
      <c r="A1197" s="61"/>
      <c r="B1197" s="91"/>
      <c r="C1197" s="35" t="s">
        <v>58</v>
      </c>
      <c r="D1197" s="47"/>
      <c r="E1197" s="59" t="s">
        <v>34</v>
      </c>
      <c r="F1197" s="59"/>
      <c r="G1197" s="22"/>
      <c r="H1197" s="22"/>
      <c r="I1197" s="22"/>
      <c r="J1197" s="46">
        <f t="shared" ref="J1197:K1197" si="466">J1199</f>
        <v>2000000</v>
      </c>
      <c r="K1197" s="46" t="str">
        <f t="shared" si="466"/>
        <v/>
      </c>
      <c r="L1197" s="26"/>
      <c r="M1197" s="46">
        <f>M1199</f>
        <v>1500000</v>
      </c>
      <c r="N1197" s="61"/>
      <c r="O1197" s="75">
        <f t="shared" si="3"/>
        <v>2000000</v>
      </c>
      <c r="P1197" s="75">
        <f t="shared" si="4"/>
        <v>500000</v>
      </c>
      <c r="Q1197" s="64"/>
      <c r="R1197" s="1"/>
      <c r="S1197" s="1"/>
      <c r="T1197" s="1"/>
      <c r="U1197" s="1"/>
      <c r="V1197" s="1"/>
      <c r="W1197" s="1"/>
      <c r="X1197" s="1"/>
      <c r="Y1197" s="1"/>
      <c r="Z1197" s="1"/>
    </row>
    <row r="1198" ht="9.75" customHeight="1">
      <c r="A1198" s="61"/>
      <c r="B1198" s="91"/>
      <c r="C1198" s="67"/>
      <c r="D1198" s="22"/>
      <c r="E1198" s="59" t="s">
        <v>23</v>
      </c>
      <c r="F1198" s="59"/>
      <c r="G1198" s="22"/>
      <c r="H1198" s="22"/>
      <c r="I1198" s="22"/>
      <c r="J1198" s="22"/>
      <c r="K1198" s="22"/>
      <c r="L1198" s="26"/>
      <c r="M1198" s="22"/>
      <c r="N1198" s="61"/>
      <c r="O1198" s="75">
        <f t="shared" si="3"/>
        <v>0</v>
      </c>
      <c r="P1198" s="75">
        <f t="shared" si="4"/>
        <v>0</v>
      </c>
      <c r="Q1198" s="64"/>
      <c r="R1198" s="1"/>
      <c r="S1198" s="1"/>
      <c r="T1198" s="1"/>
      <c r="U1198" s="1"/>
      <c r="V1198" s="1"/>
      <c r="W1198" s="1"/>
      <c r="X1198" s="1"/>
      <c r="Y1198" s="1"/>
      <c r="Z1198" s="1"/>
    </row>
    <row r="1199" ht="14.25" customHeight="1">
      <c r="A1199" s="61"/>
      <c r="B1199" s="91"/>
      <c r="C1199" s="67"/>
      <c r="D1199" s="22"/>
      <c r="E1199" s="59" t="s">
        <v>59</v>
      </c>
      <c r="F1199" s="59"/>
      <c r="G1199" s="36">
        <v>4.0</v>
      </c>
      <c r="H1199" s="36" t="s">
        <v>26</v>
      </c>
      <c r="I1199" s="48">
        <v>500000.0</v>
      </c>
      <c r="J1199" s="46">
        <f>G1199*I1199</f>
        <v>2000000</v>
      </c>
      <c r="K1199" s="46"/>
      <c r="L1199" s="26"/>
      <c r="M1199" s="53">
        <v>1500000.0</v>
      </c>
      <c r="N1199" s="61"/>
      <c r="O1199" s="75">
        <f t="shared" si="3"/>
        <v>2000000</v>
      </c>
      <c r="P1199" s="75">
        <f t="shared" si="4"/>
        <v>500000</v>
      </c>
      <c r="Q1199" s="64"/>
      <c r="R1199" s="1"/>
      <c r="S1199" s="1"/>
      <c r="T1199" s="1"/>
      <c r="U1199" s="1"/>
      <c r="V1199" s="1"/>
      <c r="W1199" s="1"/>
      <c r="X1199" s="1"/>
      <c r="Y1199" s="1"/>
      <c r="Z1199" s="1"/>
    </row>
    <row r="1200" ht="14.25" customHeight="1">
      <c r="A1200" s="61"/>
      <c r="B1200" s="91"/>
      <c r="C1200" s="41" t="s">
        <v>60</v>
      </c>
      <c r="D1200" s="56"/>
      <c r="E1200" s="59" t="s">
        <v>61</v>
      </c>
      <c r="F1200" s="59"/>
      <c r="G1200" s="22"/>
      <c r="H1200" s="22"/>
      <c r="I1200" s="22"/>
      <c r="J1200" s="43">
        <f t="shared" ref="J1200:K1200" si="467">J1201+J1204+J1208+J1211+J1214</f>
        <v>220800000</v>
      </c>
      <c r="K1200" s="43">
        <f t="shared" si="467"/>
        <v>51995000</v>
      </c>
      <c r="L1200" s="26"/>
      <c r="M1200" s="43">
        <f>M1201+M1204+M1208+M1211+M1214</f>
        <v>59862000</v>
      </c>
      <c r="N1200" s="61"/>
      <c r="O1200" s="75">
        <f t="shared" si="3"/>
        <v>168805000</v>
      </c>
      <c r="P1200" s="75">
        <f t="shared" si="4"/>
        <v>160938000</v>
      </c>
      <c r="Q1200" s="64"/>
      <c r="R1200" s="1"/>
      <c r="S1200" s="1"/>
      <c r="T1200" s="1"/>
      <c r="U1200" s="1"/>
      <c r="V1200" s="1"/>
      <c r="W1200" s="1"/>
      <c r="X1200" s="1"/>
      <c r="Y1200" s="1"/>
      <c r="Z1200" s="1"/>
    </row>
    <row r="1201" ht="14.25" customHeight="1">
      <c r="A1201" s="61"/>
      <c r="B1201" s="91"/>
      <c r="C1201" s="35" t="s">
        <v>40</v>
      </c>
      <c r="D1201" s="47"/>
      <c r="E1201" s="59" t="s">
        <v>22</v>
      </c>
      <c r="F1201" s="59"/>
      <c r="G1201" s="22"/>
      <c r="H1201" s="22"/>
      <c r="I1201" s="22"/>
      <c r="J1201" s="46">
        <f t="shared" ref="J1201:K1201" si="468">J1203</f>
        <v>31800000</v>
      </c>
      <c r="K1201" s="46" t="str">
        <f t="shared" si="468"/>
        <v/>
      </c>
      <c r="L1201" s="26"/>
      <c r="M1201" s="46">
        <f>M1203</f>
        <v>162000</v>
      </c>
      <c r="N1201" s="61"/>
      <c r="O1201" s="75">
        <f t="shared" si="3"/>
        <v>31800000</v>
      </c>
      <c r="P1201" s="75">
        <f t="shared" si="4"/>
        <v>31638000</v>
      </c>
      <c r="Q1201" s="64"/>
      <c r="R1201" s="1"/>
      <c r="S1201" s="1"/>
      <c r="T1201" s="1"/>
      <c r="U1201" s="1"/>
      <c r="V1201" s="1"/>
      <c r="W1201" s="1"/>
      <c r="X1201" s="1"/>
      <c r="Y1201" s="1"/>
      <c r="Z1201" s="1"/>
    </row>
    <row r="1202" ht="9.75" customHeight="1">
      <c r="A1202" s="61"/>
      <c r="B1202" s="91"/>
      <c r="C1202" s="67"/>
      <c r="D1202" s="22"/>
      <c r="E1202" s="59" t="s">
        <v>23</v>
      </c>
      <c r="F1202" s="59"/>
      <c r="G1202" s="22"/>
      <c r="H1202" s="22"/>
      <c r="I1202" s="22"/>
      <c r="J1202" s="22"/>
      <c r="K1202" s="22"/>
      <c r="L1202" s="26"/>
      <c r="M1202" s="22"/>
      <c r="N1202" s="61"/>
      <c r="O1202" s="75">
        <f t="shared" si="3"/>
        <v>0</v>
      </c>
      <c r="P1202" s="75">
        <f t="shared" si="4"/>
        <v>0</v>
      </c>
      <c r="Q1202" s="64"/>
      <c r="R1202" s="1"/>
      <c r="S1202" s="1"/>
      <c r="T1202" s="1"/>
      <c r="U1202" s="1"/>
      <c r="V1202" s="1"/>
      <c r="W1202" s="1"/>
      <c r="X1202" s="1"/>
      <c r="Y1202" s="1"/>
      <c r="Z1202" s="1"/>
    </row>
    <row r="1203" ht="14.25" customHeight="1">
      <c r="A1203" s="61"/>
      <c r="B1203" s="91"/>
      <c r="C1203" s="67"/>
      <c r="D1203" s="22"/>
      <c r="E1203" s="59" t="s">
        <v>166</v>
      </c>
      <c r="F1203" s="59"/>
      <c r="G1203" s="36">
        <v>600.0</v>
      </c>
      <c r="H1203" s="36" t="s">
        <v>26</v>
      </c>
      <c r="I1203" s="48">
        <v>53000.0</v>
      </c>
      <c r="J1203" s="46">
        <f>G1203*I1203</f>
        <v>31800000</v>
      </c>
      <c r="K1203" s="46"/>
      <c r="L1203" s="26"/>
      <c r="M1203" s="53">
        <v>162000.0</v>
      </c>
      <c r="N1203" s="61"/>
      <c r="O1203" s="75">
        <f t="shared" si="3"/>
        <v>31800000</v>
      </c>
      <c r="P1203" s="75">
        <f t="shared" si="4"/>
        <v>31638000</v>
      </c>
      <c r="Q1203" s="64"/>
      <c r="R1203" s="1"/>
      <c r="S1203" s="1"/>
      <c r="T1203" s="1"/>
      <c r="U1203" s="1"/>
      <c r="V1203" s="1"/>
      <c r="W1203" s="1"/>
      <c r="X1203" s="1"/>
      <c r="Y1203" s="1"/>
      <c r="Z1203" s="1"/>
    </row>
    <row r="1204" ht="14.25" customHeight="1">
      <c r="A1204" s="61"/>
      <c r="B1204" s="91"/>
      <c r="C1204" s="35" t="s">
        <v>63</v>
      </c>
      <c r="D1204" s="47"/>
      <c r="E1204" s="59" t="s">
        <v>64</v>
      </c>
      <c r="F1204" s="59"/>
      <c r="G1204" s="22"/>
      <c r="H1204" s="22"/>
      <c r="I1204" s="22"/>
      <c r="J1204" s="46">
        <f t="shared" ref="J1204:K1204" si="469">SUM(J1206:J1207)</f>
        <v>115000000</v>
      </c>
      <c r="K1204" s="46">
        <f t="shared" si="469"/>
        <v>51995000</v>
      </c>
      <c r="L1204" s="26"/>
      <c r="M1204" s="46">
        <f>SUM(M1206:M1207)</f>
        <v>52700000</v>
      </c>
      <c r="N1204" s="61"/>
      <c r="O1204" s="75">
        <f t="shared" si="3"/>
        <v>63005000</v>
      </c>
      <c r="P1204" s="75">
        <f t="shared" si="4"/>
        <v>62300000</v>
      </c>
      <c r="Q1204" s="64"/>
      <c r="R1204" s="1"/>
      <c r="S1204" s="1"/>
      <c r="T1204" s="1"/>
      <c r="U1204" s="1"/>
      <c r="V1204" s="1"/>
      <c r="W1204" s="1"/>
      <c r="X1204" s="1"/>
      <c r="Y1204" s="1"/>
      <c r="Z1204" s="1"/>
    </row>
    <row r="1205" ht="9.75" customHeight="1">
      <c r="A1205" s="61"/>
      <c r="B1205" s="91"/>
      <c r="C1205" s="67"/>
      <c r="D1205" s="22"/>
      <c r="E1205" s="59" t="s">
        <v>23</v>
      </c>
      <c r="F1205" s="59"/>
      <c r="G1205" s="22"/>
      <c r="H1205" s="22"/>
      <c r="I1205" s="22"/>
      <c r="J1205" s="22"/>
      <c r="K1205" s="22"/>
      <c r="L1205" s="26"/>
      <c r="M1205" s="22"/>
      <c r="N1205" s="61"/>
      <c r="O1205" s="75">
        <f t="shared" si="3"/>
        <v>0</v>
      </c>
      <c r="P1205" s="75">
        <f t="shared" si="4"/>
        <v>0</v>
      </c>
      <c r="Q1205" s="64"/>
      <c r="R1205" s="1"/>
      <c r="S1205" s="1"/>
      <c r="T1205" s="1"/>
      <c r="U1205" s="1"/>
      <c r="V1205" s="1"/>
      <c r="W1205" s="1"/>
      <c r="X1205" s="1"/>
      <c r="Y1205" s="1"/>
      <c r="Z1205" s="1"/>
    </row>
    <row r="1206" ht="14.25" customHeight="1">
      <c r="A1206" s="61"/>
      <c r="B1206" s="91"/>
      <c r="C1206" s="67"/>
      <c r="D1206" s="22"/>
      <c r="E1206" s="59" t="s">
        <v>289</v>
      </c>
      <c r="F1206" s="59"/>
      <c r="G1206" s="36">
        <v>1.0</v>
      </c>
      <c r="H1206" s="36" t="s">
        <v>97</v>
      </c>
      <c r="I1206" s="48">
        <v>9.5E7</v>
      </c>
      <c r="J1206" s="46">
        <f t="shared" ref="J1206:J1207" si="470">G1206*I1206</f>
        <v>95000000</v>
      </c>
      <c r="K1206" s="46">
        <v>5.1995E7</v>
      </c>
      <c r="L1206" s="26"/>
      <c r="M1206" s="53">
        <v>5.27E7</v>
      </c>
      <c r="N1206" s="61"/>
      <c r="O1206" s="75">
        <f t="shared" si="3"/>
        <v>43005000</v>
      </c>
      <c r="P1206" s="75">
        <f t="shared" si="4"/>
        <v>42300000</v>
      </c>
      <c r="Q1206" s="64"/>
      <c r="R1206" s="1"/>
      <c r="S1206" s="1"/>
      <c r="T1206" s="1"/>
      <c r="U1206" s="1"/>
      <c r="V1206" s="1"/>
      <c r="W1206" s="1"/>
      <c r="X1206" s="1"/>
      <c r="Y1206" s="1"/>
      <c r="Z1206" s="1"/>
    </row>
    <row r="1207" ht="14.25" customHeight="1">
      <c r="A1207" s="61"/>
      <c r="B1207" s="91"/>
      <c r="C1207" s="67"/>
      <c r="D1207" s="22"/>
      <c r="E1207" s="59" t="s">
        <v>167</v>
      </c>
      <c r="F1207" s="59"/>
      <c r="G1207" s="36">
        <v>100.0</v>
      </c>
      <c r="H1207" s="36" t="s">
        <v>26</v>
      </c>
      <c r="I1207" s="48">
        <v>200000.0</v>
      </c>
      <c r="J1207" s="46">
        <f t="shared" si="470"/>
        <v>20000000</v>
      </c>
      <c r="K1207" s="46"/>
      <c r="L1207" s="26"/>
      <c r="M1207" s="46"/>
      <c r="N1207" s="61"/>
      <c r="O1207" s="75">
        <f t="shared" si="3"/>
        <v>20000000</v>
      </c>
      <c r="P1207" s="75">
        <f t="shared" si="4"/>
        <v>20000000</v>
      </c>
      <c r="Q1207" s="64"/>
      <c r="R1207" s="1"/>
      <c r="S1207" s="1"/>
      <c r="T1207" s="1"/>
      <c r="U1207" s="1"/>
      <c r="V1207" s="1"/>
      <c r="W1207" s="1"/>
      <c r="X1207" s="1"/>
      <c r="Y1207" s="1"/>
      <c r="Z1207" s="1"/>
    </row>
    <row r="1208" ht="14.25" customHeight="1">
      <c r="A1208" s="61"/>
      <c r="B1208" s="91"/>
      <c r="C1208" s="35" t="s">
        <v>68</v>
      </c>
      <c r="D1208" s="47"/>
      <c r="E1208" s="59" t="s">
        <v>69</v>
      </c>
      <c r="F1208" s="59"/>
      <c r="G1208" s="22"/>
      <c r="H1208" s="22"/>
      <c r="I1208" s="22"/>
      <c r="J1208" s="46">
        <f t="shared" ref="J1208:K1208" si="471">J1210</f>
        <v>10000000</v>
      </c>
      <c r="K1208" s="46" t="str">
        <f t="shared" si="471"/>
        <v/>
      </c>
      <c r="L1208" s="26"/>
      <c r="M1208" s="46" t="str">
        <f>M1210</f>
        <v/>
      </c>
      <c r="N1208" s="61"/>
      <c r="O1208" s="75">
        <f t="shared" si="3"/>
        <v>10000000</v>
      </c>
      <c r="P1208" s="75">
        <f t="shared" si="4"/>
        <v>10000000</v>
      </c>
      <c r="Q1208" s="64"/>
      <c r="R1208" s="1"/>
      <c r="S1208" s="1"/>
      <c r="T1208" s="1"/>
      <c r="U1208" s="1"/>
      <c r="V1208" s="1"/>
      <c r="W1208" s="1"/>
      <c r="X1208" s="1"/>
      <c r="Y1208" s="1"/>
      <c r="Z1208" s="1"/>
    </row>
    <row r="1209" ht="9.75" customHeight="1">
      <c r="A1209" s="61"/>
      <c r="B1209" s="91"/>
      <c r="C1209" s="67"/>
      <c r="D1209" s="22"/>
      <c r="E1209" s="59" t="s">
        <v>23</v>
      </c>
      <c r="F1209" s="59"/>
      <c r="G1209" s="22"/>
      <c r="H1209" s="22"/>
      <c r="I1209" s="22"/>
      <c r="J1209" s="22"/>
      <c r="K1209" s="22"/>
      <c r="L1209" s="26"/>
      <c r="M1209" s="22"/>
      <c r="N1209" s="61"/>
      <c r="O1209" s="75">
        <f t="shared" si="3"/>
        <v>0</v>
      </c>
      <c r="P1209" s="75">
        <f t="shared" si="4"/>
        <v>0</v>
      </c>
      <c r="Q1209" s="64"/>
      <c r="R1209" s="1"/>
      <c r="S1209" s="1"/>
      <c r="T1209" s="1"/>
      <c r="U1209" s="1"/>
      <c r="V1209" s="1"/>
      <c r="W1209" s="1"/>
      <c r="X1209" s="1"/>
      <c r="Y1209" s="1"/>
      <c r="Z1209" s="1"/>
    </row>
    <row r="1210" ht="14.25" customHeight="1">
      <c r="A1210" s="61"/>
      <c r="B1210" s="91"/>
      <c r="C1210" s="67"/>
      <c r="D1210" s="22"/>
      <c r="E1210" s="59" t="s">
        <v>70</v>
      </c>
      <c r="F1210" s="59"/>
      <c r="G1210" s="36">
        <v>20.0</v>
      </c>
      <c r="H1210" s="36" t="s">
        <v>26</v>
      </c>
      <c r="I1210" s="48">
        <v>500000.0</v>
      </c>
      <c r="J1210" s="46">
        <f>G1210*I1210</f>
        <v>10000000</v>
      </c>
      <c r="K1210" s="46"/>
      <c r="L1210" s="26"/>
      <c r="M1210" s="46"/>
      <c r="N1210" s="61"/>
      <c r="O1210" s="75">
        <f t="shared" si="3"/>
        <v>10000000</v>
      </c>
      <c r="P1210" s="75">
        <f t="shared" si="4"/>
        <v>10000000</v>
      </c>
      <c r="Q1210" s="64"/>
      <c r="R1210" s="1"/>
      <c r="S1210" s="1"/>
      <c r="T1210" s="1"/>
      <c r="U1210" s="1"/>
      <c r="V1210" s="1"/>
      <c r="W1210" s="1"/>
      <c r="X1210" s="1"/>
      <c r="Y1210" s="1"/>
      <c r="Z1210" s="1"/>
    </row>
    <row r="1211" ht="14.25" customHeight="1">
      <c r="A1211" s="61"/>
      <c r="B1211" s="91"/>
      <c r="C1211" s="35" t="s">
        <v>47</v>
      </c>
      <c r="D1211" s="47"/>
      <c r="E1211" s="59" t="s">
        <v>48</v>
      </c>
      <c r="F1211" s="59"/>
      <c r="G1211" s="22"/>
      <c r="H1211" s="22"/>
      <c r="I1211" s="22"/>
      <c r="J1211" s="46">
        <f t="shared" ref="J1211:K1211" si="472">J1213</f>
        <v>16000000</v>
      </c>
      <c r="K1211" s="46" t="str">
        <f t="shared" si="472"/>
        <v/>
      </c>
      <c r="L1211" s="26"/>
      <c r="M1211" s="46" t="str">
        <f>M1213</f>
        <v/>
      </c>
      <c r="N1211" s="61"/>
      <c r="O1211" s="75">
        <f t="shared" si="3"/>
        <v>16000000</v>
      </c>
      <c r="P1211" s="75">
        <f t="shared" si="4"/>
        <v>16000000</v>
      </c>
      <c r="Q1211" s="64"/>
      <c r="R1211" s="1"/>
      <c r="S1211" s="1"/>
      <c r="T1211" s="1"/>
      <c r="U1211" s="1"/>
      <c r="V1211" s="1"/>
      <c r="W1211" s="1"/>
      <c r="X1211" s="1"/>
      <c r="Y1211" s="1"/>
      <c r="Z1211" s="1"/>
    </row>
    <row r="1212" ht="9.75" customHeight="1">
      <c r="A1212" s="61"/>
      <c r="B1212" s="91"/>
      <c r="C1212" s="67"/>
      <c r="D1212" s="22"/>
      <c r="E1212" s="59" t="s">
        <v>23</v>
      </c>
      <c r="F1212" s="59"/>
      <c r="G1212" s="22"/>
      <c r="H1212" s="22"/>
      <c r="I1212" s="22"/>
      <c r="J1212" s="22"/>
      <c r="K1212" s="22"/>
      <c r="L1212" s="26"/>
      <c r="M1212" s="22"/>
      <c r="N1212" s="61"/>
      <c r="O1212" s="75">
        <f t="shared" si="3"/>
        <v>0</v>
      </c>
      <c r="P1212" s="75">
        <f t="shared" si="4"/>
        <v>0</v>
      </c>
      <c r="Q1212" s="64"/>
      <c r="R1212" s="1"/>
      <c r="S1212" s="1"/>
      <c r="T1212" s="1"/>
      <c r="U1212" s="1"/>
      <c r="V1212" s="1"/>
      <c r="W1212" s="1"/>
      <c r="X1212" s="1"/>
      <c r="Y1212" s="1"/>
      <c r="Z1212" s="1"/>
    </row>
    <row r="1213" ht="14.25" customHeight="1">
      <c r="A1213" s="61"/>
      <c r="B1213" s="91"/>
      <c r="C1213" s="67"/>
      <c r="D1213" s="22"/>
      <c r="E1213" s="59" t="s">
        <v>165</v>
      </c>
      <c r="F1213" s="59"/>
      <c r="G1213" s="36">
        <v>4.0</v>
      </c>
      <c r="H1213" s="36" t="s">
        <v>26</v>
      </c>
      <c r="I1213" s="48">
        <v>4000000.0</v>
      </c>
      <c r="J1213" s="46">
        <f>G1213*I1213</f>
        <v>16000000</v>
      </c>
      <c r="K1213" s="46"/>
      <c r="L1213" s="26"/>
      <c r="M1213" s="46"/>
      <c r="N1213" s="61"/>
      <c r="O1213" s="75">
        <f t="shared" si="3"/>
        <v>16000000</v>
      </c>
      <c r="P1213" s="75">
        <f t="shared" si="4"/>
        <v>16000000</v>
      </c>
      <c r="Q1213" s="64"/>
      <c r="R1213" s="1"/>
      <c r="S1213" s="1"/>
      <c r="T1213" s="1"/>
      <c r="U1213" s="1"/>
      <c r="V1213" s="1"/>
      <c r="W1213" s="1"/>
      <c r="X1213" s="1"/>
      <c r="Y1213" s="1"/>
      <c r="Z1213" s="1"/>
    </row>
    <row r="1214" ht="14.25" customHeight="1">
      <c r="A1214" s="61"/>
      <c r="B1214" s="91"/>
      <c r="C1214" s="35" t="s">
        <v>58</v>
      </c>
      <c r="D1214" s="47"/>
      <c r="E1214" s="59" t="s">
        <v>34</v>
      </c>
      <c r="F1214" s="59"/>
      <c r="G1214" s="22"/>
      <c r="H1214" s="22"/>
      <c r="I1214" s="22"/>
      <c r="J1214" s="46">
        <f t="shared" ref="J1214:K1214" si="473">J1216</f>
        <v>48000000</v>
      </c>
      <c r="K1214" s="46" t="str">
        <f t="shared" si="473"/>
        <v/>
      </c>
      <c r="L1214" s="26"/>
      <c r="M1214" s="46">
        <f>M1216</f>
        <v>7000000</v>
      </c>
      <c r="N1214" s="61"/>
      <c r="O1214" s="75">
        <f t="shared" si="3"/>
        <v>48000000</v>
      </c>
      <c r="P1214" s="75">
        <f t="shared" si="4"/>
        <v>41000000</v>
      </c>
      <c r="Q1214" s="64"/>
      <c r="R1214" s="1"/>
      <c r="S1214" s="1"/>
      <c r="T1214" s="1"/>
      <c r="U1214" s="1"/>
      <c r="V1214" s="1"/>
      <c r="W1214" s="1"/>
      <c r="X1214" s="1"/>
      <c r="Y1214" s="1"/>
      <c r="Z1214" s="1"/>
    </row>
    <row r="1215" ht="9.75" customHeight="1">
      <c r="A1215" s="61"/>
      <c r="B1215" s="91"/>
      <c r="C1215" s="67"/>
      <c r="D1215" s="22"/>
      <c r="E1215" s="59" t="s">
        <v>23</v>
      </c>
      <c r="F1215" s="59"/>
      <c r="G1215" s="22"/>
      <c r="H1215" s="22"/>
      <c r="I1215" s="22"/>
      <c r="J1215" s="22"/>
      <c r="K1215" s="22"/>
      <c r="L1215" s="26"/>
      <c r="M1215" s="22"/>
      <c r="N1215" s="61"/>
      <c r="O1215" s="75">
        <f t="shared" si="3"/>
        <v>0</v>
      </c>
      <c r="P1215" s="75">
        <f t="shared" si="4"/>
        <v>0</v>
      </c>
      <c r="Q1215" s="64"/>
      <c r="R1215" s="1"/>
      <c r="S1215" s="1"/>
      <c r="T1215" s="1"/>
      <c r="U1215" s="1"/>
      <c r="V1215" s="1"/>
      <c r="W1215" s="1"/>
      <c r="X1215" s="1"/>
      <c r="Y1215" s="1"/>
      <c r="Z1215" s="1"/>
    </row>
    <row r="1216" ht="14.25" customHeight="1">
      <c r="A1216" s="61"/>
      <c r="B1216" s="91"/>
      <c r="C1216" s="67"/>
      <c r="D1216" s="22"/>
      <c r="E1216" s="59" t="s">
        <v>71</v>
      </c>
      <c r="F1216" s="59"/>
      <c r="G1216" s="36">
        <v>96.0</v>
      </c>
      <c r="H1216" s="36" t="s">
        <v>26</v>
      </c>
      <c r="I1216" s="48">
        <v>500000.0</v>
      </c>
      <c r="J1216" s="46">
        <f>G1216*I1216</f>
        <v>48000000</v>
      </c>
      <c r="K1216" s="46"/>
      <c r="L1216" s="26"/>
      <c r="M1216" s="53">
        <v>7000000.0</v>
      </c>
      <c r="N1216" s="61"/>
      <c r="O1216" s="75">
        <f t="shared" si="3"/>
        <v>48000000</v>
      </c>
      <c r="P1216" s="75">
        <f t="shared" si="4"/>
        <v>41000000</v>
      </c>
      <c r="Q1216" s="64"/>
      <c r="R1216" s="1"/>
      <c r="S1216" s="1"/>
      <c r="T1216" s="1"/>
      <c r="U1216" s="1"/>
      <c r="V1216" s="1"/>
      <c r="W1216" s="1"/>
      <c r="X1216" s="1"/>
      <c r="Y1216" s="1"/>
      <c r="Z1216" s="1"/>
    </row>
    <row r="1217" ht="14.25" customHeight="1">
      <c r="A1217" s="61"/>
      <c r="B1217" s="91"/>
      <c r="C1217" s="41" t="s">
        <v>72</v>
      </c>
      <c r="D1217" s="56"/>
      <c r="E1217" s="59" t="s">
        <v>73</v>
      </c>
      <c r="F1217" s="59"/>
      <c r="G1217" s="22"/>
      <c r="H1217" s="22"/>
      <c r="I1217" s="22"/>
      <c r="J1217" s="43">
        <f t="shared" ref="J1217:K1217" si="474">J1218+J1223</f>
        <v>151200000</v>
      </c>
      <c r="K1217" s="43">
        <f t="shared" si="474"/>
        <v>136822000</v>
      </c>
      <c r="L1217" s="26"/>
      <c r="M1217" s="43"/>
      <c r="N1217" s="61"/>
      <c r="O1217" s="75">
        <f t="shared" si="3"/>
        <v>14378000</v>
      </c>
      <c r="P1217" s="75">
        <f t="shared" si="4"/>
        <v>151200000</v>
      </c>
      <c r="Q1217" s="64"/>
      <c r="R1217" s="1"/>
      <c r="S1217" s="1"/>
      <c r="T1217" s="1"/>
      <c r="U1217" s="1"/>
      <c r="V1217" s="1"/>
      <c r="W1217" s="1"/>
      <c r="X1217" s="1"/>
      <c r="Y1217" s="1"/>
      <c r="Z1217" s="1"/>
    </row>
    <row r="1218" ht="14.25" customHeight="1">
      <c r="A1218" s="61"/>
      <c r="B1218" s="91"/>
      <c r="C1218" s="35" t="s">
        <v>74</v>
      </c>
      <c r="D1218" s="47"/>
      <c r="E1218" s="59" t="s">
        <v>75</v>
      </c>
      <c r="F1218" s="59"/>
      <c r="G1218" s="22"/>
      <c r="H1218" s="22"/>
      <c r="I1218" s="22"/>
      <c r="J1218" s="46">
        <f t="shared" ref="J1218:K1218" si="475">SUM(J1220:J1222)</f>
        <v>142700000</v>
      </c>
      <c r="K1218" s="46">
        <f t="shared" si="475"/>
        <v>136822000</v>
      </c>
      <c r="L1218" s="26"/>
      <c r="M1218" s="46">
        <f>SUM(M1220:M1222)</f>
        <v>0</v>
      </c>
      <c r="N1218" s="61"/>
      <c r="O1218" s="75">
        <f t="shared" si="3"/>
        <v>5878000</v>
      </c>
      <c r="P1218" s="75">
        <f t="shared" si="4"/>
        <v>142700000</v>
      </c>
      <c r="Q1218" s="64"/>
      <c r="R1218" s="1"/>
      <c r="S1218" s="1"/>
      <c r="T1218" s="1"/>
      <c r="U1218" s="1"/>
      <c r="V1218" s="1"/>
      <c r="W1218" s="1"/>
      <c r="X1218" s="1"/>
      <c r="Y1218" s="1"/>
      <c r="Z1218" s="1"/>
    </row>
    <row r="1219" ht="9.75" customHeight="1">
      <c r="A1219" s="61"/>
      <c r="B1219" s="91"/>
      <c r="C1219" s="67"/>
      <c r="D1219" s="22"/>
      <c r="E1219" s="59" t="s">
        <v>23</v>
      </c>
      <c r="F1219" s="59"/>
      <c r="G1219" s="22"/>
      <c r="H1219" s="22"/>
      <c r="I1219" s="22"/>
      <c r="J1219" s="22"/>
      <c r="K1219" s="22"/>
      <c r="L1219" s="26"/>
      <c r="M1219" s="22"/>
      <c r="N1219" s="61"/>
      <c r="O1219" s="75">
        <f t="shared" si="3"/>
        <v>0</v>
      </c>
      <c r="P1219" s="75">
        <f t="shared" si="4"/>
        <v>0</v>
      </c>
      <c r="Q1219" s="64"/>
      <c r="R1219" s="1"/>
      <c r="S1219" s="1"/>
      <c r="T1219" s="1"/>
      <c r="U1219" s="1"/>
      <c r="V1219" s="1"/>
      <c r="W1219" s="1"/>
      <c r="X1219" s="1"/>
      <c r="Y1219" s="1"/>
      <c r="Z1219" s="1"/>
    </row>
    <row r="1220" ht="14.25" customHeight="1">
      <c r="A1220" s="61"/>
      <c r="B1220" s="91"/>
      <c r="C1220" s="67"/>
      <c r="D1220" s="22"/>
      <c r="E1220" s="59" t="s">
        <v>76</v>
      </c>
      <c r="F1220" s="59"/>
      <c r="G1220" s="36">
        <v>20.0</v>
      </c>
      <c r="H1220" s="36" t="s">
        <v>26</v>
      </c>
      <c r="I1220" s="48">
        <v>5000000.0</v>
      </c>
      <c r="J1220" s="46">
        <f t="shared" ref="J1220:J1222" si="476">G1220*I1220</f>
        <v>100000000</v>
      </c>
      <c r="K1220" s="46">
        <v>9.7E7</v>
      </c>
      <c r="L1220" s="26"/>
      <c r="M1220" s="46"/>
      <c r="N1220" s="61"/>
      <c r="O1220" s="75">
        <f t="shared" si="3"/>
        <v>3000000</v>
      </c>
      <c r="P1220" s="75">
        <f t="shared" si="4"/>
        <v>100000000</v>
      </c>
      <c r="Q1220" s="64"/>
      <c r="R1220" s="1"/>
      <c r="S1220" s="1"/>
      <c r="T1220" s="1"/>
      <c r="U1220" s="1"/>
      <c r="V1220" s="1"/>
      <c r="W1220" s="1"/>
      <c r="X1220" s="1"/>
      <c r="Y1220" s="1"/>
      <c r="Z1220" s="1"/>
    </row>
    <row r="1221" ht="14.25" customHeight="1">
      <c r="A1221" s="61"/>
      <c r="B1221" s="91"/>
      <c r="C1221" s="67"/>
      <c r="D1221" s="22"/>
      <c r="E1221" s="59" t="s">
        <v>77</v>
      </c>
      <c r="F1221" s="59"/>
      <c r="G1221" s="36">
        <v>30.0</v>
      </c>
      <c r="H1221" s="36" t="s">
        <v>26</v>
      </c>
      <c r="I1221" s="48">
        <v>850000.0</v>
      </c>
      <c r="J1221" s="46">
        <f t="shared" si="476"/>
        <v>25500000</v>
      </c>
      <c r="K1221" s="46">
        <v>2.4E7</v>
      </c>
      <c r="L1221" s="26"/>
      <c r="M1221" s="46"/>
      <c r="N1221" s="61"/>
      <c r="O1221" s="75">
        <f t="shared" si="3"/>
        <v>1500000</v>
      </c>
      <c r="P1221" s="75">
        <f t="shared" si="4"/>
        <v>25500000</v>
      </c>
      <c r="Q1221" s="64"/>
      <c r="R1221" s="1"/>
      <c r="S1221" s="1"/>
      <c r="T1221" s="1"/>
      <c r="U1221" s="1"/>
      <c r="V1221" s="1"/>
      <c r="W1221" s="1"/>
      <c r="X1221" s="1"/>
      <c r="Y1221" s="1"/>
      <c r="Z1221" s="1"/>
    </row>
    <row r="1222" ht="14.25" customHeight="1">
      <c r="A1222" s="61"/>
      <c r="B1222" s="91"/>
      <c r="C1222" s="67"/>
      <c r="D1222" s="22"/>
      <c r="E1222" s="59" t="s">
        <v>78</v>
      </c>
      <c r="F1222" s="59"/>
      <c r="G1222" s="36">
        <v>40.0</v>
      </c>
      <c r="H1222" s="36" t="s">
        <v>26</v>
      </c>
      <c r="I1222" s="48">
        <v>430000.0</v>
      </c>
      <c r="J1222" s="46">
        <f t="shared" si="476"/>
        <v>17200000</v>
      </c>
      <c r="K1222" s="46">
        <v>1.5822E7</v>
      </c>
      <c r="L1222" s="26"/>
      <c r="M1222" s="46"/>
      <c r="N1222" s="61"/>
      <c r="O1222" s="75">
        <f t="shared" si="3"/>
        <v>1378000</v>
      </c>
      <c r="P1222" s="75">
        <f t="shared" si="4"/>
        <v>17200000</v>
      </c>
      <c r="Q1222" s="64"/>
      <c r="R1222" s="1"/>
      <c r="S1222" s="1"/>
      <c r="T1222" s="1"/>
      <c r="U1222" s="1"/>
      <c r="V1222" s="1"/>
      <c r="W1222" s="1"/>
      <c r="X1222" s="1"/>
      <c r="Y1222" s="1"/>
      <c r="Z1222" s="1"/>
    </row>
    <row r="1223" ht="14.25" customHeight="1">
      <c r="A1223" s="61"/>
      <c r="B1223" s="91"/>
      <c r="C1223" s="35" t="s">
        <v>79</v>
      </c>
      <c r="D1223" s="47"/>
      <c r="E1223" s="59" t="s">
        <v>80</v>
      </c>
      <c r="F1223" s="59"/>
      <c r="G1223" s="22"/>
      <c r="H1223" s="22"/>
      <c r="I1223" s="22"/>
      <c r="J1223" s="46">
        <f t="shared" ref="J1223:K1223" si="477">J1225</f>
        <v>8500000</v>
      </c>
      <c r="K1223" s="46" t="str">
        <f t="shared" si="477"/>
        <v/>
      </c>
      <c r="L1223" s="26"/>
      <c r="M1223" s="46"/>
      <c r="N1223" s="61"/>
      <c r="O1223" s="75">
        <f t="shared" si="3"/>
        <v>8500000</v>
      </c>
      <c r="P1223" s="75">
        <f t="shared" si="4"/>
        <v>8500000</v>
      </c>
      <c r="Q1223" s="64"/>
      <c r="R1223" s="1"/>
      <c r="S1223" s="1"/>
      <c r="T1223" s="1"/>
      <c r="U1223" s="1"/>
      <c r="V1223" s="1"/>
      <c r="W1223" s="1"/>
      <c r="X1223" s="1"/>
      <c r="Y1223" s="1"/>
      <c r="Z1223" s="1"/>
    </row>
    <row r="1224" ht="9.75" customHeight="1">
      <c r="A1224" s="61"/>
      <c r="B1224" s="91"/>
      <c r="C1224" s="67"/>
      <c r="D1224" s="22"/>
      <c r="E1224" s="59" t="s">
        <v>23</v>
      </c>
      <c r="F1224" s="59"/>
      <c r="G1224" s="22"/>
      <c r="H1224" s="22"/>
      <c r="I1224" s="22"/>
      <c r="J1224" s="22"/>
      <c r="K1224" s="22"/>
      <c r="L1224" s="26"/>
      <c r="M1224" s="22"/>
      <c r="N1224" s="61"/>
      <c r="O1224" s="75">
        <f t="shared" si="3"/>
        <v>0</v>
      </c>
      <c r="P1224" s="75">
        <f t="shared" si="4"/>
        <v>0</v>
      </c>
      <c r="Q1224" s="64"/>
      <c r="R1224" s="1"/>
      <c r="S1224" s="1"/>
      <c r="T1224" s="1"/>
      <c r="U1224" s="1"/>
      <c r="V1224" s="1"/>
      <c r="W1224" s="1"/>
      <c r="X1224" s="1"/>
      <c r="Y1224" s="1"/>
      <c r="Z1224" s="1"/>
    </row>
    <row r="1225" ht="14.25" customHeight="1">
      <c r="A1225" s="61"/>
      <c r="B1225" s="91"/>
      <c r="C1225" s="67"/>
      <c r="D1225" s="22"/>
      <c r="E1225" s="59" t="s">
        <v>81</v>
      </c>
      <c r="F1225" s="59"/>
      <c r="G1225" s="36">
        <v>50.0</v>
      </c>
      <c r="H1225" s="36" t="s">
        <v>26</v>
      </c>
      <c r="I1225" s="48">
        <v>170000.0</v>
      </c>
      <c r="J1225" s="46">
        <f>G1225*I1225</f>
        <v>8500000</v>
      </c>
      <c r="K1225" s="46"/>
      <c r="L1225" s="26"/>
      <c r="M1225" s="46"/>
      <c r="N1225" s="61"/>
      <c r="O1225" s="75">
        <f t="shared" si="3"/>
        <v>8500000</v>
      </c>
      <c r="P1225" s="75">
        <f t="shared" si="4"/>
        <v>8500000</v>
      </c>
      <c r="Q1225" s="64"/>
      <c r="R1225" s="1"/>
      <c r="S1225" s="1"/>
      <c r="T1225" s="1"/>
      <c r="U1225" s="1"/>
      <c r="V1225" s="1"/>
      <c r="W1225" s="1"/>
      <c r="X1225" s="1"/>
      <c r="Y1225" s="1"/>
      <c r="Z1225" s="1"/>
    </row>
    <row r="1226" ht="14.25" customHeight="1">
      <c r="A1226" s="61"/>
      <c r="B1226" s="91"/>
      <c r="C1226" s="41" t="s">
        <v>82</v>
      </c>
      <c r="D1226" s="56"/>
      <c r="E1226" s="59" t="s">
        <v>83</v>
      </c>
      <c r="F1226" s="59"/>
      <c r="G1226" s="22"/>
      <c r="H1226" s="22"/>
      <c r="I1226" s="22"/>
      <c r="J1226" s="43">
        <f t="shared" ref="J1226:K1226" si="478">J1227+J1232</f>
        <v>1434000000</v>
      </c>
      <c r="K1226" s="43">
        <f t="shared" si="478"/>
        <v>50952200</v>
      </c>
      <c r="L1226" s="26"/>
      <c r="M1226" s="43">
        <f>M1227+M1232</f>
        <v>12114100</v>
      </c>
      <c r="N1226" s="61"/>
      <c r="O1226" s="75">
        <f t="shared" si="3"/>
        <v>1383047800</v>
      </c>
      <c r="P1226" s="75">
        <f t="shared" si="4"/>
        <v>1421885900</v>
      </c>
      <c r="Q1226" s="64"/>
      <c r="R1226" s="1"/>
      <c r="S1226" s="1"/>
      <c r="T1226" s="1"/>
      <c r="U1226" s="1"/>
      <c r="V1226" s="1"/>
      <c r="W1226" s="1"/>
      <c r="X1226" s="1"/>
      <c r="Y1226" s="1"/>
      <c r="Z1226" s="1"/>
    </row>
    <row r="1227" ht="14.25" customHeight="1">
      <c r="A1227" s="61"/>
      <c r="B1227" s="91"/>
      <c r="C1227" s="35" t="s">
        <v>84</v>
      </c>
      <c r="D1227" s="47"/>
      <c r="E1227" s="59" t="s">
        <v>85</v>
      </c>
      <c r="F1227" s="59"/>
      <c r="G1227" s="22"/>
      <c r="H1227" s="22"/>
      <c r="I1227" s="22"/>
      <c r="J1227" s="46">
        <f t="shared" ref="J1227:K1227" si="479">SUM(J1229:J1231)</f>
        <v>1320000000</v>
      </c>
      <c r="K1227" s="46">
        <f t="shared" si="479"/>
        <v>50127200</v>
      </c>
      <c r="L1227" s="26"/>
      <c r="M1227" s="46">
        <f>SUM(M1229:M1231)</f>
        <v>10134100</v>
      </c>
      <c r="N1227" s="61"/>
      <c r="O1227" s="75">
        <f t="shared" si="3"/>
        <v>1269872800</v>
      </c>
      <c r="P1227" s="75">
        <f t="shared" si="4"/>
        <v>1309865900</v>
      </c>
      <c r="Q1227" s="64"/>
      <c r="R1227" s="1"/>
      <c r="S1227" s="1"/>
      <c r="T1227" s="1"/>
      <c r="U1227" s="1"/>
      <c r="V1227" s="1"/>
      <c r="W1227" s="1"/>
      <c r="X1227" s="1"/>
      <c r="Y1227" s="1"/>
      <c r="Z1227" s="1"/>
    </row>
    <row r="1228" ht="9.75" customHeight="1">
      <c r="A1228" s="61"/>
      <c r="B1228" s="91"/>
      <c r="C1228" s="67"/>
      <c r="D1228" s="22"/>
      <c r="E1228" s="59" t="s">
        <v>23</v>
      </c>
      <c r="F1228" s="59"/>
      <c r="G1228" s="22"/>
      <c r="H1228" s="22"/>
      <c r="I1228" s="22"/>
      <c r="J1228" s="22"/>
      <c r="K1228" s="22"/>
      <c r="L1228" s="26"/>
      <c r="M1228" s="22"/>
      <c r="N1228" s="61"/>
      <c r="O1228" s="75">
        <f t="shared" si="3"/>
        <v>0</v>
      </c>
      <c r="P1228" s="75">
        <f t="shared" si="4"/>
        <v>0</v>
      </c>
      <c r="Q1228" s="64"/>
      <c r="R1228" s="1"/>
      <c r="S1228" s="1"/>
      <c r="T1228" s="1"/>
      <c r="U1228" s="1"/>
      <c r="V1228" s="1"/>
      <c r="W1228" s="1"/>
      <c r="X1228" s="1"/>
      <c r="Y1228" s="1"/>
      <c r="Z1228" s="1"/>
    </row>
    <row r="1229" ht="14.25" customHeight="1">
      <c r="A1229" s="61"/>
      <c r="B1229" s="91"/>
      <c r="C1229" s="67"/>
      <c r="D1229" s="22"/>
      <c r="E1229" s="59" t="s">
        <v>168</v>
      </c>
      <c r="F1229" s="59"/>
      <c r="G1229" s="36">
        <v>54750.0</v>
      </c>
      <c r="H1229" s="36" t="s">
        <v>87</v>
      </c>
      <c r="I1229" s="48">
        <v>15000.0</v>
      </c>
      <c r="J1229" s="46">
        <f t="shared" ref="J1229:J1231" si="480">G1229*I1229</f>
        <v>821250000</v>
      </c>
      <c r="K1229" s="46">
        <v>4.788E7</v>
      </c>
      <c r="L1229" s="26"/>
      <c r="M1229" s="53">
        <v>1170000.0</v>
      </c>
      <c r="N1229" s="61"/>
      <c r="O1229" s="75">
        <f t="shared" si="3"/>
        <v>773370000</v>
      </c>
      <c r="P1229" s="75">
        <f t="shared" si="4"/>
        <v>820080000</v>
      </c>
      <c r="Q1229" s="64"/>
      <c r="R1229" s="1"/>
      <c r="S1229" s="1"/>
      <c r="T1229" s="1"/>
      <c r="U1229" s="1"/>
      <c r="V1229" s="1"/>
      <c r="W1229" s="1"/>
      <c r="X1229" s="1"/>
      <c r="Y1229" s="1"/>
      <c r="Z1229" s="1"/>
    </row>
    <row r="1230" ht="14.25" customHeight="1">
      <c r="A1230" s="61"/>
      <c r="B1230" s="91"/>
      <c r="C1230" s="67"/>
      <c r="D1230" s="22"/>
      <c r="E1230" s="59" t="s">
        <v>88</v>
      </c>
      <c r="F1230" s="59"/>
      <c r="G1230" s="36">
        <v>9000.0</v>
      </c>
      <c r="H1230" s="36" t="s">
        <v>87</v>
      </c>
      <c r="I1230" s="48">
        <v>25000.0</v>
      </c>
      <c r="J1230" s="46">
        <f t="shared" si="480"/>
        <v>225000000</v>
      </c>
      <c r="K1230" s="46">
        <v>2247200.0</v>
      </c>
      <c r="L1230" s="26"/>
      <c r="M1230" s="53">
        <v>8964100.0</v>
      </c>
      <c r="N1230" s="61"/>
      <c r="O1230" s="75">
        <f t="shared" si="3"/>
        <v>222752800</v>
      </c>
      <c r="P1230" s="75">
        <f t="shared" si="4"/>
        <v>216035900</v>
      </c>
      <c r="Q1230" s="64"/>
      <c r="R1230" s="1"/>
      <c r="S1230" s="1"/>
      <c r="T1230" s="1"/>
      <c r="U1230" s="1"/>
      <c r="V1230" s="1"/>
      <c r="W1230" s="1"/>
      <c r="X1230" s="1"/>
      <c r="Y1230" s="1"/>
      <c r="Z1230" s="1"/>
    </row>
    <row r="1231" ht="14.25" customHeight="1">
      <c r="A1231" s="61"/>
      <c r="B1231" s="91"/>
      <c r="C1231" s="67"/>
      <c r="D1231" s="22"/>
      <c r="E1231" s="59" t="s">
        <v>169</v>
      </c>
      <c r="F1231" s="59"/>
      <c r="G1231" s="36">
        <v>36500.0</v>
      </c>
      <c r="H1231" s="36" t="s">
        <v>87</v>
      </c>
      <c r="I1231" s="48">
        <v>7500.0</v>
      </c>
      <c r="J1231" s="46">
        <f t="shared" si="480"/>
        <v>273750000</v>
      </c>
      <c r="K1231" s="46"/>
      <c r="L1231" s="26"/>
      <c r="M1231" s="46"/>
      <c r="N1231" s="61"/>
      <c r="O1231" s="75">
        <f t="shared" si="3"/>
        <v>273750000</v>
      </c>
      <c r="P1231" s="75">
        <f t="shared" si="4"/>
        <v>273750000</v>
      </c>
      <c r="Q1231" s="64"/>
      <c r="R1231" s="1"/>
      <c r="S1231" s="1"/>
      <c r="T1231" s="1"/>
      <c r="U1231" s="1"/>
      <c r="V1231" s="1"/>
      <c r="W1231" s="1"/>
      <c r="X1231" s="1"/>
      <c r="Y1231" s="1"/>
      <c r="Z1231" s="1"/>
    </row>
    <row r="1232" ht="14.25" customHeight="1">
      <c r="A1232" s="61"/>
      <c r="B1232" s="91"/>
      <c r="C1232" s="35" t="s">
        <v>63</v>
      </c>
      <c r="D1232" s="47"/>
      <c r="E1232" s="59" t="s">
        <v>64</v>
      </c>
      <c r="F1232" s="59"/>
      <c r="G1232" s="22"/>
      <c r="H1232" s="22"/>
      <c r="I1232" s="22"/>
      <c r="J1232" s="88">
        <f t="shared" ref="J1232:N1232" si="481">J1234+J1235</f>
        <v>114000000</v>
      </c>
      <c r="K1232" s="88">
        <f t="shared" si="481"/>
        <v>825000</v>
      </c>
      <c r="L1232" s="88">
        <f t="shared" si="481"/>
        <v>0</v>
      </c>
      <c r="M1232" s="88">
        <f t="shared" si="481"/>
        <v>1980000</v>
      </c>
      <c r="N1232" s="88">
        <f t="shared" si="481"/>
        <v>0</v>
      </c>
      <c r="O1232" s="75">
        <f t="shared" si="3"/>
        <v>113175000</v>
      </c>
      <c r="P1232" s="75">
        <f t="shared" si="4"/>
        <v>112020000</v>
      </c>
      <c r="Q1232" s="64"/>
      <c r="R1232" s="1"/>
      <c r="S1232" s="1"/>
      <c r="T1232" s="1"/>
      <c r="U1232" s="1"/>
      <c r="V1232" s="1"/>
      <c r="W1232" s="1"/>
      <c r="X1232" s="1"/>
      <c r="Y1232" s="1"/>
      <c r="Z1232" s="1"/>
    </row>
    <row r="1233" ht="9.75" customHeight="1">
      <c r="A1233" s="61"/>
      <c r="B1233" s="91"/>
      <c r="C1233" s="67"/>
      <c r="D1233" s="22"/>
      <c r="E1233" s="59" t="s">
        <v>23</v>
      </c>
      <c r="F1233" s="59"/>
      <c r="G1233" s="22"/>
      <c r="H1233" s="22"/>
      <c r="I1233" s="22"/>
      <c r="J1233" s="22"/>
      <c r="K1233" s="22"/>
      <c r="L1233" s="26"/>
      <c r="M1233" s="22"/>
      <c r="N1233" s="61"/>
      <c r="O1233" s="75">
        <f t="shared" si="3"/>
        <v>0</v>
      </c>
      <c r="P1233" s="75">
        <f t="shared" si="4"/>
        <v>0</v>
      </c>
      <c r="Q1233" s="64"/>
      <c r="R1233" s="1"/>
      <c r="S1233" s="1"/>
      <c r="T1233" s="1"/>
      <c r="U1233" s="1"/>
      <c r="V1233" s="1"/>
      <c r="W1233" s="1"/>
      <c r="X1233" s="1"/>
      <c r="Y1233" s="1"/>
      <c r="Z1233" s="1"/>
    </row>
    <row r="1234" ht="14.25" customHeight="1">
      <c r="A1234" s="61"/>
      <c r="B1234" s="91"/>
      <c r="C1234" s="67"/>
      <c r="D1234" s="22"/>
      <c r="E1234" s="59" t="s">
        <v>90</v>
      </c>
      <c r="F1234" s="59"/>
      <c r="G1234" s="36">
        <v>180.0</v>
      </c>
      <c r="H1234" s="36" t="s">
        <v>87</v>
      </c>
      <c r="I1234" s="48">
        <v>500000.0</v>
      </c>
      <c r="J1234" s="46">
        <f t="shared" ref="J1234:J1235" si="482">G1234*I1234</f>
        <v>90000000</v>
      </c>
      <c r="K1234" s="46"/>
      <c r="L1234" s="26"/>
      <c r="M1234" s="53">
        <v>300000.0</v>
      </c>
      <c r="N1234" s="61"/>
      <c r="O1234" s="75">
        <f t="shared" si="3"/>
        <v>90000000</v>
      </c>
      <c r="P1234" s="75">
        <f t="shared" si="4"/>
        <v>89700000</v>
      </c>
      <c r="Q1234" s="64"/>
      <c r="R1234" s="1"/>
      <c r="S1234" s="1"/>
      <c r="T1234" s="1"/>
      <c r="U1234" s="1"/>
      <c r="V1234" s="1"/>
      <c r="W1234" s="1"/>
      <c r="X1234" s="1"/>
      <c r="Y1234" s="1"/>
      <c r="Z1234" s="1"/>
    </row>
    <row r="1235" ht="14.25" customHeight="1">
      <c r="A1235" s="61"/>
      <c r="B1235" s="91"/>
      <c r="C1235" s="67"/>
      <c r="D1235" s="22"/>
      <c r="E1235" s="59" t="s">
        <v>170</v>
      </c>
      <c r="F1235" s="59"/>
      <c r="G1235" s="36">
        <v>600.0</v>
      </c>
      <c r="H1235" s="36" t="s">
        <v>87</v>
      </c>
      <c r="I1235" s="48">
        <v>40000.0</v>
      </c>
      <c r="J1235" s="46">
        <f t="shared" si="482"/>
        <v>24000000</v>
      </c>
      <c r="K1235" s="46">
        <v>825000.0</v>
      </c>
      <c r="L1235" s="26"/>
      <c r="M1235" s="53">
        <v>1680000.0</v>
      </c>
      <c r="N1235" s="61"/>
      <c r="O1235" s="75">
        <f t="shared" si="3"/>
        <v>23175000</v>
      </c>
      <c r="P1235" s="75">
        <f t="shared" si="4"/>
        <v>22320000</v>
      </c>
      <c r="Q1235" s="64"/>
      <c r="R1235" s="1"/>
      <c r="S1235" s="1"/>
      <c r="T1235" s="1"/>
      <c r="U1235" s="1"/>
      <c r="V1235" s="1"/>
      <c r="W1235" s="1"/>
      <c r="X1235" s="1"/>
      <c r="Y1235" s="1"/>
      <c r="Z1235" s="1"/>
    </row>
    <row r="1236" ht="14.25" customHeight="1">
      <c r="A1236" s="61"/>
      <c r="B1236" s="91"/>
      <c r="C1236" s="41" t="s">
        <v>92</v>
      </c>
      <c r="D1236" s="56"/>
      <c r="E1236" s="59" t="s">
        <v>93</v>
      </c>
      <c r="F1236" s="59"/>
      <c r="G1236" s="22"/>
      <c r="H1236" s="22"/>
      <c r="I1236" s="22"/>
      <c r="J1236" s="43">
        <f t="shared" ref="J1236:K1236" si="483">J1237</f>
        <v>41836000</v>
      </c>
      <c r="K1236" s="43">
        <f t="shared" si="483"/>
        <v>0</v>
      </c>
      <c r="L1236" s="26"/>
      <c r="M1236" s="43">
        <f>M1237</f>
        <v>2616627</v>
      </c>
      <c r="N1236" s="61"/>
      <c r="O1236" s="75">
        <f t="shared" si="3"/>
        <v>41836000</v>
      </c>
      <c r="P1236" s="75">
        <f t="shared" si="4"/>
        <v>39219373</v>
      </c>
      <c r="Q1236" s="64"/>
      <c r="R1236" s="1"/>
      <c r="S1236" s="1"/>
      <c r="T1236" s="1"/>
      <c r="U1236" s="1"/>
      <c r="V1236" s="1"/>
      <c r="W1236" s="1"/>
      <c r="X1236" s="1"/>
      <c r="Y1236" s="1"/>
      <c r="Z1236" s="1"/>
    </row>
    <row r="1237" ht="14.25" customHeight="1">
      <c r="A1237" s="61"/>
      <c r="B1237" s="91"/>
      <c r="C1237" s="35" t="s">
        <v>68</v>
      </c>
      <c r="D1237" s="47"/>
      <c r="E1237" s="59" t="s">
        <v>69</v>
      </c>
      <c r="F1237" s="59"/>
      <c r="G1237" s="22"/>
      <c r="H1237" s="22"/>
      <c r="I1237" s="22"/>
      <c r="J1237" s="46">
        <f t="shared" ref="J1237:K1237" si="484">SUM(J1239:J1240)</f>
        <v>41836000</v>
      </c>
      <c r="K1237" s="46">
        <f t="shared" si="484"/>
        <v>0</v>
      </c>
      <c r="L1237" s="26"/>
      <c r="M1237" s="46">
        <f>SUM(M1239:M1240)</f>
        <v>2616627</v>
      </c>
      <c r="N1237" s="61"/>
      <c r="O1237" s="75">
        <f t="shared" si="3"/>
        <v>41836000</v>
      </c>
      <c r="P1237" s="75">
        <f t="shared" si="4"/>
        <v>39219373</v>
      </c>
      <c r="Q1237" s="64"/>
      <c r="R1237" s="1"/>
      <c r="S1237" s="1"/>
      <c r="T1237" s="1"/>
      <c r="U1237" s="1"/>
      <c r="V1237" s="1"/>
      <c r="W1237" s="1"/>
      <c r="X1237" s="1"/>
      <c r="Y1237" s="1"/>
      <c r="Z1237" s="1"/>
    </row>
    <row r="1238" ht="9.75" customHeight="1">
      <c r="A1238" s="61"/>
      <c r="B1238" s="91"/>
      <c r="C1238" s="67"/>
      <c r="D1238" s="22"/>
      <c r="E1238" s="59" t="s">
        <v>23</v>
      </c>
      <c r="F1238" s="59"/>
      <c r="G1238" s="22"/>
      <c r="H1238" s="22"/>
      <c r="I1238" s="22"/>
      <c r="J1238" s="22"/>
      <c r="K1238" s="22"/>
      <c r="L1238" s="26"/>
      <c r="M1238" s="22"/>
      <c r="N1238" s="61"/>
      <c r="O1238" s="75">
        <f t="shared" si="3"/>
        <v>0</v>
      </c>
      <c r="P1238" s="75">
        <f t="shared" si="4"/>
        <v>0</v>
      </c>
      <c r="Q1238" s="64"/>
      <c r="R1238" s="1"/>
      <c r="S1238" s="1"/>
      <c r="T1238" s="1"/>
      <c r="U1238" s="1"/>
      <c r="V1238" s="1"/>
      <c r="W1238" s="1"/>
      <c r="X1238" s="1"/>
      <c r="Y1238" s="1"/>
      <c r="Z1238" s="1"/>
    </row>
    <row r="1239" ht="14.25" customHeight="1">
      <c r="A1239" s="61"/>
      <c r="B1239" s="91"/>
      <c r="C1239" s="67"/>
      <c r="D1239" s="22"/>
      <c r="E1239" s="59" t="s">
        <v>94</v>
      </c>
      <c r="F1239" s="59"/>
      <c r="G1239" s="36">
        <v>12.0</v>
      </c>
      <c r="H1239" s="36" t="s">
        <v>95</v>
      </c>
      <c r="I1239" s="48">
        <v>2500000.0</v>
      </c>
      <c r="J1239" s="46">
        <f t="shared" ref="J1239:J1240" si="485">G1239*I1239</f>
        <v>30000000</v>
      </c>
      <c r="K1239" s="46"/>
      <c r="L1239" s="26"/>
      <c r="M1239" s="53">
        <v>2616627.0</v>
      </c>
      <c r="N1239" s="61"/>
      <c r="O1239" s="75">
        <f t="shared" si="3"/>
        <v>30000000</v>
      </c>
      <c r="P1239" s="75">
        <f t="shared" si="4"/>
        <v>27383373</v>
      </c>
      <c r="Q1239" s="64"/>
      <c r="R1239" s="1"/>
      <c r="S1239" s="1"/>
      <c r="T1239" s="1"/>
      <c r="U1239" s="1"/>
      <c r="V1239" s="1"/>
      <c r="W1239" s="1"/>
      <c r="X1239" s="1"/>
      <c r="Y1239" s="1"/>
      <c r="Z1239" s="1"/>
    </row>
    <row r="1240" ht="14.25" customHeight="1">
      <c r="A1240" s="61"/>
      <c r="B1240" s="91"/>
      <c r="C1240" s="67"/>
      <c r="D1240" s="22"/>
      <c r="E1240" s="59" t="s">
        <v>171</v>
      </c>
      <c r="F1240" s="59"/>
      <c r="G1240" s="36">
        <v>1.0</v>
      </c>
      <c r="H1240" s="36" t="s">
        <v>97</v>
      </c>
      <c r="I1240" s="48">
        <v>1.1836E7</v>
      </c>
      <c r="J1240" s="46">
        <f t="shared" si="485"/>
        <v>11836000</v>
      </c>
      <c r="K1240" s="46"/>
      <c r="L1240" s="26"/>
      <c r="M1240" s="46"/>
      <c r="N1240" s="61"/>
      <c r="O1240" s="75">
        <f t="shared" si="3"/>
        <v>11836000</v>
      </c>
      <c r="P1240" s="75">
        <f t="shared" si="4"/>
        <v>11836000</v>
      </c>
      <c r="Q1240" s="64"/>
      <c r="R1240" s="1"/>
      <c r="S1240" s="1"/>
      <c r="T1240" s="1"/>
      <c r="U1240" s="1"/>
      <c r="V1240" s="1"/>
      <c r="W1240" s="1"/>
      <c r="X1240" s="1"/>
      <c r="Y1240" s="1"/>
      <c r="Z1240" s="1"/>
    </row>
    <row r="1241" ht="9.75" customHeight="1">
      <c r="A1241" s="61"/>
      <c r="B1241" s="91"/>
      <c r="C1241" s="41" t="s">
        <v>98</v>
      </c>
      <c r="D1241" s="56"/>
      <c r="E1241" s="59" t="s">
        <v>99</v>
      </c>
      <c r="F1241" s="59"/>
      <c r="G1241" s="22"/>
      <c r="H1241" s="22"/>
      <c r="I1241" s="22"/>
      <c r="J1241" s="43">
        <f t="shared" ref="J1241:K1241" si="486">J1242+J1251</f>
        <v>6760000</v>
      </c>
      <c r="K1241" s="43">
        <f t="shared" si="486"/>
        <v>0</v>
      </c>
      <c r="L1241" s="26"/>
      <c r="M1241" s="43">
        <f>M1242+M1251</f>
        <v>0</v>
      </c>
      <c r="N1241" s="61"/>
      <c r="O1241" s="75">
        <f t="shared" si="3"/>
        <v>6760000</v>
      </c>
      <c r="P1241" s="75">
        <f t="shared" si="4"/>
        <v>6760000</v>
      </c>
      <c r="Q1241" s="64"/>
      <c r="R1241" s="1"/>
      <c r="S1241" s="1"/>
      <c r="T1241" s="1"/>
      <c r="U1241" s="1"/>
      <c r="V1241" s="1"/>
      <c r="W1241" s="1"/>
      <c r="X1241" s="1"/>
      <c r="Y1241" s="1"/>
      <c r="Z1241" s="1"/>
    </row>
    <row r="1242" ht="14.25" customHeight="1">
      <c r="A1242" s="61"/>
      <c r="B1242" s="91"/>
      <c r="C1242" s="35" t="s">
        <v>100</v>
      </c>
      <c r="D1242" s="47"/>
      <c r="E1242" s="59" t="s">
        <v>101</v>
      </c>
      <c r="F1242" s="59"/>
      <c r="G1242" s="22"/>
      <c r="H1242" s="22"/>
      <c r="I1242" s="22"/>
      <c r="J1242" s="46">
        <f t="shared" ref="J1242:K1242" si="487">SUM(J1244:J1250)</f>
        <v>5600000</v>
      </c>
      <c r="K1242" s="46">
        <f t="shared" si="487"/>
        <v>0</v>
      </c>
      <c r="L1242" s="26"/>
      <c r="M1242" s="46">
        <f>SUM(M1244:M1250)</f>
        <v>0</v>
      </c>
      <c r="N1242" s="61"/>
      <c r="O1242" s="75">
        <f t="shared" si="3"/>
        <v>5600000</v>
      </c>
      <c r="P1242" s="75">
        <f t="shared" si="4"/>
        <v>5600000</v>
      </c>
      <c r="Q1242" s="64"/>
      <c r="R1242" s="1"/>
      <c r="S1242" s="1"/>
      <c r="T1242" s="1"/>
      <c r="U1242" s="1"/>
      <c r="V1242" s="1"/>
      <c r="W1242" s="1"/>
      <c r="X1242" s="1"/>
      <c r="Y1242" s="1"/>
      <c r="Z1242" s="1"/>
    </row>
    <row r="1243" ht="9.75" customHeight="1">
      <c r="A1243" s="61"/>
      <c r="B1243" s="91"/>
      <c r="C1243" s="67"/>
      <c r="D1243" s="22"/>
      <c r="E1243" s="59" t="s">
        <v>23</v>
      </c>
      <c r="F1243" s="59"/>
      <c r="G1243" s="22"/>
      <c r="H1243" s="22"/>
      <c r="I1243" s="22"/>
      <c r="J1243" s="22"/>
      <c r="K1243" s="22"/>
      <c r="L1243" s="26"/>
      <c r="M1243" s="22"/>
      <c r="N1243" s="61"/>
      <c r="O1243" s="75">
        <f t="shared" si="3"/>
        <v>0</v>
      </c>
      <c r="P1243" s="75">
        <f t="shared" si="4"/>
        <v>0</v>
      </c>
      <c r="Q1243" s="64"/>
      <c r="R1243" s="1"/>
      <c r="S1243" s="1"/>
      <c r="T1243" s="1"/>
      <c r="U1243" s="1"/>
      <c r="V1243" s="1"/>
      <c r="W1243" s="1"/>
      <c r="X1243" s="1"/>
      <c r="Y1243" s="1"/>
      <c r="Z1243" s="1"/>
    </row>
    <row r="1244" ht="14.25" customHeight="1">
      <c r="A1244" s="61"/>
      <c r="B1244" s="91"/>
      <c r="C1244" s="67"/>
      <c r="D1244" s="22"/>
      <c r="E1244" s="59" t="s">
        <v>102</v>
      </c>
      <c r="F1244" s="59"/>
      <c r="G1244" s="36">
        <v>2.0</v>
      </c>
      <c r="H1244" s="36" t="s">
        <v>95</v>
      </c>
      <c r="I1244" s="48">
        <v>350000.0</v>
      </c>
      <c r="J1244" s="46">
        <f t="shared" ref="J1244:J1250" si="488">G1244*I1244</f>
        <v>700000</v>
      </c>
      <c r="K1244" s="46"/>
      <c r="L1244" s="26"/>
      <c r="M1244" s="46"/>
      <c r="N1244" s="61"/>
      <c r="O1244" s="75">
        <f t="shared" si="3"/>
        <v>700000</v>
      </c>
      <c r="P1244" s="75">
        <f t="shared" si="4"/>
        <v>700000</v>
      </c>
      <c r="Q1244" s="64"/>
      <c r="R1244" s="1"/>
      <c r="S1244" s="1"/>
      <c r="T1244" s="1"/>
      <c r="U1244" s="1"/>
      <c r="V1244" s="1"/>
      <c r="W1244" s="1"/>
      <c r="X1244" s="1"/>
      <c r="Y1244" s="1"/>
      <c r="Z1244" s="1"/>
    </row>
    <row r="1245" ht="14.25" customHeight="1">
      <c r="A1245" s="61"/>
      <c r="B1245" s="91"/>
      <c r="C1245" s="67"/>
      <c r="D1245" s="22"/>
      <c r="E1245" s="59" t="s">
        <v>103</v>
      </c>
      <c r="F1245" s="59"/>
      <c r="G1245" s="36">
        <v>2.0</v>
      </c>
      <c r="H1245" s="36" t="s">
        <v>95</v>
      </c>
      <c r="I1245" s="48">
        <v>225000.0</v>
      </c>
      <c r="J1245" s="46">
        <f t="shared" si="488"/>
        <v>450000</v>
      </c>
      <c r="K1245" s="46"/>
      <c r="L1245" s="26"/>
      <c r="M1245" s="46"/>
      <c r="N1245" s="61"/>
      <c r="O1245" s="75">
        <f t="shared" si="3"/>
        <v>450000</v>
      </c>
      <c r="P1245" s="75">
        <f t="shared" si="4"/>
        <v>450000</v>
      </c>
      <c r="Q1245" s="64"/>
      <c r="R1245" s="1"/>
      <c r="S1245" s="1"/>
      <c r="T1245" s="1"/>
      <c r="U1245" s="1"/>
      <c r="V1245" s="1"/>
      <c r="W1245" s="1"/>
      <c r="X1245" s="1"/>
      <c r="Y1245" s="1"/>
      <c r="Z1245" s="1"/>
    </row>
    <row r="1246" ht="14.25" customHeight="1">
      <c r="A1246" s="61"/>
      <c r="B1246" s="91"/>
      <c r="C1246" s="67"/>
      <c r="D1246" s="22"/>
      <c r="E1246" s="59" t="s">
        <v>104</v>
      </c>
      <c r="F1246" s="59"/>
      <c r="G1246" s="36">
        <v>2.0</v>
      </c>
      <c r="H1246" s="36" t="s">
        <v>95</v>
      </c>
      <c r="I1246" s="48">
        <v>450000.0</v>
      </c>
      <c r="J1246" s="46">
        <f t="shared" si="488"/>
        <v>900000</v>
      </c>
      <c r="K1246" s="46"/>
      <c r="L1246" s="26"/>
      <c r="M1246" s="46"/>
      <c r="N1246" s="61"/>
      <c r="O1246" s="75">
        <f t="shared" si="3"/>
        <v>900000</v>
      </c>
      <c r="P1246" s="75">
        <f t="shared" si="4"/>
        <v>900000</v>
      </c>
      <c r="Q1246" s="64"/>
      <c r="R1246" s="1"/>
      <c r="S1246" s="1"/>
      <c r="T1246" s="1"/>
      <c r="U1246" s="1"/>
      <c r="V1246" s="1"/>
      <c r="W1246" s="1"/>
      <c r="X1246" s="1"/>
      <c r="Y1246" s="1"/>
      <c r="Z1246" s="1"/>
    </row>
    <row r="1247" ht="14.25" customHeight="1">
      <c r="A1247" s="61"/>
      <c r="B1247" s="91"/>
      <c r="C1247" s="67"/>
      <c r="D1247" s="22"/>
      <c r="E1247" s="59" t="s">
        <v>105</v>
      </c>
      <c r="F1247" s="59"/>
      <c r="G1247" s="36">
        <v>2.0</v>
      </c>
      <c r="H1247" s="36" t="s">
        <v>95</v>
      </c>
      <c r="I1247" s="48">
        <v>250000.0</v>
      </c>
      <c r="J1247" s="46">
        <f t="shared" si="488"/>
        <v>500000</v>
      </c>
      <c r="K1247" s="46"/>
      <c r="L1247" s="26"/>
      <c r="M1247" s="46"/>
      <c r="N1247" s="61"/>
      <c r="O1247" s="75">
        <f t="shared" si="3"/>
        <v>500000</v>
      </c>
      <c r="P1247" s="75">
        <f t="shared" si="4"/>
        <v>500000</v>
      </c>
      <c r="Q1247" s="64"/>
      <c r="R1247" s="1"/>
      <c r="S1247" s="1"/>
      <c r="T1247" s="1"/>
      <c r="U1247" s="1"/>
      <c r="V1247" s="1"/>
      <c r="W1247" s="1"/>
      <c r="X1247" s="1"/>
      <c r="Y1247" s="1"/>
      <c r="Z1247" s="1"/>
    </row>
    <row r="1248" ht="14.25" customHeight="1">
      <c r="A1248" s="61"/>
      <c r="B1248" s="91"/>
      <c r="C1248" s="67"/>
      <c r="D1248" s="22"/>
      <c r="E1248" s="59" t="s">
        <v>106</v>
      </c>
      <c r="F1248" s="59"/>
      <c r="G1248" s="36">
        <v>2.0</v>
      </c>
      <c r="H1248" s="36" t="s">
        <v>95</v>
      </c>
      <c r="I1248" s="48">
        <v>100000.0</v>
      </c>
      <c r="J1248" s="46">
        <f t="shared" si="488"/>
        <v>200000</v>
      </c>
      <c r="K1248" s="46"/>
      <c r="L1248" s="26"/>
      <c r="M1248" s="46"/>
      <c r="N1248" s="61"/>
      <c r="O1248" s="75">
        <f t="shared" si="3"/>
        <v>200000</v>
      </c>
      <c r="P1248" s="75">
        <f t="shared" si="4"/>
        <v>200000</v>
      </c>
      <c r="Q1248" s="64"/>
      <c r="R1248" s="1"/>
      <c r="S1248" s="1"/>
      <c r="T1248" s="1"/>
      <c r="U1248" s="1"/>
      <c r="V1248" s="1"/>
      <c r="W1248" s="1"/>
      <c r="X1248" s="1"/>
      <c r="Y1248" s="1"/>
      <c r="Z1248" s="1"/>
    </row>
    <row r="1249" ht="14.25" customHeight="1">
      <c r="A1249" s="61"/>
      <c r="B1249" s="91"/>
      <c r="C1249" s="67"/>
      <c r="D1249" s="22"/>
      <c r="E1249" s="59" t="s">
        <v>107</v>
      </c>
      <c r="F1249" s="59"/>
      <c r="G1249" s="36">
        <v>2.0</v>
      </c>
      <c r="H1249" s="36" t="s">
        <v>95</v>
      </c>
      <c r="I1249" s="48">
        <v>725000.0</v>
      </c>
      <c r="J1249" s="46">
        <f t="shared" si="488"/>
        <v>1450000</v>
      </c>
      <c r="K1249" s="46"/>
      <c r="L1249" s="26"/>
      <c r="M1249" s="46"/>
      <c r="N1249" s="61"/>
      <c r="O1249" s="75">
        <f t="shared" si="3"/>
        <v>1450000</v>
      </c>
      <c r="P1249" s="75">
        <f t="shared" si="4"/>
        <v>1450000</v>
      </c>
      <c r="Q1249" s="64"/>
      <c r="R1249" s="1"/>
      <c r="S1249" s="1"/>
      <c r="T1249" s="1"/>
      <c r="U1249" s="1"/>
      <c r="V1249" s="1"/>
      <c r="W1249" s="1"/>
      <c r="X1249" s="1"/>
      <c r="Y1249" s="1"/>
      <c r="Z1249" s="1"/>
    </row>
    <row r="1250" ht="14.25" customHeight="1">
      <c r="A1250" s="61"/>
      <c r="B1250" s="91"/>
      <c r="C1250" s="67"/>
      <c r="D1250" s="22"/>
      <c r="E1250" s="59" t="s">
        <v>108</v>
      </c>
      <c r="F1250" s="59"/>
      <c r="G1250" s="36">
        <v>2.0</v>
      </c>
      <c r="H1250" s="36" t="s">
        <v>95</v>
      </c>
      <c r="I1250" s="48">
        <v>700000.0</v>
      </c>
      <c r="J1250" s="46">
        <f t="shared" si="488"/>
        <v>1400000</v>
      </c>
      <c r="K1250" s="46"/>
      <c r="L1250" s="26"/>
      <c r="M1250" s="46"/>
      <c r="N1250" s="61"/>
      <c r="O1250" s="75">
        <f t="shared" si="3"/>
        <v>1400000</v>
      </c>
      <c r="P1250" s="75">
        <f t="shared" si="4"/>
        <v>1400000</v>
      </c>
      <c r="Q1250" s="64"/>
      <c r="R1250" s="1"/>
      <c r="S1250" s="1"/>
      <c r="T1250" s="1"/>
      <c r="U1250" s="1"/>
      <c r="V1250" s="1"/>
      <c r="W1250" s="1"/>
      <c r="X1250" s="1"/>
      <c r="Y1250" s="1"/>
      <c r="Z1250" s="1"/>
    </row>
    <row r="1251" ht="14.25" customHeight="1">
      <c r="A1251" s="61"/>
      <c r="B1251" s="91"/>
      <c r="C1251" s="35" t="s">
        <v>68</v>
      </c>
      <c r="D1251" s="47"/>
      <c r="E1251" s="59" t="s">
        <v>69</v>
      </c>
      <c r="F1251" s="59"/>
      <c r="G1251" s="22"/>
      <c r="H1251" s="22"/>
      <c r="I1251" s="22"/>
      <c r="J1251" s="46">
        <f t="shared" ref="J1251:K1251" si="489">SUM(J1253:J1256)</f>
        <v>1160000</v>
      </c>
      <c r="K1251" s="46">
        <f t="shared" si="489"/>
        <v>0</v>
      </c>
      <c r="L1251" s="26"/>
      <c r="M1251" s="46">
        <f>SUM(M1253:M1256)</f>
        <v>0</v>
      </c>
      <c r="N1251" s="61"/>
      <c r="O1251" s="75">
        <f t="shared" si="3"/>
        <v>1160000</v>
      </c>
      <c r="P1251" s="75">
        <f t="shared" si="4"/>
        <v>1160000</v>
      </c>
      <c r="Q1251" s="64"/>
      <c r="R1251" s="1"/>
      <c r="S1251" s="1"/>
      <c r="T1251" s="1"/>
      <c r="U1251" s="1"/>
      <c r="V1251" s="1"/>
      <c r="W1251" s="1"/>
      <c r="X1251" s="1"/>
      <c r="Y1251" s="1"/>
      <c r="Z1251" s="1"/>
    </row>
    <row r="1252" ht="9.75" customHeight="1">
      <c r="A1252" s="61"/>
      <c r="B1252" s="91"/>
      <c r="C1252" s="67"/>
      <c r="D1252" s="22"/>
      <c r="E1252" s="59" t="s">
        <v>23</v>
      </c>
      <c r="F1252" s="59"/>
      <c r="G1252" s="22"/>
      <c r="H1252" s="22"/>
      <c r="I1252" s="22"/>
      <c r="J1252" s="22"/>
      <c r="K1252" s="22"/>
      <c r="L1252" s="26"/>
      <c r="M1252" s="22"/>
      <c r="N1252" s="61"/>
      <c r="O1252" s="75">
        <f t="shared" si="3"/>
        <v>0</v>
      </c>
      <c r="P1252" s="75">
        <f t="shared" si="4"/>
        <v>0</v>
      </c>
      <c r="Q1252" s="64"/>
      <c r="R1252" s="1"/>
      <c r="S1252" s="1"/>
      <c r="T1252" s="1"/>
      <c r="U1252" s="1"/>
      <c r="V1252" s="1"/>
      <c r="W1252" s="1"/>
      <c r="X1252" s="1"/>
      <c r="Y1252" s="1"/>
      <c r="Z1252" s="1"/>
    </row>
    <row r="1253" ht="14.25" customHeight="1">
      <c r="A1253" s="61"/>
      <c r="B1253" s="91"/>
      <c r="C1253" s="67"/>
      <c r="D1253" s="22"/>
      <c r="E1253" s="59" t="s">
        <v>109</v>
      </c>
      <c r="F1253" s="59"/>
      <c r="G1253" s="36">
        <v>10.0</v>
      </c>
      <c r="H1253" s="36" t="s">
        <v>95</v>
      </c>
      <c r="I1253" s="48">
        <v>50000.0</v>
      </c>
      <c r="J1253" s="46">
        <f t="shared" ref="J1253:J1256" si="490">G1253*I1253</f>
        <v>500000</v>
      </c>
      <c r="K1253" s="46"/>
      <c r="L1253" s="26"/>
      <c r="M1253" s="46"/>
      <c r="N1253" s="61"/>
      <c r="O1253" s="75">
        <f t="shared" si="3"/>
        <v>500000</v>
      </c>
      <c r="P1253" s="75">
        <f t="shared" si="4"/>
        <v>500000</v>
      </c>
      <c r="Q1253" s="64"/>
      <c r="R1253" s="1"/>
      <c r="S1253" s="1"/>
      <c r="T1253" s="1"/>
      <c r="U1253" s="1"/>
      <c r="V1253" s="1"/>
      <c r="W1253" s="1"/>
      <c r="X1253" s="1"/>
      <c r="Y1253" s="1"/>
      <c r="Z1253" s="1"/>
    </row>
    <row r="1254" ht="14.25" customHeight="1">
      <c r="A1254" s="61"/>
      <c r="B1254" s="91"/>
      <c r="C1254" s="67"/>
      <c r="D1254" s="22"/>
      <c r="E1254" s="59" t="s">
        <v>110</v>
      </c>
      <c r="F1254" s="59"/>
      <c r="G1254" s="36">
        <v>2.0</v>
      </c>
      <c r="H1254" s="36" t="s">
        <v>95</v>
      </c>
      <c r="I1254" s="48">
        <v>100000.0</v>
      </c>
      <c r="J1254" s="46">
        <f t="shared" si="490"/>
        <v>200000</v>
      </c>
      <c r="K1254" s="46"/>
      <c r="L1254" s="26"/>
      <c r="M1254" s="46"/>
      <c r="N1254" s="61"/>
      <c r="O1254" s="75">
        <f t="shared" si="3"/>
        <v>200000</v>
      </c>
      <c r="P1254" s="75">
        <f t="shared" si="4"/>
        <v>200000</v>
      </c>
      <c r="Q1254" s="64"/>
      <c r="R1254" s="1"/>
      <c r="S1254" s="1"/>
      <c r="T1254" s="1"/>
      <c r="U1254" s="1"/>
      <c r="V1254" s="1"/>
      <c r="W1254" s="1"/>
      <c r="X1254" s="1"/>
      <c r="Y1254" s="1"/>
      <c r="Z1254" s="1"/>
    </row>
    <row r="1255" ht="14.25" customHeight="1">
      <c r="A1255" s="61"/>
      <c r="B1255" s="91"/>
      <c r="C1255" s="67"/>
      <c r="D1255" s="22"/>
      <c r="E1255" s="59" t="s">
        <v>111</v>
      </c>
      <c r="F1255" s="59"/>
      <c r="G1255" s="36">
        <v>2.0</v>
      </c>
      <c r="H1255" s="36" t="s">
        <v>95</v>
      </c>
      <c r="I1255" s="48">
        <v>200000.0</v>
      </c>
      <c r="J1255" s="46">
        <f t="shared" si="490"/>
        <v>400000</v>
      </c>
      <c r="K1255" s="46"/>
      <c r="L1255" s="26"/>
      <c r="M1255" s="46"/>
      <c r="N1255" s="61"/>
      <c r="O1255" s="75">
        <f t="shared" si="3"/>
        <v>400000</v>
      </c>
      <c r="P1255" s="75">
        <f t="shared" si="4"/>
        <v>400000</v>
      </c>
      <c r="Q1255" s="64"/>
      <c r="R1255" s="1"/>
      <c r="S1255" s="1"/>
      <c r="T1255" s="1"/>
      <c r="U1255" s="1"/>
      <c r="V1255" s="1"/>
      <c r="W1255" s="1"/>
      <c r="X1255" s="1"/>
      <c r="Y1255" s="1"/>
      <c r="Z1255" s="1"/>
    </row>
    <row r="1256" ht="14.25" customHeight="1">
      <c r="A1256" s="61"/>
      <c r="B1256" s="91"/>
      <c r="C1256" s="67"/>
      <c r="D1256" s="22"/>
      <c r="E1256" s="59" t="s">
        <v>112</v>
      </c>
      <c r="F1256" s="59"/>
      <c r="G1256" s="36">
        <v>2.0</v>
      </c>
      <c r="H1256" s="36" t="s">
        <v>95</v>
      </c>
      <c r="I1256" s="48">
        <v>30000.0</v>
      </c>
      <c r="J1256" s="46">
        <f t="shared" si="490"/>
        <v>60000</v>
      </c>
      <c r="K1256" s="46"/>
      <c r="L1256" s="26"/>
      <c r="M1256" s="46"/>
      <c r="N1256" s="61"/>
      <c r="O1256" s="75">
        <f t="shared" si="3"/>
        <v>60000</v>
      </c>
      <c r="P1256" s="75">
        <f t="shared" si="4"/>
        <v>60000</v>
      </c>
      <c r="Q1256" s="64"/>
      <c r="R1256" s="1"/>
      <c r="S1256" s="1"/>
      <c r="T1256" s="1"/>
      <c r="U1256" s="1"/>
      <c r="V1256" s="1"/>
      <c r="W1256" s="1"/>
      <c r="X1256" s="1"/>
      <c r="Y1256" s="1"/>
      <c r="Z1256" s="1"/>
    </row>
    <row r="1257" ht="9.75" customHeight="1">
      <c r="A1257" s="61"/>
      <c r="B1257" s="91"/>
      <c r="C1257" s="41" t="s">
        <v>113</v>
      </c>
      <c r="D1257" s="56"/>
      <c r="E1257" s="59" t="s">
        <v>114</v>
      </c>
      <c r="F1257" s="59"/>
      <c r="G1257" s="22"/>
      <c r="H1257" s="22"/>
      <c r="I1257" s="22"/>
      <c r="J1257" s="43">
        <f t="shared" ref="J1257:K1257" si="491">J1258</f>
        <v>410750000</v>
      </c>
      <c r="K1257" s="43">
        <f t="shared" si="491"/>
        <v>0</v>
      </c>
      <c r="L1257" s="26"/>
      <c r="M1257" s="43">
        <f>M1258</f>
        <v>0</v>
      </c>
      <c r="N1257" s="61"/>
      <c r="O1257" s="75">
        <f t="shared" si="3"/>
        <v>410750000</v>
      </c>
      <c r="P1257" s="75">
        <f t="shared" si="4"/>
        <v>410750000</v>
      </c>
      <c r="Q1257" s="64"/>
      <c r="R1257" s="1"/>
      <c r="S1257" s="1"/>
      <c r="T1257" s="1"/>
      <c r="U1257" s="1"/>
      <c r="V1257" s="1"/>
      <c r="W1257" s="1"/>
      <c r="X1257" s="1"/>
      <c r="Y1257" s="1"/>
      <c r="Z1257" s="1"/>
    </row>
    <row r="1258" ht="14.25" customHeight="1">
      <c r="A1258" s="61"/>
      <c r="B1258" s="91"/>
      <c r="C1258" s="35" t="s">
        <v>68</v>
      </c>
      <c r="D1258" s="47"/>
      <c r="E1258" s="59" t="s">
        <v>69</v>
      </c>
      <c r="F1258" s="59"/>
      <c r="G1258" s="22"/>
      <c r="H1258" s="22"/>
      <c r="I1258" s="22"/>
      <c r="J1258" s="46">
        <f t="shared" ref="J1258:K1258" si="492">SUM(J1260:J1270)</f>
        <v>410750000</v>
      </c>
      <c r="K1258" s="46">
        <f t="shared" si="492"/>
        <v>0</v>
      </c>
      <c r="L1258" s="26"/>
      <c r="M1258" s="46">
        <f>SUM(M1260:M1270)</f>
        <v>0</v>
      </c>
      <c r="N1258" s="61"/>
      <c r="O1258" s="75">
        <f t="shared" si="3"/>
        <v>410750000</v>
      </c>
      <c r="P1258" s="75">
        <f t="shared" si="4"/>
        <v>410750000</v>
      </c>
      <c r="Q1258" s="64"/>
      <c r="R1258" s="1"/>
      <c r="S1258" s="1"/>
      <c r="T1258" s="1"/>
      <c r="U1258" s="1"/>
      <c r="V1258" s="1"/>
      <c r="W1258" s="1"/>
      <c r="X1258" s="1"/>
      <c r="Y1258" s="1"/>
      <c r="Z1258" s="1"/>
    </row>
    <row r="1259" ht="9.75" customHeight="1">
      <c r="A1259" s="61"/>
      <c r="B1259" s="91"/>
      <c r="C1259" s="67"/>
      <c r="D1259" s="22"/>
      <c r="E1259" s="59" t="s">
        <v>23</v>
      </c>
      <c r="F1259" s="59"/>
      <c r="G1259" s="22"/>
      <c r="H1259" s="22"/>
      <c r="I1259" s="22"/>
      <c r="J1259" s="22"/>
      <c r="K1259" s="22"/>
      <c r="L1259" s="26"/>
      <c r="M1259" s="22"/>
      <c r="N1259" s="61"/>
      <c r="O1259" s="75">
        <f t="shared" si="3"/>
        <v>0</v>
      </c>
      <c r="P1259" s="75">
        <f t="shared" si="4"/>
        <v>0</v>
      </c>
      <c r="Q1259" s="64"/>
      <c r="R1259" s="1"/>
      <c r="S1259" s="1"/>
      <c r="T1259" s="1"/>
      <c r="U1259" s="1"/>
      <c r="V1259" s="1"/>
      <c r="W1259" s="1"/>
      <c r="X1259" s="1"/>
      <c r="Y1259" s="1"/>
      <c r="Z1259" s="1"/>
    </row>
    <row r="1260" ht="14.25" customHeight="1">
      <c r="A1260" s="61"/>
      <c r="B1260" s="91"/>
      <c r="C1260" s="67"/>
      <c r="D1260" s="22"/>
      <c r="E1260" s="59" t="s">
        <v>172</v>
      </c>
      <c r="F1260" s="59"/>
      <c r="G1260" s="36">
        <v>100.0</v>
      </c>
      <c r="H1260" s="36" t="s">
        <v>95</v>
      </c>
      <c r="I1260" s="48">
        <v>110000.0</v>
      </c>
      <c r="J1260" s="46">
        <f t="shared" ref="J1260:J1270" si="493">G1260*I1260</f>
        <v>11000000</v>
      </c>
      <c r="K1260" s="46"/>
      <c r="L1260" s="26"/>
      <c r="M1260" s="46"/>
      <c r="N1260" s="61"/>
      <c r="O1260" s="75">
        <f t="shared" si="3"/>
        <v>11000000</v>
      </c>
      <c r="P1260" s="75">
        <f t="shared" si="4"/>
        <v>11000000</v>
      </c>
      <c r="Q1260" s="64"/>
      <c r="R1260" s="1"/>
      <c r="S1260" s="1"/>
      <c r="T1260" s="1"/>
      <c r="U1260" s="1"/>
      <c r="V1260" s="1"/>
      <c r="W1260" s="1"/>
      <c r="X1260" s="1"/>
      <c r="Y1260" s="1"/>
      <c r="Z1260" s="1"/>
    </row>
    <row r="1261" ht="14.25" customHeight="1">
      <c r="A1261" s="61"/>
      <c r="B1261" s="91"/>
      <c r="C1261" s="67"/>
      <c r="D1261" s="22"/>
      <c r="E1261" s="59" t="s">
        <v>173</v>
      </c>
      <c r="F1261" s="59"/>
      <c r="G1261" s="36">
        <v>100.0</v>
      </c>
      <c r="H1261" s="36" t="s">
        <v>95</v>
      </c>
      <c r="I1261" s="48">
        <v>120000.0</v>
      </c>
      <c r="J1261" s="46">
        <f t="shared" si="493"/>
        <v>12000000</v>
      </c>
      <c r="K1261" s="46"/>
      <c r="L1261" s="26"/>
      <c r="M1261" s="46"/>
      <c r="N1261" s="61"/>
      <c r="O1261" s="75">
        <f t="shared" si="3"/>
        <v>12000000</v>
      </c>
      <c r="P1261" s="75">
        <f t="shared" si="4"/>
        <v>12000000</v>
      </c>
      <c r="Q1261" s="64"/>
      <c r="R1261" s="1"/>
      <c r="S1261" s="1"/>
      <c r="T1261" s="1"/>
      <c r="U1261" s="1"/>
      <c r="V1261" s="1"/>
      <c r="W1261" s="1"/>
      <c r="X1261" s="1"/>
      <c r="Y1261" s="1"/>
      <c r="Z1261" s="1"/>
    </row>
    <row r="1262" ht="14.25" customHeight="1">
      <c r="A1262" s="61"/>
      <c r="B1262" s="91"/>
      <c r="C1262" s="67"/>
      <c r="D1262" s="22"/>
      <c r="E1262" s="59" t="s">
        <v>174</v>
      </c>
      <c r="F1262" s="59"/>
      <c r="G1262" s="36">
        <v>100.0</v>
      </c>
      <c r="H1262" s="36" t="s">
        <v>95</v>
      </c>
      <c r="I1262" s="48">
        <v>150000.0</v>
      </c>
      <c r="J1262" s="46">
        <f t="shared" si="493"/>
        <v>15000000</v>
      </c>
      <c r="K1262" s="46"/>
      <c r="L1262" s="26"/>
      <c r="M1262" s="46"/>
      <c r="N1262" s="61"/>
      <c r="O1262" s="75">
        <f t="shared" si="3"/>
        <v>15000000</v>
      </c>
      <c r="P1262" s="75">
        <f t="shared" si="4"/>
        <v>15000000</v>
      </c>
      <c r="Q1262" s="64"/>
      <c r="R1262" s="1"/>
      <c r="S1262" s="1"/>
      <c r="T1262" s="1"/>
      <c r="U1262" s="1"/>
      <c r="V1262" s="1"/>
      <c r="W1262" s="1"/>
      <c r="X1262" s="1"/>
      <c r="Y1262" s="1"/>
      <c r="Z1262" s="1"/>
    </row>
    <row r="1263" ht="14.25" customHeight="1">
      <c r="A1263" s="61"/>
      <c r="B1263" s="91"/>
      <c r="C1263" s="67"/>
      <c r="D1263" s="22"/>
      <c r="E1263" s="59" t="s">
        <v>175</v>
      </c>
      <c r="F1263" s="59"/>
      <c r="G1263" s="36">
        <v>100.0</v>
      </c>
      <c r="H1263" s="36" t="s">
        <v>95</v>
      </c>
      <c r="I1263" s="48">
        <v>100000.0</v>
      </c>
      <c r="J1263" s="46">
        <f t="shared" si="493"/>
        <v>10000000</v>
      </c>
      <c r="K1263" s="46"/>
      <c r="L1263" s="26"/>
      <c r="M1263" s="46"/>
      <c r="N1263" s="61"/>
      <c r="O1263" s="75">
        <f t="shared" si="3"/>
        <v>10000000</v>
      </c>
      <c r="P1263" s="75">
        <f t="shared" si="4"/>
        <v>10000000</v>
      </c>
      <c r="Q1263" s="64"/>
      <c r="R1263" s="1"/>
      <c r="S1263" s="1"/>
      <c r="T1263" s="1"/>
      <c r="U1263" s="1"/>
      <c r="V1263" s="1"/>
      <c r="W1263" s="1"/>
      <c r="X1263" s="1"/>
      <c r="Y1263" s="1"/>
      <c r="Z1263" s="1"/>
    </row>
    <row r="1264" ht="14.25" customHeight="1">
      <c r="A1264" s="61"/>
      <c r="B1264" s="91"/>
      <c r="C1264" s="67"/>
      <c r="D1264" s="22"/>
      <c r="E1264" s="59" t="s">
        <v>176</v>
      </c>
      <c r="F1264" s="59"/>
      <c r="G1264" s="36">
        <v>100.0</v>
      </c>
      <c r="H1264" s="36" t="s">
        <v>95</v>
      </c>
      <c r="I1264" s="48">
        <v>350000.0</v>
      </c>
      <c r="J1264" s="46">
        <f t="shared" si="493"/>
        <v>35000000</v>
      </c>
      <c r="K1264" s="46"/>
      <c r="L1264" s="26"/>
      <c r="M1264" s="46"/>
      <c r="N1264" s="61"/>
      <c r="O1264" s="75">
        <f t="shared" si="3"/>
        <v>35000000</v>
      </c>
      <c r="P1264" s="75">
        <f t="shared" si="4"/>
        <v>35000000</v>
      </c>
      <c r="Q1264" s="64"/>
      <c r="R1264" s="1"/>
      <c r="S1264" s="1"/>
      <c r="T1264" s="1"/>
      <c r="U1264" s="1"/>
      <c r="V1264" s="1"/>
      <c r="W1264" s="1"/>
      <c r="X1264" s="1"/>
      <c r="Y1264" s="1"/>
      <c r="Z1264" s="1"/>
    </row>
    <row r="1265" ht="14.25" customHeight="1">
      <c r="A1265" s="61"/>
      <c r="B1265" s="91"/>
      <c r="C1265" s="67"/>
      <c r="D1265" s="22"/>
      <c r="E1265" s="59" t="s">
        <v>177</v>
      </c>
      <c r="F1265" s="59"/>
      <c r="G1265" s="36">
        <v>50.0</v>
      </c>
      <c r="H1265" s="36" t="s">
        <v>95</v>
      </c>
      <c r="I1265" s="48">
        <v>175000.0</v>
      </c>
      <c r="J1265" s="46">
        <f t="shared" si="493"/>
        <v>8750000</v>
      </c>
      <c r="K1265" s="46"/>
      <c r="L1265" s="26"/>
      <c r="M1265" s="46"/>
      <c r="N1265" s="61"/>
      <c r="O1265" s="75">
        <f t="shared" si="3"/>
        <v>8750000</v>
      </c>
      <c r="P1265" s="75">
        <f t="shared" si="4"/>
        <v>8750000</v>
      </c>
      <c r="Q1265" s="64"/>
      <c r="R1265" s="1"/>
      <c r="S1265" s="1"/>
      <c r="T1265" s="1"/>
      <c r="U1265" s="1"/>
      <c r="V1265" s="1"/>
      <c r="W1265" s="1"/>
      <c r="X1265" s="1"/>
      <c r="Y1265" s="1"/>
      <c r="Z1265" s="1"/>
    </row>
    <row r="1266" ht="14.25" customHeight="1">
      <c r="A1266" s="61"/>
      <c r="B1266" s="91"/>
      <c r="C1266" s="67"/>
      <c r="D1266" s="22"/>
      <c r="E1266" s="59" t="s">
        <v>178</v>
      </c>
      <c r="F1266" s="59"/>
      <c r="G1266" s="36">
        <v>350.0</v>
      </c>
      <c r="H1266" s="36" t="s">
        <v>95</v>
      </c>
      <c r="I1266" s="48">
        <v>150000.0</v>
      </c>
      <c r="J1266" s="46">
        <f t="shared" si="493"/>
        <v>52500000</v>
      </c>
      <c r="K1266" s="46"/>
      <c r="L1266" s="26"/>
      <c r="M1266" s="46"/>
      <c r="N1266" s="61"/>
      <c r="O1266" s="75">
        <f t="shared" si="3"/>
        <v>52500000</v>
      </c>
      <c r="P1266" s="75">
        <f t="shared" si="4"/>
        <v>52500000</v>
      </c>
      <c r="Q1266" s="64"/>
      <c r="R1266" s="1"/>
      <c r="S1266" s="1"/>
      <c r="T1266" s="1"/>
      <c r="U1266" s="1"/>
      <c r="V1266" s="1"/>
      <c r="W1266" s="1"/>
      <c r="X1266" s="1"/>
      <c r="Y1266" s="1"/>
      <c r="Z1266" s="1"/>
    </row>
    <row r="1267" ht="14.25" customHeight="1">
      <c r="A1267" s="61"/>
      <c r="B1267" s="91"/>
      <c r="C1267" s="67"/>
      <c r="D1267" s="22"/>
      <c r="E1267" s="59" t="s">
        <v>179</v>
      </c>
      <c r="F1267" s="59"/>
      <c r="G1267" s="36">
        <v>350.0</v>
      </c>
      <c r="H1267" s="36" t="s">
        <v>95</v>
      </c>
      <c r="I1267" s="48">
        <v>200000.0</v>
      </c>
      <c r="J1267" s="46">
        <f t="shared" si="493"/>
        <v>70000000</v>
      </c>
      <c r="K1267" s="46"/>
      <c r="L1267" s="26"/>
      <c r="M1267" s="46"/>
      <c r="N1267" s="61"/>
      <c r="O1267" s="75">
        <f t="shared" si="3"/>
        <v>70000000</v>
      </c>
      <c r="P1267" s="75">
        <f t="shared" si="4"/>
        <v>70000000</v>
      </c>
      <c r="Q1267" s="64"/>
      <c r="R1267" s="1"/>
      <c r="S1267" s="1"/>
      <c r="T1267" s="1"/>
      <c r="U1267" s="1"/>
      <c r="V1267" s="1"/>
      <c r="W1267" s="1"/>
      <c r="X1267" s="1"/>
      <c r="Y1267" s="1"/>
      <c r="Z1267" s="1"/>
    </row>
    <row r="1268" ht="14.25" customHeight="1">
      <c r="A1268" s="61"/>
      <c r="B1268" s="91"/>
      <c r="C1268" s="67"/>
      <c r="D1268" s="22"/>
      <c r="E1268" s="59" t="s">
        <v>180</v>
      </c>
      <c r="F1268" s="59"/>
      <c r="G1268" s="36">
        <v>600.0</v>
      </c>
      <c r="H1268" s="36" t="s">
        <v>95</v>
      </c>
      <c r="I1268" s="48">
        <v>250000.0</v>
      </c>
      <c r="J1268" s="46">
        <f t="shared" si="493"/>
        <v>150000000</v>
      </c>
      <c r="K1268" s="46"/>
      <c r="L1268" s="26"/>
      <c r="M1268" s="46"/>
      <c r="N1268" s="61"/>
      <c r="O1268" s="75">
        <f t="shared" si="3"/>
        <v>150000000</v>
      </c>
      <c r="P1268" s="75">
        <f t="shared" si="4"/>
        <v>150000000</v>
      </c>
      <c r="Q1268" s="64"/>
      <c r="R1268" s="1"/>
      <c r="S1268" s="1"/>
      <c r="T1268" s="1"/>
      <c r="U1268" s="1"/>
      <c r="V1268" s="1"/>
      <c r="W1268" s="1"/>
      <c r="X1268" s="1"/>
      <c r="Y1268" s="1"/>
      <c r="Z1268" s="1"/>
    </row>
    <row r="1269" ht="14.25" customHeight="1">
      <c r="A1269" s="61"/>
      <c r="B1269" s="91"/>
      <c r="C1269" s="67"/>
      <c r="D1269" s="22"/>
      <c r="E1269" s="59" t="s">
        <v>181</v>
      </c>
      <c r="F1269" s="59"/>
      <c r="G1269" s="36">
        <v>360.0</v>
      </c>
      <c r="H1269" s="36" t="s">
        <v>95</v>
      </c>
      <c r="I1269" s="48">
        <v>100000.0</v>
      </c>
      <c r="J1269" s="46">
        <f t="shared" si="493"/>
        <v>36000000</v>
      </c>
      <c r="K1269" s="46"/>
      <c r="L1269" s="26"/>
      <c r="M1269" s="46"/>
      <c r="N1269" s="61"/>
      <c r="O1269" s="75">
        <f t="shared" si="3"/>
        <v>36000000</v>
      </c>
      <c r="P1269" s="75">
        <f t="shared" si="4"/>
        <v>36000000</v>
      </c>
      <c r="Q1269" s="64"/>
      <c r="R1269" s="1"/>
      <c r="S1269" s="1"/>
      <c r="T1269" s="1"/>
      <c r="U1269" s="1"/>
      <c r="V1269" s="1"/>
      <c r="W1269" s="1"/>
      <c r="X1269" s="1"/>
      <c r="Y1269" s="1"/>
      <c r="Z1269" s="1"/>
    </row>
    <row r="1270" ht="14.25" customHeight="1">
      <c r="A1270" s="61"/>
      <c r="B1270" s="91"/>
      <c r="C1270" s="67"/>
      <c r="D1270" s="22"/>
      <c r="E1270" s="59" t="s">
        <v>182</v>
      </c>
      <c r="F1270" s="59"/>
      <c r="G1270" s="36">
        <v>210.0</v>
      </c>
      <c r="H1270" s="36" t="s">
        <v>95</v>
      </c>
      <c r="I1270" s="48">
        <v>50000.0</v>
      </c>
      <c r="J1270" s="46">
        <f t="shared" si="493"/>
        <v>10500000</v>
      </c>
      <c r="K1270" s="46"/>
      <c r="L1270" s="26"/>
      <c r="M1270" s="46"/>
      <c r="N1270" s="61"/>
      <c r="O1270" s="75">
        <f t="shared" si="3"/>
        <v>10500000</v>
      </c>
      <c r="P1270" s="75">
        <f t="shared" si="4"/>
        <v>10500000</v>
      </c>
      <c r="Q1270" s="64"/>
      <c r="R1270" s="1"/>
      <c r="S1270" s="1"/>
      <c r="T1270" s="1"/>
      <c r="U1270" s="1"/>
      <c r="V1270" s="1"/>
      <c r="W1270" s="1"/>
      <c r="X1270" s="1"/>
      <c r="Y1270" s="1"/>
      <c r="Z1270" s="1"/>
    </row>
    <row r="1271" ht="14.25" customHeight="1">
      <c r="A1271" s="61"/>
      <c r="B1271" s="91"/>
      <c r="C1271" s="41" t="s">
        <v>126</v>
      </c>
      <c r="D1271" s="56"/>
      <c r="E1271" s="59" t="s">
        <v>127</v>
      </c>
      <c r="F1271" s="59"/>
      <c r="G1271" s="22"/>
      <c r="H1271" s="22"/>
      <c r="I1271" s="22"/>
      <c r="J1271" s="43">
        <f t="shared" ref="J1271:K1271" si="494">J1272</f>
        <v>190740000</v>
      </c>
      <c r="K1271" s="43">
        <f t="shared" si="494"/>
        <v>0</v>
      </c>
      <c r="L1271" s="26"/>
      <c r="M1271" s="43">
        <f>M1272</f>
        <v>0</v>
      </c>
      <c r="N1271" s="61"/>
      <c r="O1271" s="75">
        <f t="shared" si="3"/>
        <v>190740000</v>
      </c>
      <c r="P1271" s="75">
        <f t="shared" si="4"/>
        <v>190740000</v>
      </c>
      <c r="Q1271" s="64"/>
      <c r="R1271" s="1"/>
      <c r="S1271" s="1"/>
      <c r="T1271" s="1"/>
      <c r="U1271" s="1"/>
      <c r="V1271" s="1"/>
      <c r="W1271" s="1"/>
      <c r="X1271" s="1"/>
      <c r="Y1271" s="1"/>
      <c r="Z1271" s="1"/>
    </row>
    <row r="1272" ht="14.25" customHeight="1">
      <c r="A1272" s="61"/>
      <c r="B1272" s="91"/>
      <c r="C1272" s="35" t="s">
        <v>68</v>
      </c>
      <c r="D1272" s="47"/>
      <c r="E1272" s="59" t="s">
        <v>69</v>
      </c>
      <c r="F1272" s="59"/>
      <c r="G1272" s="22"/>
      <c r="H1272" s="22"/>
      <c r="I1272" s="22"/>
      <c r="J1272" s="46">
        <f t="shared" ref="J1272:K1272" si="495">SUM(J1274:J1278)</f>
        <v>190740000</v>
      </c>
      <c r="K1272" s="46">
        <f t="shared" si="495"/>
        <v>0</v>
      </c>
      <c r="L1272" s="26"/>
      <c r="M1272" s="46">
        <f>SUM(M1274:M1278)</f>
        <v>0</v>
      </c>
      <c r="N1272" s="61"/>
      <c r="O1272" s="75">
        <f t="shared" si="3"/>
        <v>190740000</v>
      </c>
      <c r="P1272" s="75">
        <f t="shared" si="4"/>
        <v>190740000</v>
      </c>
      <c r="Q1272" s="64"/>
      <c r="R1272" s="1"/>
      <c r="S1272" s="1"/>
      <c r="T1272" s="1"/>
      <c r="U1272" s="1"/>
      <c r="V1272" s="1"/>
      <c r="W1272" s="1"/>
      <c r="X1272" s="1"/>
      <c r="Y1272" s="1"/>
      <c r="Z1272" s="1"/>
    </row>
    <row r="1273" ht="9.75" customHeight="1">
      <c r="A1273" s="61"/>
      <c r="B1273" s="91"/>
      <c r="C1273" s="67"/>
      <c r="D1273" s="22"/>
      <c r="E1273" s="59" t="s">
        <v>23</v>
      </c>
      <c r="F1273" s="59"/>
      <c r="G1273" s="22"/>
      <c r="H1273" s="22"/>
      <c r="I1273" s="22"/>
      <c r="J1273" s="22"/>
      <c r="K1273" s="22"/>
      <c r="L1273" s="26"/>
      <c r="M1273" s="22"/>
      <c r="N1273" s="61"/>
      <c r="O1273" s="75">
        <f t="shared" si="3"/>
        <v>0</v>
      </c>
      <c r="P1273" s="75">
        <f t="shared" si="4"/>
        <v>0</v>
      </c>
      <c r="Q1273" s="64"/>
      <c r="R1273" s="1"/>
      <c r="S1273" s="1"/>
      <c r="T1273" s="1"/>
      <c r="U1273" s="1"/>
      <c r="V1273" s="1"/>
      <c r="W1273" s="1"/>
      <c r="X1273" s="1"/>
      <c r="Y1273" s="1"/>
      <c r="Z1273" s="1"/>
    </row>
    <row r="1274" ht="14.25" customHeight="1">
      <c r="A1274" s="61"/>
      <c r="B1274" s="91"/>
      <c r="C1274" s="67"/>
      <c r="D1274" s="22"/>
      <c r="E1274" s="59" t="s">
        <v>128</v>
      </c>
      <c r="F1274" s="59"/>
      <c r="G1274" s="36">
        <v>88.0</v>
      </c>
      <c r="H1274" s="36" t="s">
        <v>233</v>
      </c>
      <c r="I1274" s="48">
        <v>110000.0</v>
      </c>
      <c r="J1274" s="46">
        <f t="shared" ref="J1274:J1278" si="496">G1274*I1274</f>
        <v>9680000</v>
      </c>
      <c r="K1274" s="46"/>
      <c r="L1274" s="26"/>
      <c r="M1274" s="46"/>
      <c r="N1274" s="61"/>
      <c r="O1274" s="75">
        <f t="shared" si="3"/>
        <v>9680000</v>
      </c>
      <c r="P1274" s="75">
        <f t="shared" si="4"/>
        <v>9680000</v>
      </c>
      <c r="Q1274" s="64"/>
      <c r="R1274" s="1"/>
      <c r="S1274" s="1"/>
      <c r="T1274" s="1"/>
      <c r="U1274" s="1"/>
      <c r="V1274" s="1"/>
      <c r="W1274" s="1"/>
      <c r="X1274" s="1"/>
      <c r="Y1274" s="1"/>
      <c r="Z1274" s="1"/>
    </row>
    <row r="1275" ht="14.25" customHeight="1">
      <c r="A1275" s="61"/>
      <c r="B1275" s="91"/>
      <c r="C1275" s="67"/>
      <c r="D1275" s="22"/>
      <c r="E1275" s="59" t="s">
        <v>130</v>
      </c>
      <c r="F1275" s="59"/>
      <c r="G1275" s="36">
        <v>88.0</v>
      </c>
      <c r="H1275" s="36" t="s">
        <v>233</v>
      </c>
      <c r="I1275" s="48">
        <v>120000.0</v>
      </c>
      <c r="J1275" s="46">
        <f t="shared" si="496"/>
        <v>10560000</v>
      </c>
      <c r="K1275" s="46"/>
      <c r="L1275" s="26"/>
      <c r="M1275" s="46"/>
      <c r="N1275" s="61"/>
      <c r="O1275" s="75">
        <f t="shared" si="3"/>
        <v>10560000</v>
      </c>
      <c r="P1275" s="75">
        <f t="shared" si="4"/>
        <v>10560000</v>
      </c>
      <c r="Q1275" s="64"/>
      <c r="R1275" s="1"/>
      <c r="S1275" s="1"/>
      <c r="T1275" s="1"/>
      <c r="U1275" s="1"/>
      <c r="V1275" s="1"/>
      <c r="W1275" s="1"/>
      <c r="X1275" s="1"/>
      <c r="Y1275" s="1"/>
      <c r="Z1275" s="1"/>
    </row>
    <row r="1276" ht="14.25" customHeight="1">
      <c r="A1276" s="61"/>
      <c r="B1276" s="91"/>
      <c r="C1276" s="67"/>
      <c r="D1276" s="22"/>
      <c r="E1276" s="59" t="s">
        <v>131</v>
      </c>
      <c r="F1276" s="59"/>
      <c r="G1276" s="36">
        <v>88.0</v>
      </c>
      <c r="H1276" s="36" t="s">
        <v>233</v>
      </c>
      <c r="I1276" s="48">
        <v>350000.0</v>
      </c>
      <c r="J1276" s="46">
        <f t="shared" si="496"/>
        <v>30800000</v>
      </c>
      <c r="K1276" s="46"/>
      <c r="L1276" s="26"/>
      <c r="M1276" s="46"/>
      <c r="N1276" s="61"/>
      <c r="O1276" s="75">
        <f t="shared" si="3"/>
        <v>30800000</v>
      </c>
      <c r="P1276" s="75">
        <f t="shared" si="4"/>
        <v>30800000</v>
      </c>
      <c r="Q1276" s="64"/>
      <c r="R1276" s="1"/>
      <c r="S1276" s="1"/>
      <c r="T1276" s="1"/>
      <c r="U1276" s="1"/>
      <c r="V1276" s="1"/>
      <c r="W1276" s="1"/>
      <c r="X1276" s="1"/>
      <c r="Y1276" s="1"/>
      <c r="Z1276" s="1"/>
    </row>
    <row r="1277" ht="14.25" customHeight="1">
      <c r="A1277" s="61"/>
      <c r="B1277" s="91"/>
      <c r="C1277" s="67"/>
      <c r="D1277" s="22"/>
      <c r="E1277" s="59" t="s">
        <v>132</v>
      </c>
      <c r="F1277" s="59"/>
      <c r="G1277" s="36">
        <v>44.0</v>
      </c>
      <c r="H1277" s="36" t="s">
        <v>233</v>
      </c>
      <c r="I1277" s="48">
        <v>175000.0</v>
      </c>
      <c r="J1277" s="46">
        <f t="shared" si="496"/>
        <v>7700000</v>
      </c>
      <c r="K1277" s="46"/>
      <c r="L1277" s="26"/>
      <c r="M1277" s="46"/>
      <c r="N1277" s="61"/>
      <c r="O1277" s="75">
        <f t="shared" si="3"/>
        <v>7700000</v>
      </c>
      <c r="P1277" s="75">
        <f t="shared" si="4"/>
        <v>7700000</v>
      </c>
      <c r="Q1277" s="64"/>
      <c r="R1277" s="1"/>
      <c r="S1277" s="1"/>
      <c r="T1277" s="1"/>
      <c r="U1277" s="1"/>
      <c r="V1277" s="1"/>
      <c r="W1277" s="1"/>
      <c r="X1277" s="1"/>
      <c r="Y1277" s="1"/>
      <c r="Z1277" s="1"/>
    </row>
    <row r="1278" ht="14.25" customHeight="1">
      <c r="A1278" s="61"/>
      <c r="B1278" s="91"/>
      <c r="C1278" s="67"/>
      <c r="D1278" s="22"/>
      <c r="E1278" s="59" t="s">
        <v>211</v>
      </c>
      <c r="F1278" s="59"/>
      <c r="G1278" s="36">
        <v>528.0</v>
      </c>
      <c r="H1278" s="36" t="s">
        <v>233</v>
      </c>
      <c r="I1278" s="48">
        <v>250000.0</v>
      </c>
      <c r="J1278" s="46">
        <f t="shared" si="496"/>
        <v>132000000</v>
      </c>
      <c r="K1278" s="46"/>
      <c r="L1278" s="26"/>
      <c r="M1278" s="46"/>
      <c r="N1278" s="61"/>
      <c r="O1278" s="75">
        <f t="shared" si="3"/>
        <v>132000000</v>
      </c>
      <c r="P1278" s="75">
        <f t="shared" si="4"/>
        <v>132000000</v>
      </c>
      <c r="Q1278" s="64"/>
      <c r="R1278" s="1"/>
      <c r="S1278" s="1"/>
      <c r="T1278" s="1"/>
      <c r="U1278" s="1"/>
      <c r="V1278" s="1"/>
      <c r="W1278" s="1"/>
      <c r="X1278" s="1"/>
      <c r="Y1278" s="1"/>
      <c r="Z1278" s="1"/>
    </row>
    <row r="1279" ht="9.75" customHeight="1">
      <c r="A1279" s="61"/>
      <c r="B1279" s="91"/>
      <c r="C1279" s="41" t="s">
        <v>134</v>
      </c>
      <c r="D1279" s="56"/>
      <c r="E1279" s="59" t="s">
        <v>135</v>
      </c>
      <c r="F1279" s="59"/>
      <c r="G1279" s="22"/>
      <c r="H1279" s="22"/>
      <c r="I1279" s="22"/>
      <c r="J1279" s="43">
        <f t="shared" ref="J1279:K1279" si="497">J1280</f>
        <v>20020000</v>
      </c>
      <c r="K1279" s="43">
        <f t="shared" si="497"/>
        <v>0</v>
      </c>
      <c r="L1279" s="26"/>
      <c r="M1279" s="43">
        <f>M1280</f>
        <v>0</v>
      </c>
      <c r="N1279" s="61"/>
      <c r="O1279" s="75">
        <f t="shared" si="3"/>
        <v>20020000</v>
      </c>
      <c r="P1279" s="75">
        <f t="shared" si="4"/>
        <v>20020000</v>
      </c>
      <c r="Q1279" s="64"/>
      <c r="R1279" s="1"/>
      <c r="S1279" s="1"/>
      <c r="T1279" s="1"/>
      <c r="U1279" s="1"/>
      <c r="V1279" s="1"/>
      <c r="W1279" s="1"/>
      <c r="X1279" s="1"/>
      <c r="Y1279" s="1"/>
      <c r="Z1279" s="1"/>
    </row>
    <row r="1280" ht="14.25" customHeight="1">
      <c r="A1280" s="61"/>
      <c r="B1280" s="91"/>
      <c r="C1280" s="35" t="s">
        <v>68</v>
      </c>
      <c r="D1280" s="47"/>
      <c r="E1280" s="59" t="s">
        <v>69</v>
      </c>
      <c r="F1280" s="59"/>
      <c r="G1280" s="22"/>
      <c r="H1280" s="22"/>
      <c r="I1280" s="22"/>
      <c r="J1280" s="46">
        <f t="shared" ref="J1280:K1280" si="498">SUM(J1282:J1286)</f>
        <v>20020000</v>
      </c>
      <c r="K1280" s="46">
        <f t="shared" si="498"/>
        <v>0</v>
      </c>
      <c r="L1280" s="26"/>
      <c r="M1280" s="46">
        <f>SUM(M1282:M1286)</f>
        <v>0</v>
      </c>
      <c r="N1280" s="61"/>
      <c r="O1280" s="75">
        <f t="shared" si="3"/>
        <v>20020000</v>
      </c>
      <c r="P1280" s="75">
        <f t="shared" si="4"/>
        <v>20020000</v>
      </c>
      <c r="Q1280" s="64"/>
      <c r="R1280" s="1"/>
      <c r="S1280" s="1"/>
      <c r="T1280" s="1"/>
      <c r="U1280" s="1"/>
      <c r="V1280" s="1"/>
      <c r="W1280" s="1"/>
      <c r="X1280" s="1"/>
      <c r="Y1280" s="1"/>
      <c r="Z1280" s="1"/>
    </row>
    <row r="1281" ht="9.75" customHeight="1">
      <c r="A1281" s="61"/>
      <c r="B1281" s="91"/>
      <c r="C1281" s="67"/>
      <c r="D1281" s="22"/>
      <c r="E1281" s="59" t="s">
        <v>23</v>
      </c>
      <c r="F1281" s="59"/>
      <c r="G1281" s="22"/>
      <c r="H1281" s="22"/>
      <c r="I1281" s="22"/>
      <c r="J1281" s="22"/>
      <c r="K1281" s="22"/>
      <c r="L1281" s="26"/>
      <c r="M1281" s="22"/>
      <c r="N1281" s="61"/>
      <c r="O1281" s="75">
        <f t="shared" si="3"/>
        <v>0</v>
      </c>
      <c r="P1281" s="75">
        <f t="shared" si="4"/>
        <v>0</v>
      </c>
      <c r="Q1281" s="64"/>
      <c r="R1281" s="1"/>
      <c r="S1281" s="1"/>
      <c r="T1281" s="1"/>
      <c r="U1281" s="1"/>
      <c r="V1281" s="1"/>
      <c r="W1281" s="1"/>
      <c r="X1281" s="1"/>
      <c r="Y1281" s="1"/>
      <c r="Z1281" s="1"/>
    </row>
    <row r="1282" ht="14.25" customHeight="1">
      <c r="A1282" s="61"/>
      <c r="B1282" s="91"/>
      <c r="C1282" s="67"/>
      <c r="D1282" s="22"/>
      <c r="E1282" s="59" t="s">
        <v>183</v>
      </c>
      <c r="F1282" s="59"/>
      <c r="G1282" s="36">
        <v>150.0</v>
      </c>
      <c r="H1282" s="36" t="s">
        <v>95</v>
      </c>
      <c r="I1282" s="48">
        <v>75000.0</v>
      </c>
      <c r="J1282" s="46">
        <f t="shared" ref="J1282:J1286" si="499">G1282*I1282</f>
        <v>11250000</v>
      </c>
      <c r="K1282" s="46"/>
      <c r="L1282" s="26"/>
      <c r="M1282" s="46"/>
      <c r="N1282" s="61"/>
      <c r="O1282" s="75">
        <f t="shared" si="3"/>
        <v>11250000</v>
      </c>
      <c r="P1282" s="75">
        <f t="shared" si="4"/>
        <v>11250000</v>
      </c>
      <c r="Q1282" s="64"/>
      <c r="R1282" s="1"/>
      <c r="S1282" s="1"/>
      <c r="T1282" s="1"/>
      <c r="U1282" s="1"/>
      <c r="V1282" s="1"/>
      <c r="W1282" s="1"/>
      <c r="X1282" s="1"/>
      <c r="Y1282" s="1"/>
      <c r="Z1282" s="1"/>
    </row>
    <row r="1283" ht="14.25" customHeight="1">
      <c r="A1283" s="61"/>
      <c r="B1283" s="91"/>
      <c r="C1283" s="67"/>
      <c r="D1283" s="22"/>
      <c r="E1283" s="59" t="s">
        <v>137</v>
      </c>
      <c r="F1283" s="59"/>
      <c r="G1283" s="36">
        <v>2.0</v>
      </c>
      <c r="H1283" s="36" t="s">
        <v>95</v>
      </c>
      <c r="I1283" s="48">
        <v>360000.0</v>
      </c>
      <c r="J1283" s="46">
        <f t="shared" si="499"/>
        <v>720000</v>
      </c>
      <c r="K1283" s="46"/>
      <c r="L1283" s="26"/>
      <c r="M1283" s="46"/>
      <c r="N1283" s="61"/>
      <c r="O1283" s="75">
        <f t="shared" si="3"/>
        <v>720000</v>
      </c>
      <c r="P1283" s="75">
        <f t="shared" si="4"/>
        <v>720000</v>
      </c>
      <c r="Q1283" s="64"/>
      <c r="R1283" s="1"/>
      <c r="S1283" s="1"/>
      <c r="T1283" s="1"/>
      <c r="U1283" s="1"/>
      <c r="V1283" s="1"/>
      <c r="W1283" s="1"/>
      <c r="X1283" s="1"/>
      <c r="Y1283" s="1"/>
      <c r="Z1283" s="1"/>
    </row>
    <row r="1284" ht="14.25" customHeight="1">
      <c r="A1284" s="61"/>
      <c r="B1284" s="91"/>
      <c r="C1284" s="67"/>
      <c r="D1284" s="22"/>
      <c r="E1284" s="59" t="s">
        <v>184</v>
      </c>
      <c r="F1284" s="59"/>
      <c r="G1284" s="36">
        <v>50.0</v>
      </c>
      <c r="H1284" s="36" t="s">
        <v>95</v>
      </c>
      <c r="I1284" s="48">
        <v>93000.0</v>
      </c>
      <c r="J1284" s="46">
        <f t="shared" si="499"/>
        <v>4650000</v>
      </c>
      <c r="K1284" s="46"/>
      <c r="L1284" s="26"/>
      <c r="M1284" s="46"/>
      <c r="N1284" s="61"/>
      <c r="O1284" s="75">
        <f t="shared" si="3"/>
        <v>4650000</v>
      </c>
      <c r="P1284" s="75">
        <f t="shared" si="4"/>
        <v>4650000</v>
      </c>
      <c r="Q1284" s="64"/>
      <c r="R1284" s="1"/>
      <c r="S1284" s="1"/>
      <c r="T1284" s="1"/>
      <c r="U1284" s="1"/>
      <c r="V1284" s="1"/>
      <c r="W1284" s="1"/>
      <c r="X1284" s="1"/>
      <c r="Y1284" s="1"/>
      <c r="Z1284" s="1"/>
    </row>
    <row r="1285" ht="14.25" customHeight="1">
      <c r="A1285" s="61"/>
      <c r="B1285" s="91"/>
      <c r="C1285" s="67"/>
      <c r="D1285" s="22"/>
      <c r="E1285" s="59" t="s">
        <v>185</v>
      </c>
      <c r="F1285" s="59"/>
      <c r="G1285" s="36">
        <v>50.0</v>
      </c>
      <c r="H1285" s="36" t="s">
        <v>95</v>
      </c>
      <c r="I1285" s="48">
        <v>53000.0</v>
      </c>
      <c r="J1285" s="46">
        <f t="shared" si="499"/>
        <v>2650000</v>
      </c>
      <c r="K1285" s="46"/>
      <c r="L1285" s="26"/>
      <c r="M1285" s="46"/>
      <c r="N1285" s="61"/>
      <c r="O1285" s="75">
        <f t="shared" si="3"/>
        <v>2650000</v>
      </c>
      <c r="P1285" s="75">
        <f t="shared" si="4"/>
        <v>2650000</v>
      </c>
      <c r="Q1285" s="64"/>
      <c r="R1285" s="1"/>
      <c r="S1285" s="1"/>
      <c r="T1285" s="1"/>
      <c r="U1285" s="1"/>
      <c r="V1285" s="1"/>
      <c r="W1285" s="1"/>
      <c r="X1285" s="1"/>
      <c r="Y1285" s="1"/>
      <c r="Z1285" s="1"/>
    </row>
    <row r="1286" ht="14.25" customHeight="1">
      <c r="A1286" s="61"/>
      <c r="B1286" s="91"/>
      <c r="C1286" s="67"/>
      <c r="D1286" s="22"/>
      <c r="E1286" s="59" t="s">
        <v>186</v>
      </c>
      <c r="F1286" s="59"/>
      <c r="G1286" s="36">
        <v>50.0</v>
      </c>
      <c r="H1286" s="36" t="s">
        <v>95</v>
      </c>
      <c r="I1286" s="48">
        <v>15000.0</v>
      </c>
      <c r="J1286" s="46">
        <f t="shared" si="499"/>
        <v>750000</v>
      </c>
      <c r="K1286" s="46"/>
      <c r="L1286" s="26"/>
      <c r="M1286" s="46"/>
      <c r="N1286" s="61"/>
      <c r="O1286" s="75">
        <f t="shared" si="3"/>
        <v>750000</v>
      </c>
      <c r="P1286" s="75">
        <f t="shared" si="4"/>
        <v>750000</v>
      </c>
      <c r="Q1286" s="64"/>
      <c r="R1286" s="1"/>
      <c r="S1286" s="1"/>
      <c r="T1286" s="1"/>
      <c r="U1286" s="1"/>
      <c r="V1286" s="1"/>
      <c r="W1286" s="1"/>
      <c r="X1286" s="1"/>
      <c r="Y1286" s="1"/>
      <c r="Z1286" s="1"/>
    </row>
    <row r="1287" ht="9.75" customHeight="1">
      <c r="A1287" s="61"/>
      <c r="B1287" s="91"/>
      <c r="C1287" s="41" t="s">
        <v>141</v>
      </c>
      <c r="D1287" s="56"/>
      <c r="E1287" s="59" t="s">
        <v>142</v>
      </c>
      <c r="F1287" s="59"/>
      <c r="G1287" s="22"/>
      <c r="H1287" s="22"/>
      <c r="I1287" s="22"/>
      <c r="J1287" s="43">
        <f t="shared" ref="J1287:K1287" si="500">J1288</f>
        <v>145500000</v>
      </c>
      <c r="K1287" s="43">
        <f t="shared" si="500"/>
        <v>0</v>
      </c>
      <c r="L1287" s="26"/>
      <c r="M1287" s="43">
        <f>M1288</f>
        <v>0</v>
      </c>
      <c r="N1287" s="61"/>
      <c r="O1287" s="75">
        <f t="shared" si="3"/>
        <v>145500000</v>
      </c>
      <c r="P1287" s="75">
        <f t="shared" si="4"/>
        <v>145500000</v>
      </c>
      <c r="Q1287" s="64"/>
      <c r="R1287" s="1"/>
      <c r="S1287" s="1"/>
      <c r="T1287" s="1"/>
      <c r="U1287" s="1"/>
      <c r="V1287" s="1"/>
      <c r="W1287" s="1"/>
      <c r="X1287" s="1"/>
      <c r="Y1287" s="1"/>
      <c r="Z1287" s="1"/>
    </row>
    <row r="1288" ht="14.25" customHeight="1">
      <c r="A1288" s="61"/>
      <c r="B1288" s="91"/>
      <c r="C1288" s="35" t="s">
        <v>68</v>
      </c>
      <c r="D1288" s="47"/>
      <c r="E1288" s="59" t="s">
        <v>69</v>
      </c>
      <c r="F1288" s="59"/>
      <c r="G1288" s="22"/>
      <c r="H1288" s="22"/>
      <c r="I1288" s="22"/>
      <c r="J1288" s="46">
        <f t="shared" ref="J1288:K1288" si="501">SUM(J1290:J1292)</f>
        <v>145500000</v>
      </c>
      <c r="K1288" s="46">
        <f t="shared" si="501"/>
        <v>0</v>
      </c>
      <c r="L1288" s="26"/>
      <c r="M1288" s="46">
        <f>SUM(M1290:M1292)</f>
        <v>0</v>
      </c>
      <c r="N1288" s="61"/>
      <c r="O1288" s="75">
        <f t="shared" si="3"/>
        <v>145500000</v>
      </c>
      <c r="P1288" s="75">
        <f t="shared" si="4"/>
        <v>145500000</v>
      </c>
      <c r="Q1288" s="64"/>
      <c r="R1288" s="1"/>
      <c r="S1288" s="1"/>
      <c r="T1288" s="1"/>
      <c r="U1288" s="1"/>
      <c r="V1288" s="1"/>
      <c r="W1288" s="1"/>
      <c r="X1288" s="1"/>
      <c r="Y1288" s="1"/>
      <c r="Z1288" s="1"/>
    </row>
    <row r="1289" ht="9.75" customHeight="1">
      <c r="A1289" s="61"/>
      <c r="B1289" s="91"/>
      <c r="C1289" s="67"/>
      <c r="D1289" s="22"/>
      <c r="E1289" s="59" t="s">
        <v>23</v>
      </c>
      <c r="F1289" s="59"/>
      <c r="G1289" s="22"/>
      <c r="H1289" s="22"/>
      <c r="I1289" s="22"/>
      <c r="J1289" s="22"/>
      <c r="K1289" s="22"/>
      <c r="L1289" s="26"/>
      <c r="M1289" s="22"/>
      <c r="N1289" s="61"/>
      <c r="O1289" s="75">
        <f t="shared" si="3"/>
        <v>0</v>
      </c>
      <c r="P1289" s="75">
        <f t="shared" si="4"/>
        <v>0</v>
      </c>
      <c r="Q1289" s="64"/>
      <c r="R1289" s="1"/>
      <c r="S1289" s="1"/>
      <c r="T1289" s="1"/>
      <c r="U1289" s="1"/>
      <c r="V1289" s="1"/>
      <c r="W1289" s="1"/>
      <c r="X1289" s="1"/>
      <c r="Y1289" s="1"/>
      <c r="Z1289" s="1"/>
    </row>
    <row r="1290" ht="14.25" customHeight="1">
      <c r="A1290" s="61"/>
      <c r="B1290" s="91"/>
      <c r="C1290" s="67"/>
      <c r="D1290" s="22"/>
      <c r="E1290" s="59" t="s">
        <v>187</v>
      </c>
      <c r="F1290" s="59"/>
      <c r="G1290" s="36">
        <v>50.0</v>
      </c>
      <c r="H1290" s="36" t="s">
        <v>95</v>
      </c>
      <c r="I1290" s="48">
        <v>2000000.0</v>
      </c>
      <c r="J1290" s="46">
        <f t="shared" ref="J1290:J1292" si="502">G1290*I1290</f>
        <v>100000000</v>
      </c>
      <c r="K1290" s="46"/>
      <c r="L1290" s="26"/>
      <c r="M1290" s="46"/>
      <c r="N1290" s="61"/>
      <c r="O1290" s="75">
        <f t="shared" si="3"/>
        <v>100000000</v>
      </c>
      <c r="P1290" s="75">
        <f t="shared" si="4"/>
        <v>100000000</v>
      </c>
      <c r="Q1290" s="64"/>
      <c r="R1290" s="1"/>
      <c r="S1290" s="1"/>
      <c r="T1290" s="1"/>
      <c r="U1290" s="1"/>
      <c r="V1290" s="1"/>
      <c r="W1290" s="1"/>
      <c r="X1290" s="1"/>
      <c r="Y1290" s="1"/>
      <c r="Z1290" s="1"/>
    </row>
    <row r="1291" ht="14.25" customHeight="1">
      <c r="A1291" s="61"/>
      <c r="B1291" s="91"/>
      <c r="C1291" s="67"/>
      <c r="D1291" s="22"/>
      <c r="E1291" s="59" t="s">
        <v>188</v>
      </c>
      <c r="F1291" s="59"/>
      <c r="G1291" s="36">
        <v>50.0</v>
      </c>
      <c r="H1291" s="36" t="s">
        <v>95</v>
      </c>
      <c r="I1291" s="48">
        <v>750000.0</v>
      </c>
      <c r="J1291" s="46">
        <f t="shared" si="502"/>
        <v>37500000</v>
      </c>
      <c r="K1291" s="46"/>
      <c r="L1291" s="26"/>
      <c r="M1291" s="46"/>
      <c r="N1291" s="61"/>
      <c r="O1291" s="75">
        <f t="shared" si="3"/>
        <v>37500000</v>
      </c>
      <c r="P1291" s="75">
        <f t="shared" si="4"/>
        <v>37500000</v>
      </c>
      <c r="Q1291" s="64"/>
      <c r="R1291" s="1"/>
      <c r="S1291" s="1"/>
      <c r="T1291" s="1"/>
      <c r="U1291" s="1"/>
      <c r="V1291" s="1"/>
      <c r="W1291" s="1"/>
      <c r="X1291" s="1"/>
      <c r="Y1291" s="1"/>
      <c r="Z1291" s="1"/>
    </row>
    <row r="1292" ht="14.25" customHeight="1">
      <c r="A1292" s="61"/>
      <c r="B1292" s="91"/>
      <c r="C1292" s="67"/>
      <c r="D1292" s="22"/>
      <c r="E1292" s="59" t="s">
        <v>145</v>
      </c>
      <c r="F1292" s="59"/>
      <c r="G1292" s="36">
        <v>4.0</v>
      </c>
      <c r="H1292" s="36" t="s">
        <v>95</v>
      </c>
      <c r="I1292" s="48">
        <v>2000000.0</v>
      </c>
      <c r="J1292" s="46">
        <f t="shared" si="502"/>
        <v>8000000</v>
      </c>
      <c r="K1292" s="46"/>
      <c r="L1292" s="26"/>
      <c r="M1292" s="46"/>
      <c r="N1292" s="61"/>
      <c r="O1292" s="75">
        <f t="shared" si="3"/>
        <v>8000000</v>
      </c>
      <c r="P1292" s="75">
        <f t="shared" si="4"/>
        <v>8000000</v>
      </c>
      <c r="Q1292" s="64"/>
      <c r="R1292" s="1"/>
      <c r="S1292" s="1"/>
      <c r="T1292" s="1"/>
      <c r="U1292" s="1"/>
      <c r="V1292" s="1"/>
      <c r="W1292" s="1"/>
      <c r="X1292" s="1"/>
      <c r="Y1292" s="1"/>
      <c r="Z1292" s="1"/>
    </row>
    <row r="1293" ht="14.25" customHeight="1">
      <c r="A1293" s="61"/>
      <c r="B1293" s="91"/>
      <c r="C1293" s="41" t="s">
        <v>146</v>
      </c>
      <c r="D1293" s="56"/>
      <c r="E1293" s="59" t="s">
        <v>147</v>
      </c>
      <c r="F1293" s="59"/>
      <c r="G1293" s="22"/>
      <c r="H1293" s="22"/>
      <c r="I1293" s="22"/>
      <c r="J1293" s="43">
        <f t="shared" ref="J1293:K1293" si="503">J1294+J1301</f>
        <v>219800000</v>
      </c>
      <c r="K1293" s="43">
        <f t="shared" si="503"/>
        <v>0</v>
      </c>
      <c r="L1293" s="26"/>
      <c r="M1293" s="43">
        <f>M1294+M1301</f>
        <v>19380000</v>
      </c>
      <c r="N1293" s="61"/>
      <c r="O1293" s="75">
        <f t="shared" si="3"/>
        <v>219800000</v>
      </c>
      <c r="P1293" s="75">
        <f t="shared" si="4"/>
        <v>200420000</v>
      </c>
      <c r="Q1293" s="64"/>
      <c r="R1293" s="1"/>
      <c r="S1293" s="1"/>
      <c r="T1293" s="1"/>
      <c r="U1293" s="1"/>
      <c r="V1293" s="1"/>
      <c r="W1293" s="1"/>
      <c r="X1293" s="1"/>
      <c r="Y1293" s="1"/>
      <c r="Z1293" s="1"/>
    </row>
    <row r="1294" ht="14.25" customHeight="1">
      <c r="A1294" s="61"/>
      <c r="B1294" s="91"/>
      <c r="C1294" s="35" t="s">
        <v>74</v>
      </c>
      <c r="D1294" s="47"/>
      <c r="E1294" s="59" t="s">
        <v>75</v>
      </c>
      <c r="F1294" s="59"/>
      <c r="G1294" s="22"/>
      <c r="H1294" s="22"/>
      <c r="I1294" s="22"/>
      <c r="J1294" s="46">
        <f t="shared" ref="J1294:K1294" si="504">SUM(J1296:J1300)</f>
        <v>195800000</v>
      </c>
      <c r="K1294" s="46">
        <f t="shared" si="504"/>
        <v>0</v>
      </c>
      <c r="L1294" s="26"/>
      <c r="M1294" s="46">
        <f>SUM(M1296:M1300)</f>
        <v>17850000</v>
      </c>
      <c r="N1294" s="61"/>
      <c r="O1294" s="75">
        <f t="shared" si="3"/>
        <v>195800000</v>
      </c>
      <c r="P1294" s="75">
        <f t="shared" si="4"/>
        <v>177950000</v>
      </c>
      <c r="Q1294" s="64"/>
      <c r="R1294" s="1"/>
      <c r="S1294" s="1"/>
      <c r="T1294" s="1"/>
      <c r="U1294" s="1"/>
      <c r="V1294" s="1"/>
      <c r="W1294" s="1"/>
      <c r="X1294" s="1"/>
      <c r="Y1294" s="1"/>
      <c r="Z1294" s="1"/>
    </row>
    <row r="1295" ht="9.75" customHeight="1">
      <c r="A1295" s="61"/>
      <c r="B1295" s="91"/>
      <c r="C1295" s="67"/>
      <c r="D1295" s="22"/>
      <c r="E1295" s="59" t="s">
        <v>23</v>
      </c>
      <c r="F1295" s="59"/>
      <c r="G1295" s="22"/>
      <c r="H1295" s="22"/>
      <c r="I1295" s="22"/>
      <c r="J1295" s="22"/>
      <c r="K1295" s="22"/>
      <c r="L1295" s="26"/>
      <c r="M1295" s="22"/>
      <c r="N1295" s="61"/>
      <c r="O1295" s="75">
        <f t="shared" si="3"/>
        <v>0</v>
      </c>
      <c r="P1295" s="75">
        <f t="shared" si="4"/>
        <v>0</v>
      </c>
      <c r="Q1295" s="64"/>
      <c r="R1295" s="1"/>
      <c r="S1295" s="1"/>
      <c r="T1295" s="1"/>
      <c r="U1295" s="1"/>
      <c r="V1295" s="1"/>
      <c r="W1295" s="1"/>
      <c r="X1295" s="1"/>
      <c r="Y1295" s="1"/>
      <c r="Z1295" s="1"/>
    </row>
    <row r="1296" ht="14.25" customHeight="1">
      <c r="A1296" s="61"/>
      <c r="B1296" s="91"/>
      <c r="C1296" s="67"/>
      <c r="D1296" s="22"/>
      <c r="E1296" s="59" t="s">
        <v>148</v>
      </c>
      <c r="F1296" s="59"/>
      <c r="G1296" s="36">
        <v>25.0</v>
      </c>
      <c r="H1296" s="36" t="s">
        <v>26</v>
      </c>
      <c r="I1296" s="48">
        <v>875000.0</v>
      </c>
      <c r="J1296" s="46">
        <f t="shared" ref="J1296:J1300" si="505">G1296*I1296</f>
        <v>21875000</v>
      </c>
      <c r="K1296" s="46"/>
      <c r="L1296" s="26"/>
      <c r="M1296" s="53">
        <v>8200000.0</v>
      </c>
      <c r="N1296" s="61"/>
      <c r="O1296" s="75">
        <f t="shared" si="3"/>
        <v>21875000</v>
      </c>
      <c r="P1296" s="75">
        <f t="shared" si="4"/>
        <v>13675000</v>
      </c>
      <c r="Q1296" s="64"/>
      <c r="R1296" s="1"/>
      <c r="S1296" s="1"/>
      <c r="T1296" s="1"/>
      <c r="U1296" s="1"/>
      <c r="V1296" s="1"/>
      <c r="W1296" s="1"/>
      <c r="X1296" s="1"/>
      <c r="Y1296" s="1"/>
      <c r="Z1296" s="1"/>
    </row>
    <row r="1297" ht="14.25" customHeight="1">
      <c r="A1297" s="61"/>
      <c r="B1297" s="91"/>
      <c r="C1297" s="67"/>
      <c r="D1297" s="22"/>
      <c r="E1297" s="59" t="s">
        <v>149</v>
      </c>
      <c r="F1297" s="59"/>
      <c r="G1297" s="36">
        <v>50.0</v>
      </c>
      <c r="H1297" s="36" t="s">
        <v>26</v>
      </c>
      <c r="I1297" s="48">
        <v>783500.0</v>
      </c>
      <c r="J1297" s="46">
        <f t="shared" si="505"/>
        <v>39175000</v>
      </c>
      <c r="K1297" s="46"/>
      <c r="L1297" s="26"/>
      <c r="M1297" s="53">
        <v>7200000.0</v>
      </c>
      <c r="N1297" s="61"/>
      <c r="O1297" s="75">
        <f t="shared" si="3"/>
        <v>39175000</v>
      </c>
      <c r="P1297" s="75">
        <f t="shared" si="4"/>
        <v>31975000</v>
      </c>
      <c r="Q1297" s="64"/>
      <c r="R1297" s="1"/>
      <c r="S1297" s="1"/>
      <c r="T1297" s="1"/>
      <c r="U1297" s="1"/>
      <c r="V1297" s="1"/>
      <c r="W1297" s="1"/>
      <c r="X1297" s="1"/>
      <c r="Y1297" s="1"/>
      <c r="Z1297" s="1"/>
    </row>
    <row r="1298" ht="14.25" customHeight="1">
      <c r="A1298" s="61"/>
      <c r="B1298" s="91"/>
      <c r="C1298" s="67"/>
      <c r="D1298" s="22"/>
      <c r="E1298" s="59" t="s">
        <v>150</v>
      </c>
      <c r="F1298" s="59"/>
      <c r="G1298" s="36">
        <v>75.0</v>
      </c>
      <c r="H1298" s="36" t="s">
        <v>26</v>
      </c>
      <c r="I1298" s="48">
        <v>430000.0</v>
      </c>
      <c r="J1298" s="46">
        <f t="shared" si="505"/>
        <v>32250000</v>
      </c>
      <c r="K1298" s="46"/>
      <c r="L1298" s="26"/>
      <c r="M1298" s="53">
        <v>2450000.0</v>
      </c>
      <c r="N1298" s="61"/>
      <c r="O1298" s="75">
        <f t="shared" si="3"/>
        <v>32250000</v>
      </c>
      <c r="P1298" s="75">
        <f t="shared" si="4"/>
        <v>29800000</v>
      </c>
      <c r="Q1298" s="64"/>
      <c r="R1298" s="1"/>
      <c r="S1298" s="1"/>
      <c r="T1298" s="1"/>
      <c r="U1298" s="1"/>
      <c r="V1298" s="1"/>
      <c r="W1298" s="1"/>
      <c r="X1298" s="1"/>
      <c r="Y1298" s="1"/>
      <c r="Z1298" s="1"/>
    </row>
    <row r="1299" ht="14.25" customHeight="1">
      <c r="A1299" s="61"/>
      <c r="B1299" s="91"/>
      <c r="C1299" s="67"/>
      <c r="D1299" s="22"/>
      <c r="E1299" s="59" t="s">
        <v>189</v>
      </c>
      <c r="F1299" s="59"/>
      <c r="G1299" s="36">
        <v>100.0</v>
      </c>
      <c r="H1299" s="36" t="s">
        <v>26</v>
      </c>
      <c r="I1299" s="48">
        <v>500000.0</v>
      </c>
      <c r="J1299" s="46">
        <f t="shared" si="505"/>
        <v>50000000</v>
      </c>
      <c r="K1299" s="46"/>
      <c r="L1299" s="26"/>
      <c r="M1299" s="46"/>
      <c r="N1299" s="61"/>
      <c r="O1299" s="75">
        <f t="shared" si="3"/>
        <v>50000000</v>
      </c>
      <c r="P1299" s="75">
        <f t="shared" si="4"/>
        <v>50000000</v>
      </c>
      <c r="Q1299" s="64"/>
      <c r="R1299" s="1"/>
      <c r="S1299" s="1"/>
      <c r="T1299" s="1"/>
      <c r="U1299" s="1"/>
      <c r="V1299" s="1"/>
      <c r="W1299" s="1"/>
      <c r="X1299" s="1"/>
      <c r="Y1299" s="1"/>
      <c r="Z1299" s="1"/>
    </row>
    <row r="1300" ht="14.25" customHeight="1">
      <c r="A1300" s="61"/>
      <c r="B1300" s="91"/>
      <c r="C1300" s="67"/>
      <c r="D1300" s="22"/>
      <c r="E1300" s="59" t="s">
        <v>190</v>
      </c>
      <c r="F1300" s="59"/>
      <c r="G1300" s="36">
        <v>150.0</v>
      </c>
      <c r="H1300" s="36" t="s">
        <v>26</v>
      </c>
      <c r="I1300" s="48">
        <v>350000.0</v>
      </c>
      <c r="J1300" s="46">
        <f t="shared" si="505"/>
        <v>52500000</v>
      </c>
      <c r="K1300" s="46"/>
      <c r="L1300" s="26"/>
      <c r="M1300" s="46"/>
      <c r="N1300" s="61"/>
      <c r="O1300" s="75">
        <f t="shared" si="3"/>
        <v>52500000</v>
      </c>
      <c r="P1300" s="75">
        <f t="shared" si="4"/>
        <v>52500000</v>
      </c>
      <c r="Q1300" s="64"/>
      <c r="R1300" s="1"/>
      <c r="S1300" s="1"/>
      <c r="T1300" s="1"/>
      <c r="U1300" s="1"/>
      <c r="V1300" s="1"/>
      <c r="W1300" s="1"/>
      <c r="X1300" s="1"/>
      <c r="Y1300" s="1"/>
      <c r="Z1300" s="1"/>
    </row>
    <row r="1301" ht="14.25" customHeight="1">
      <c r="A1301" s="61"/>
      <c r="B1301" s="91"/>
      <c r="C1301" s="35" t="s">
        <v>79</v>
      </c>
      <c r="D1301" s="47"/>
      <c r="E1301" s="59" t="s">
        <v>80</v>
      </c>
      <c r="F1301" s="59"/>
      <c r="G1301" s="22"/>
      <c r="H1301" s="22"/>
      <c r="I1301" s="22"/>
      <c r="J1301" s="46">
        <f t="shared" ref="J1301:K1301" si="506">J1303</f>
        <v>24000000</v>
      </c>
      <c r="K1301" s="46" t="str">
        <f t="shared" si="506"/>
        <v/>
      </c>
      <c r="L1301" s="26"/>
      <c r="M1301" s="46">
        <f>M1303</f>
        <v>1530000</v>
      </c>
      <c r="N1301" s="61"/>
      <c r="O1301" s="75">
        <f t="shared" si="3"/>
        <v>24000000</v>
      </c>
      <c r="P1301" s="75">
        <f t="shared" si="4"/>
        <v>22470000</v>
      </c>
      <c r="Q1301" s="64"/>
      <c r="R1301" s="1"/>
      <c r="S1301" s="1"/>
      <c r="T1301" s="1"/>
      <c r="U1301" s="1"/>
      <c r="V1301" s="1"/>
      <c r="W1301" s="1"/>
      <c r="X1301" s="1"/>
      <c r="Y1301" s="1"/>
      <c r="Z1301" s="1"/>
    </row>
    <row r="1302" ht="9.75" customHeight="1">
      <c r="A1302" s="61"/>
      <c r="B1302" s="91"/>
      <c r="C1302" s="67"/>
      <c r="D1302" s="22"/>
      <c r="E1302" s="59" t="s">
        <v>23</v>
      </c>
      <c r="F1302" s="59"/>
      <c r="G1302" s="22"/>
      <c r="H1302" s="22"/>
      <c r="I1302" s="22"/>
      <c r="J1302" s="22"/>
      <c r="K1302" s="22"/>
      <c r="L1302" s="26"/>
      <c r="M1302" s="22"/>
      <c r="N1302" s="61"/>
      <c r="O1302" s="75">
        <f t="shared" si="3"/>
        <v>0</v>
      </c>
      <c r="P1302" s="75">
        <f t="shared" si="4"/>
        <v>0</v>
      </c>
      <c r="Q1302" s="64"/>
      <c r="R1302" s="1"/>
      <c r="S1302" s="1"/>
      <c r="T1302" s="1"/>
      <c r="U1302" s="1"/>
      <c r="V1302" s="1"/>
      <c r="W1302" s="1"/>
      <c r="X1302" s="1"/>
      <c r="Y1302" s="1"/>
      <c r="Z1302" s="1"/>
    </row>
    <row r="1303" ht="14.25" customHeight="1">
      <c r="A1303" s="61"/>
      <c r="B1303" s="91"/>
      <c r="C1303" s="67"/>
      <c r="D1303" s="22"/>
      <c r="E1303" s="59" t="s">
        <v>153</v>
      </c>
      <c r="F1303" s="59"/>
      <c r="G1303" s="36">
        <v>160.0</v>
      </c>
      <c r="H1303" s="36" t="s">
        <v>26</v>
      </c>
      <c r="I1303" s="48">
        <v>150000.0</v>
      </c>
      <c r="J1303" s="46">
        <f>G1303*I1303</f>
        <v>24000000</v>
      </c>
      <c r="K1303" s="46"/>
      <c r="L1303" s="26"/>
      <c r="M1303" s="53">
        <v>1530000.0</v>
      </c>
      <c r="N1303" s="61"/>
      <c r="O1303" s="75">
        <f t="shared" si="3"/>
        <v>24000000</v>
      </c>
      <c r="P1303" s="75">
        <f t="shared" si="4"/>
        <v>22470000</v>
      </c>
      <c r="Q1303" s="64"/>
      <c r="R1303" s="1"/>
      <c r="S1303" s="1"/>
      <c r="T1303" s="1"/>
      <c r="U1303" s="1"/>
      <c r="V1303" s="1"/>
      <c r="W1303" s="1"/>
      <c r="X1303" s="1"/>
      <c r="Y1303" s="1"/>
      <c r="Z1303" s="1"/>
    </row>
    <row r="1304" ht="9.75" customHeight="1">
      <c r="A1304" s="1"/>
      <c r="B1304" s="1"/>
      <c r="C1304" s="1"/>
      <c r="D1304" s="1"/>
      <c r="E1304" s="97"/>
      <c r="F1304" s="97"/>
      <c r="G1304" s="97"/>
      <c r="H1304" s="97"/>
      <c r="I1304" s="1"/>
      <c r="J1304" s="98"/>
      <c r="K1304" s="6"/>
      <c r="L1304" s="5"/>
      <c r="M1304" s="1"/>
      <c r="N1304" s="1"/>
      <c r="O1304" s="1"/>
      <c r="P1304" s="1"/>
      <c r="Q1304" s="64"/>
      <c r="R1304" s="1"/>
      <c r="S1304" s="1"/>
      <c r="T1304" s="1"/>
      <c r="U1304" s="1"/>
      <c r="V1304" s="1"/>
      <c r="W1304" s="1"/>
      <c r="X1304" s="1"/>
      <c r="Y1304" s="1"/>
      <c r="Z1304" s="1"/>
    </row>
    <row r="1305" ht="9.75" customHeight="1">
      <c r="A1305" s="1"/>
      <c r="B1305" s="1"/>
      <c r="C1305" s="1"/>
      <c r="D1305" s="1"/>
      <c r="E1305" s="97"/>
      <c r="F1305" s="97"/>
      <c r="G1305" s="97"/>
      <c r="H1305" s="97"/>
      <c r="I1305" s="1"/>
      <c r="J1305" s="98"/>
      <c r="K1305" s="6"/>
      <c r="L1305" s="5"/>
      <c r="M1305" s="1"/>
      <c r="N1305" s="1"/>
      <c r="O1305" s="1"/>
      <c r="P1305" s="1"/>
      <c r="Q1305" s="64"/>
      <c r="R1305" s="1"/>
      <c r="S1305" s="1"/>
      <c r="T1305" s="1"/>
      <c r="U1305" s="1"/>
      <c r="V1305" s="1"/>
      <c r="W1305" s="1"/>
      <c r="X1305" s="1"/>
      <c r="Y1305" s="1"/>
      <c r="Z1305" s="1"/>
    </row>
    <row r="1306" ht="9.75" customHeight="1">
      <c r="A1306" s="1"/>
      <c r="B1306" s="1"/>
      <c r="C1306" s="1"/>
      <c r="D1306" s="1"/>
      <c r="E1306" s="97"/>
      <c r="F1306" s="97"/>
      <c r="G1306" s="97"/>
      <c r="H1306" s="97"/>
      <c r="I1306" s="1"/>
      <c r="J1306" s="98"/>
      <c r="K1306" s="6"/>
      <c r="L1306" s="5"/>
      <c r="M1306" s="1"/>
      <c r="N1306" s="1"/>
      <c r="O1306" s="1"/>
      <c r="P1306" s="1"/>
      <c r="Q1306" s="64"/>
      <c r="R1306" s="1"/>
      <c r="S1306" s="1"/>
      <c r="T1306" s="1"/>
      <c r="U1306" s="1"/>
      <c r="V1306" s="1"/>
      <c r="W1306" s="1"/>
      <c r="X1306" s="1"/>
      <c r="Y1306" s="1"/>
      <c r="Z1306" s="1"/>
    </row>
    <row r="1307" ht="9.75" customHeight="1">
      <c r="A1307" s="1"/>
      <c r="B1307" s="1"/>
      <c r="C1307" s="1"/>
      <c r="D1307" s="1"/>
      <c r="E1307" s="97"/>
      <c r="F1307" s="97"/>
      <c r="G1307" s="97"/>
      <c r="H1307" s="97"/>
      <c r="I1307" s="1"/>
      <c r="J1307" s="98"/>
      <c r="K1307" s="6"/>
      <c r="L1307" s="5"/>
      <c r="M1307" s="1"/>
      <c r="N1307" s="1"/>
      <c r="O1307" s="1"/>
      <c r="P1307" s="1"/>
      <c r="Q1307" s="64"/>
      <c r="R1307" s="1"/>
      <c r="S1307" s="1"/>
      <c r="T1307" s="1"/>
      <c r="U1307" s="1"/>
      <c r="V1307" s="1"/>
      <c r="W1307" s="1"/>
      <c r="X1307" s="1"/>
      <c r="Y1307" s="1"/>
      <c r="Z1307" s="1"/>
    </row>
    <row r="1308" ht="9.75" customHeight="1">
      <c r="A1308" s="1"/>
      <c r="B1308" s="1"/>
      <c r="C1308" s="1"/>
      <c r="D1308" s="1"/>
      <c r="E1308" s="97"/>
      <c r="F1308" s="97"/>
      <c r="G1308" s="97"/>
      <c r="H1308" s="97"/>
      <c r="I1308" s="1"/>
      <c r="J1308" s="98"/>
      <c r="K1308" s="6"/>
      <c r="L1308" s="5"/>
      <c r="M1308" s="1"/>
      <c r="N1308" s="1"/>
      <c r="O1308" s="1"/>
      <c r="P1308" s="1"/>
      <c r="Q1308" s="64"/>
      <c r="R1308" s="1"/>
      <c r="S1308" s="1"/>
      <c r="T1308" s="1"/>
      <c r="U1308" s="1"/>
      <c r="V1308" s="1"/>
      <c r="W1308" s="1"/>
      <c r="X1308" s="1"/>
      <c r="Y1308" s="1"/>
      <c r="Z1308" s="1"/>
    </row>
    <row r="1309" ht="9.75" customHeight="1">
      <c r="A1309" s="1"/>
      <c r="B1309" s="1"/>
      <c r="C1309" s="1"/>
      <c r="D1309" s="1"/>
      <c r="E1309" s="97"/>
      <c r="F1309" s="97"/>
      <c r="G1309" s="97"/>
      <c r="H1309" s="97"/>
      <c r="I1309" s="1"/>
      <c r="J1309" s="98"/>
      <c r="K1309" s="6"/>
      <c r="L1309" s="5"/>
      <c r="M1309" s="1"/>
      <c r="N1309" s="1"/>
      <c r="O1309" s="1"/>
      <c r="P1309" s="1"/>
      <c r="Q1309" s="64"/>
      <c r="R1309" s="1"/>
      <c r="S1309" s="1"/>
      <c r="T1309" s="1"/>
      <c r="U1309" s="1"/>
      <c r="V1309" s="1"/>
      <c r="W1309" s="1"/>
      <c r="X1309" s="1"/>
      <c r="Y1309" s="1"/>
      <c r="Z1309" s="1"/>
    </row>
    <row r="1310" ht="9.75" customHeight="1">
      <c r="A1310" s="1"/>
      <c r="B1310" s="1"/>
      <c r="C1310" s="1"/>
      <c r="D1310" s="1"/>
      <c r="E1310" s="97"/>
      <c r="F1310" s="97"/>
      <c r="G1310" s="97"/>
      <c r="H1310" s="97"/>
      <c r="I1310" s="1"/>
      <c r="J1310" s="98"/>
      <c r="K1310" s="6"/>
      <c r="L1310" s="5"/>
      <c r="M1310" s="1"/>
      <c r="N1310" s="1"/>
      <c r="O1310" s="1"/>
      <c r="P1310" s="1"/>
      <c r="Q1310" s="64"/>
      <c r="R1310" s="1"/>
      <c r="S1310" s="1"/>
      <c r="T1310" s="1"/>
      <c r="U1310" s="1"/>
      <c r="V1310" s="1"/>
      <c r="W1310" s="1"/>
      <c r="X1310" s="1"/>
      <c r="Y1310" s="1"/>
      <c r="Z1310" s="1"/>
    </row>
    <row r="1311" ht="9.75" customHeight="1">
      <c r="A1311" s="1"/>
      <c r="B1311" s="1"/>
      <c r="C1311" s="1"/>
      <c r="D1311" s="1"/>
      <c r="E1311" s="97"/>
      <c r="F1311" s="97"/>
      <c r="G1311" s="97"/>
      <c r="H1311" s="97"/>
      <c r="I1311" s="1"/>
      <c r="J1311" s="98"/>
      <c r="K1311" s="6"/>
      <c r="L1311" s="5"/>
      <c r="M1311" s="1"/>
      <c r="N1311" s="1"/>
      <c r="O1311" s="1"/>
      <c r="P1311" s="1"/>
      <c r="Q1311" s="64"/>
      <c r="R1311" s="1"/>
      <c r="S1311" s="1"/>
      <c r="T1311" s="1"/>
      <c r="U1311" s="1"/>
      <c r="V1311" s="1"/>
      <c r="W1311" s="1"/>
      <c r="X1311" s="1"/>
      <c r="Y1311" s="1"/>
      <c r="Z1311" s="1"/>
    </row>
    <row r="1312" ht="9.75" customHeight="1">
      <c r="A1312" s="1"/>
      <c r="B1312" s="1"/>
      <c r="C1312" s="1"/>
      <c r="D1312" s="1"/>
      <c r="E1312" s="97"/>
      <c r="F1312" s="97"/>
      <c r="G1312" s="97"/>
      <c r="H1312" s="97"/>
      <c r="I1312" s="1"/>
      <c r="J1312" s="98"/>
      <c r="K1312" s="6"/>
      <c r="L1312" s="5"/>
      <c r="M1312" s="1"/>
      <c r="N1312" s="1"/>
      <c r="O1312" s="1"/>
      <c r="P1312" s="1"/>
      <c r="Q1312" s="64"/>
      <c r="R1312" s="1"/>
      <c r="S1312" s="1"/>
      <c r="T1312" s="1"/>
      <c r="U1312" s="1"/>
      <c r="V1312" s="1"/>
      <c r="W1312" s="1"/>
      <c r="X1312" s="1"/>
      <c r="Y1312" s="1"/>
      <c r="Z1312" s="1"/>
    </row>
    <row r="1313" ht="9.75" customHeight="1">
      <c r="A1313" s="1"/>
      <c r="B1313" s="1"/>
      <c r="C1313" s="1"/>
      <c r="D1313" s="1"/>
      <c r="E1313" s="97"/>
      <c r="F1313" s="97"/>
      <c r="G1313" s="97"/>
      <c r="H1313" s="97"/>
      <c r="I1313" s="1"/>
      <c r="J1313" s="98"/>
      <c r="K1313" s="6"/>
      <c r="L1313" s="5"/>
      <c r="M1313" s="1"/>
      <c r="N1313" s="1"/>
      <c r="O1313" s="1"/>
      <c r="P1313" s="1"/>
      <c r="Q1313" s="64"/>
      <c r="R1313" s="1"/>
      <c r="S1313" s="1"/>
      <c r="T1313" s="1"/>
      <c r="U1313" s="1"/>
      <c r="V1313" s="1"/>
      <c r="W1313" s="1"/>
      <c r="X1313" s="1"/>
      <c r="Y1313" s="1"/>
      <c r="Z1313" s="1"/>
    </row>
    <row r="1314" ht="9.75" customHeight="1">
      <c r="A1314" s="1"/>
      <c r="B1314" s="1"/>
      <c r="C1314" s="1"/>
      <c r="D1314" s="1"/>
      <c r="E1314" s="97"/>
      <c r="F1314" s="97"/>
      <c r="G1314" s="97"/>
      <c r="H1314" s="97"/>
      <c r="I1314" s="1"/>
      <c r="J1314" s="98"/>
      <c r="K1314" s="6"/>
      <c r="L1314" s="5"/>
      <c r="M1314" s="1"/>
      <c r="N1314" s="1"/>
      <c r="O1314" s="1"/>
      <c r="P1314" s="1"/>
      <c r="Q1314" s="64"/>
      <c r="R1314" s="1"/>
      <c r="S1314" s="1"/>
      <c r="T1314" s="1"/>
      <c r="U1314" s="1"/>
      <c r="V1314" s="1"/>
      <c r="W1314" s="1"/>
      <c r="X1314" s="1"/>
      <c r="Y1314" s="1"/>
      <c r="Z1314" s="1"/>
    </row>
    <row r="1315" ht="9.75" customHeight="1">
      <c r="A1315" s="1"/>
      <c r="B1315" s="1"/>
      <c r="C1315" s="1"/>
      <c r="D1315" s="1"/>
      <c r="E1315" s="97"/>
      <c r="F1315" s="97"/>
      <c r="G1315" s="97"/>
      <c r="H1315" s="97"/>
      <c r="I1315" s="1"/>
      <c r="J1315" s="98"/>
      <c r="K1315" s="6"/>
      <c r="L1315" s="5"/>
      <c r="M1315" s="1"/>
      <c r="N1315" s="1"/>
      <c r="O1315" s="1"/>
      <c r="P1315" s="1"/>
      <c r="Q1315" s="64"/>
      <c r="R1315" s="1"/>
      <c r="S1315" s="1"/>
      <c r="T1315" s="1"/>
      <c r="U1315" s="1"/>
      <c r="V1315" s="1"/>
      <c r="W1315" s="1"/>
      <c r="X1315" s="1"/>
      <c r="Y1315" s="1"/>
      <c r="Z1315" s="1"/>
    </row>
    <row r="1316" ht="9.75" customHeight="1">
      <c r="A1316" s="1"/>
      <c r="B1316" s="1"/>
      <c r="C1316" s="1"/>
      <c r="D1316" s="1"/>
      <c r="E1316" s="97"/>
      <c r="F1316" s="97"/>
      <c r="G1316" s="97"/>
      <c r="H1316" s="97"/>
      <c r="I1316" s="1"/>
      <c r="J1316" s="98"/>
      <c r="K1316" s="6"/>
      <c r="L1316" s="5"/>
      <c r="M1316" s="1"/>
      <c r="N1316" s="1"/>
      <c r="O1316" s="1"/>
      <c r="P1316" s="1"/>
      <c r="Q1316" s="64"/>
      <c r="R1316" s="1"/>
      <c r="S1316" s="1"/>
      <c r="T1316" s="1"/>
      <c r="U1316" s="1"/>
      <c r="V1316" s="1"/>
      <c r="W1316" s="1"/>
      <c r="X1316" s="1"/>
      <c r="Y1316" s="1"/>
      <c r="Z1316" s="1"/>
    </row>
    <row r="1317" ht="9.75" customHeight="1">
      <c r="A1317" s="1"/>
      <c r="B1317" s="1"/>
      <c r="C1317" s="1"/>
      <c r="D1317" s="1"/>
      <c r="E1317" s="97"/>
      <c r="F1317" s="97"/>
      <c r="G1317" s="97"/>
      <c r="H1317" s="97"/>
      <c r="I1317" s="1"/>
      <c r="J1317" s="98"/>
      <c r="K1317" s="6"/>
      <c r="L1317" s="5"/>
      <c r="M1317" s="1"/>
      <c r="N1317" s="1"/>
      <c r="O1317" s="1"/>
      <c r="P1317" s="1"/>
      <c r="Q1317" s="64"/>
      <c r="R1317" s="1"/>
      <c r="S1317" s="1"/>
      <c r="T1317" s="1"/>
      <c r="U1317" s="1"/>
      <c r="V1317" s="1"/>
      <c r="W1317" s="1"/>
      <c r="X1317" s="1"/>
      <c r="Y1317" s="1"/>
      <c r="Z1317" s="1"/>
    </row>
    <row r="1318" ht="9.75" customHeight="1">
      <c r="A1318" s="1"/>
      <c r="B1318" s="1"/>
      <c r="C1318" s="1"/>
      <c r="D1318" s="1"/>
      <c r="E1318" s="97"/>
      <c r="F1318" s="97"/>
      <c r="G1318" s="97"/>
      <c r="H1318" s="97"/>
      <c r="I1318" s="1"/>
      <c r="J1318" s="98"/>
      <c r="K1318" s="6"/>
      <c r="L1318" s="5"/>
      <c r="M1318" s="1"/>
      <c r="N1318" s="1"/>
      <c r="O1318" s="1"/>
      <c r="P1318" s="1"/>
      <c r="Q1318" s="64"/>
      <c r="R1318" s="1"/>
      <c r="S1318" s="1"/>
      <c r="T1318" s="1"/>
      <c r="U1318" s="1"/>
      <c r="V1318" s="1"/>
      <c r="W1318" s="1"/>
      <c r="X1318" s="1"/>
      <c r="Y1318" s="1"/>
      <c r="Z1318" s="1"/>
    </row>
    <row r="1319" ht="9.75" customHeight="1">
      <c r="A1319" s="1"/>
      <c r="B1319" s="1"/>
      <c r="C1319" s="1"/>
      <c r="D1319" s="1"/>
      <c r="E1319" s="97"/>
      <c r="F1319" s="97"/>
      <c r="G1319" s="97"/>
      <c r="H1319" s="97"/>
      <c r="I1319" s="1"/>
      <c r="J1319" s="98"/>
      <c r="K1319" s="6"/>
      <c r="L1319" s="5"/>
      <c r="M1319" s="1"/>
      <c r="N1319" s="1"/>
      <c r="O1319" s="1"/>
      <c r="P1319" s="1"/>
      <c r="Q1319" s="64"/>
      <c r="R1319" s="1"/>
      <c r="S1319" s="1"/>
      <c r="T1319" s="1"/>
      <c r="U1319" s="1"/>
      <c r="V1319" s="1"/>
      <c r="W1319" s="1"/>
      <c r="X1319" s="1"/>
      <c r="Y1319" s="1"/>
      <c r="Z1319" s="1"/>
    </row>
    <row r="1320" ht="9.75" customHeight="1">
      <c r="A1320" s="1"/>
      <c r="B1320" s="1"/>
      <c r="C1320" s="1"/>
      <c r="D1320" s="1"/>
      <c r="E1320" s="97"/>
      <c r="F1320" s="97"/>
      <c r="G1320" s="97"/>
      <c r="H1320" s="97"/>
      <c r="I1320" s="1"/>
      <c r="J1320" s="98"/>
      <c r="K1320" s="6"/>
      <c r="L1320" s="5"/>
      <c r="M1320" s="1"/>
      <c r="N1320" s="1"/>
      <c r="O1320" s="1"/>
      <c r="P1320" s="1"/>
      <c r="Q1320" s="64"/>
      <c r="R1320" s="1"/>
      <c r="S1320" s="1"/>
      <c r="T1320" s="1"/>
      <c r="U1320" s="1"/>
      <c r="V1320" s="1"/>
      <c r="W1320" s="1"/>
      <c r="X1320" s="1"/>
      <c r="Y1320" s="1"/>
      <c r="Z1320" s="1"/>
    </row>
    <row r="1321" ht="9.75" customHeight="1">
      <c r="A1321" s="1"/>
      <c r="B1321" s="1"/>
      <c r="C1321" s="1"/>
      <c r="D1321" s="1"/>
      <c r="E1321" s="97"/>
      <c r="F1321" s="97"/>
      <c r="G1321" s="97"/>
      <c r="H1321" s="97"/>
      <c r="I1321" s="1"/>
      <c r="J1321" s="98"/>
      <c r="K1321" s="6"/>
      <c r="L1321" s="5"/>
      <c r="M1321" s="1"/>
      <c r="N1321" s="1"/>
      <c r="O1321" s="1"/>
      <c r="P1321" s="1"/>
      <c r="Q1321" s="64"/>
      <c r="R1321" s="1"/>
      <c r="S1321" s="1"/>
      <c r="T1321" s="1"/>
      <c r="U1321" s="1"/>
      <c r="V1321" s="1"/>
      <c r="W1321" s="1"/>
      <c r="X1321" s="1"/>
      <c r="Y1321" s="1"/>
      <c r="Z1321" s="1"/>
    </row>
    <row r="1322" ht="9.75" customHeight="1">
      <c r="A1322" s="1"/>
      <c r="B1322" s="1"/>
      <c r="C1322" s="1"/>
      <c r="D1322" s="1"/>
      <c r="E1322" s="97"/>
      <c r="F1322" s="97"/>
      <c r="G1322" s="97"/>
      <c r="H1322" s="97"/>
      <c r="I1322" s="1"/>
      <c r="J1322" s="1"/>
      <c r="K1322" s="6"/>
      <c r="L1322" s="5"/>
      <c r="M1322" s="1"/>
      <c r="N1322" s="1"/>
      <c r="O1322" s="1"/>
      <c r="P1322" s="1"/>
      <c r="Q1322" s="64"/>
      <c r="R1322" s="1"/>
      <c r="S1322" s="1"/>
      <c r="T1322" s="1"/>
      <c r="U1322" s="1"/>
      <c r="V1322" s="1"/>
      <c r="W1322" s="1"/>
      <c r="X1322" s="1"/>
      <c r="Y1322" s="1"/>
      <c r="Z1322" s="1"/>
    </row>
    <row r="1323" ht="9.75" customHeight="1">
      <c r="A1323" s="1"/>
      <c r="B1323" s="1"/>
      <c r="C1323" s="1"/>
      <c r="D1323" s="1"/>
      <c r="E1323" s="97"/>
      <c r="F1323" s="97"/>
      <c r="G1323" s="97"/>
      <c r="H1323" s="97"/>
      <c r="I1323" s="1"/>
      <c r="J1323" s="1"/>
      <c r="K1323" s="6"/>
      <c r="L1323" s="5"/>
      <c r="M1323" s="1"/>
      <c r="N1323" s="1"/>
      <c r="O1323" s="1"/>
      <c r="P1323" s="1"/>
      <c r="Q1323" s="64"/>
      <c r="R1323" s="1"/>
      <c r="S1323" s="1"/>
      <c r="T1323" s="1"/>
      <c r="U1323" s="1"/>
      <c r="V1323" s="1"/>
      <c r="W1323" s="1"/>
      <c r="X1323" s="1"/>
      <c r="Y1323" s="1"/>
      <c r="Z1323" s="1"/>
    </row>
    <row r="1324" ht="9.75" customHeight="1">
      <c r="A1324" s="1"/>
      <c r="B1324" s="1"/>
      <c r="C1324" s="1"/>
      <c r="D1324" s="1"/>
      <c r="E1324" s="97"/>
      <c r="F1324" s="97"/>
      <c r="G1324" s="97"/>
      <c r="H1324" s="97"/>
      <c r="I1324" s="1"/>
      <c r="J1324" s="1"/>
      <c r="K1324" s="6"/>
      <c r="L1324" s="5"/>
      <c r="M1324" s="1"/>
      <c r="N1324" s="1"/>
      <c r="O1324" s="1"/>
      <c r="P1324" s="1"/>
      <c r="Q1324" s="64"/>
      <c r="R1324" s="1"/>
      <c r="S1324" s="1"/>
      <c r="T1324" s="1"/>
      <c r="U1324" s="1"/>
      <c r="V1324" s="1"/>
      <c r="W1324" s="1"/>
      <c r="X1324" s="1"/>
      <c r="Y1324" s="1"/>
      <c r="Z1324" s="1"/>
    </row>
    <row r="1325" ht="9.75" customHeight="1">
      <c r="A1325" s="1"/>
      <c r="B1325" s="1"/>
      <c r="C1325" s="1"/>
      <c r="D1325" s="1"/>
      <c r="E1325" s="97"/>
      <c r="F1325" s="97"/>
      <c r="G1325" s="97"/>
      <c r="H1325" s="97"/>
      <c r="I1325" s="1"/>
      <c r="J1325" s="1"/>
      <c r="K1325" s="6"/>
      <c r="L1325" s="5"/>
      <c r="M1325" s="1"/>
      <c r="N1325" s="1"/>
      <c r="O1325" s="1"/>
      <c r="P1325" s="1"/>
      <c r="Q1325" s="64"/>
      <c r="R1325" s="1"/>
      <c r="S1325" s="1"/>
      <c r="T1325" s="1"/>
      <c r="U1325" s="1"/>
      <c r="V1325" s="1"/>
      <c r="W1325" s="1"/>
      <c r="X1325" s="1"/>
      <c r="Y1325" s="1"/>
      <c r="Z1325" s="1"/>
    </row>
    <row r="1326" ht="9.75" customHeight="1">
      <c r="A1326" s="1"/>
      <c r="B1326" s="1"/>
      <c r="C1326" s="1"/>
      <c r="D1326" s="1"/>
      <c r="E1326" s="97"/>
      <c r="F1326" s="97"/>
      <c r="G1326" s="97"/>
      <c r="H1326" s="97"/>
      <c r="I1326" s="1"/>
      <c r="J1326" s="1"/>
      <c r="K1326" s="6"/>
      <c r="L1326" s="5"/>
      <c r="M1326" s="1"/>
      <c r="N1326" s="1"/>
      <c r="O1326" s="1"/>
      <c r="P1326" s="1"/>
      <c r="Q1326" s="64"/>
      <c r="R1326" s="1"/>
      <c r="S1326" s="1"/>
      <c r="T1326" s="1"/>
      <c r="U1326" s="1"/>
      <c r="V1326" s="1"/>
      <c r="W1326" s="1"/>
      <c r="X1326" s="1"/>
      <c r="Y1326" s="1"/>
      <c r="Z1326" s="1"/>
    </row>
    <row r="1327" ht="9.75" customHeight="1">
      <c r="A1327" s="1"/>
      <c r="B1327" s="1"/>
      <c r="C1327" s="1"/>
      <c r="D1327" s="1"/>
      <c r="E1327" s="97"/>
      <c r="F1327" s="97"/>
      <c r="G1327" s="97"/>
      <c r="H1327" s="97"/>
      <c r="I1327" s="1"/>
      <c r="J1327" s="1"/>
      <c r="K1327" s="6"/>
      <c r="L1327" s="5"/>
      <c r="M1327" s="1"/>
      <c r="N1327" s="1"/>
      <c r="O1327" s="1"/>
      <c r="P1327" s="1"/>
      <c r="Q1327" s="64"/>
      <c r="R1327" s="1"/>
      <c r="S1327" s="1"/>
      <c r="T1327" s="1"/>
      <c r="U1327" s="1"/>
      <c r="V1327" s="1"/>
      <c r="W1327" s="1"/>
      <c r="X1327" s="1"/>
      <c r="Y1327" s="1"/>
      <c r="Z1327" s="1"/>
    </row>
  </sheetData>
  <mergeCells count="1203">
    <mergeCell ref="A537:B537"/>
    <mergeCell ref="A538:B538"/>
    <mergeCell ref="A507:B507"/>
    <mergeCell ref="A512:B512"/>
    <mergeCell ref="A516:B516"/>
    <mergeCell ref="A517:B517"/>
    <mergeCell ref="A521:B521"/>
    <mergeCell ref="A522:B522"/>
    <mergeCell ref="A531:B531"/>
    <mergeCell ref="D484:F484"/>
    <mergeCell ref="D485:F485"/>
    <mergeCell ref="E486:F486"/>
    <mergeCell ref="E487:F487"/>
    <mergeCell ref="D488:F488"/>
    <mergeCell ref="D489:F489"/>
    <mergeCell ref="E490:F490"/>
    <mergeCell ref="D491:F491"/>
    <mergeCell ref="D492:F492"/>
    <mergeCell ref="E493:F493"/>
    <mergeCell ref="D494:F494"/>
    <mergeCell ref="D495:F495"/>
    <mergeCell ref="E496:F496"/>
    <mergeCell ref="D497:F497"/>
    <mergeCell ref="D498:F498"/>
    <mergeCell ref="D499:F499"/>
    <mergeCell ref="E500:F500"/>
    <mergeCell ref="E501:F501"/>
    <mergeCell ref="E502:F502"/>
    <mergeCell ref="D503:F503"/>
    <mergeCell ref="D504:F504"/>
    <mergeCell ref="A488:C488"/>
    <mergeCell ref="A491:C491"/>
    <mergeCell ref="A494:C494"/>
    <mergeCell ref="A497:C497"/>
    <mergeCell ref="A498:C498"/>
    <mergeCell ref="A503:B503"/>
    <mergeCell ref="A506:B506"/>
    <mergeCell ref="E505:F505"/>
    <mergeCell ref="D506:F506"/>
    <mergeCell ref="D507:F507"/>
    <mergeCell ref="D508:F508"/>
    <mergeCell ref="E509:F509"/>
    <mergeCell ref="E510:F510"/>
    <mergeCell ref="E511:F511"/>
    <mergeCell ref="E526:F526"/>
    <mergeCell ref="E527:F527"/>
    <mergeCell ref="E528:F528"/>
    <mergeCell ref="E529:F529"/>
    <mergeCell ref="E530:F530"/>
    <mergeCell ref="D531:F531"/>
    <mergeCell ref="D532:F532"/>
    <mergeCell ref="E533:F533"/>
    <mergeCell ref="E534:F534"/>
    <mergeCell ref="E535:F535"/>
    <mergeCell ref="E536:F536"/>
    <mergeCell ref="D537:F537"/>
    <mergeCell ref="D538:F538"/>
    <mergeCell ref="D539:F539"/>
    <mergeCell ref="D726:F726"/>
    <mergeCell ref="E727:F727"/>
    <mergeCell ref="D719:F719"/>
    <mergeCell ref="E720:F720"/>
    <mergeCell ref="E721:F721"/>
    <mergeCell ref="E722:F722"/>
    <mergeCell ref="E723:F723"/>
    <mergeCell ref="E724:F724"/>
    <mergeCell ref="D725:F725"/>
    <mergeCell ref="D681:F681"/>
    <mergeCell ref="D682:F682"/>
    <mergeCell ref="D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94:F694"/>
    <mergeCell ref="A695:B695"/>
    <mergeCell ref="D695:F695"/>
    <mergeCell ref="A696:B696"/>
    <mergeCell ref="D696:F696"/>
    <mergeCell ref="D697:F697"/>
    <mergeCell ref="E698:F698"/>
    <mergeCell ref="E699:F699"/>
    <mergeCell ref="E700:F700"/>
    <mergeCell ref="E701:F701"/>
    <mergeCell ref="E702:F702"/>
    <mergeCell ref="A703:B703"/>
    <mergeCell ref="D703:F703"/>
    <mergeCell ref="A704:B704"/>
    <mergeCell ref="D704:F704"/>
    <mergeCell ref="A711:B711"/>
    <mergeCell ref="A712:B712"/>
    <mergeCell ref="A717:B717"/>
    <mergeCell ref="A718:C718"/>
    <mergeCell ref="A725:C725"/>
    <mergeCell ref="A728:C728"/>
    <mergeCell ref="A729:C729"/>
    <mergeCell ref="A730:C730"/>
    <mergeCell ref="D705:F705"/>
    <mergeCell ref="E706:F706"/>
    <mergeCell ref="E707:F707"/>
    <mergeCell ref="E708:F708"/>
    <mergeCell ref="E709:F709"/>
    <mergeCell ref="E710:F710"/>
    <mergeCell ref="D711:F711"/>
    <mergeCell ref="D712:F712"/>
    <mergeCell ref="D713:F713"/>
    <mergeCell ref="E714:F714"/>
    <mergeCell ref="E715:F715"/>
    <mergeCell ref="E716:F716"/>
    <mergeCell ref="D717:F717"/>
    <mergeCell ref="D718:F718"/>
    <mergeCell ref="E793:F793"/>
    <mergeCell ref="D794:F794"/>
    <mergeCell ref="D795:F795"/>
    <mergeCell ref="D796:F796"/>
    <mergeCell ref="E797:F797"/>
    <mergeCell ref="E798:F798"/>
    <mergeCell ref="E799:F799"/>
    <mergeCell ref="D800:F800"/>
    <mergeCell ref="D801:F801"/>
    <mergeCell ref="E802:F802"/>
    <mergeCell ref="E803:F803"/>
    <mergeCell ref="D804:F804"/>
    <mergeCell ref="D805:F805"/>
    <mergeCell ref="D806:F806"/>
    <mergeCell ref="E807:F807"/>
    <mergeCell ref="E808:F808"/>
    <mergeCell ref="D809:F809"/>
    <mergeCell ref="D810:F810"/>
    <mergeCell ref="D811:F811"/>
    <mergeCell ref="E812:F812"/>
    <mergeCell ref="E813:F813"/>
    <mergeCell ref="E814:F814"/>
    <mergeCell ref="E815:F815"/>
    <mergeCell ref="E816:F816"/>
    <mergeCell ref="E817:F817"/>
    <mergeCell ref="E818:F818"/>
    <mergeCell ref="D819:F819"/>
    <mergeCell ref="D820:F820"/>
    <mergeCell ref="A768:B768"/>
    <mergeCell ref="D768:F768"/>
    <mergeCell ref="A769:B769"/>
    <mergeCell ref="D769:F769"/>
    <mergeCell ref="D770:F770"/>
    <mergeCell ref="E771:F771"/>
    <mergeCell ref="A772:B772"/>
    <mergeCell ref="D772:F772"/>
    <mergeCell ref="D773:F773"/>
    <mergeCell ref="E774:F774"/>
    <mergeCell ref="E775:F775"/>
    <mergeCell ref="D776:F776"/>
    <mergeCell ref="D777:F777"/>
    <mergeCell ref="E778:F778"/>
    <mergeCell ref="D779:F779"/>
    <mergeCell ref="D780:F780"/>
    <mergeCell ref="E781:F781"/>
    <mergeCell ref="D782:F782"/>
    <mergeCell ref="D783:F783"/>
    <mergeCell ref="E784:F784"/>
    <mergeCell ref="D785:F785"/>
    <mergeCell ref="D786:F786"/>
    <mergeCell ref="D787:F787"/>
    <mergeCell ref="E788:F788"/>
    <mergeCell ref="E789:F789"/>
    <mergeCell ref="E790:F790"/>
    <mergeCell ref="D791:F791"/>
    <mergeCell ref="D792:F792"/>
    <mergeCell ref="A776:C776"/>
    <mergeCell ref="A779:C779"/>
    <mergeCell ref="A782:C782"/>
    <mergeCell ref="A785:C785"/>
    <mergeCell ref="A786:C786"/>
    <mergeCell ref="A791:B791"/>
    <mergeCell ref="A794:B794"/>
    <mergeCell ref="A825:B825"/>
    <mergeCell ref="A826:B826"/>
    <mergeCell ref="A795:B795"/>
    <mergeCell ref="A800:B800"/>
    <mergeCell ref="A804:B804"/>
    <mergeCell ref="A805:B805"/>
    <mergeCell ref="A809:B809"/>
    <mergeCell ref="A810:B810"/>
    <mergeCell ref="A819:B819"/>
    <mergeCell ref="D857:F857"/>
    <mergeCell ref="E858:F858"/>
    <mergeCell ref="E859:F859"/>
    <mergeCell ref="E860:F860"/>
    <mergeCell ref="A861:B861"/>
    <mergeCell ref="D861:F861"/>
    <mergeCell ref="A862:C862"/>
    <mergeCell ref="D862:F862"/>
    <mergeCell ref="D863:F863"/>
    <mergeCell ref="E864:F864"/>
    <mergeCell ref="E865:F865"/>
    <mergeCell ref="E866:F866"/>
    <mergeCell ref="E867:F867"/>
    <mergeCell ref="E868:F868"/>
    <mergeCell ref="E821:F821"/>
    <mergeCell ref="E822:F822"/>
    <mergeCell ref="E823:F823"/>
    <mergeCell ref="E824:F824"/>
    <mergeCell ref="D825:F825"/>
    <mergeCell ref="D826:F826"/>
    <mergeCell ref="D827:F827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A839:B839"/>
    <mergeCell ref="D839:F839"/>
    <mergeCell ref="A840:B840"/>
    <mergeCell ref="D840:F840"/>
    <mergeCell ref="D841:F841"/>
    <mergeCell ref="E842:F842"/>
    <mergeCell ref="E843:F843"/>
    <mergeCell ref="E844:F844"/>
    <mergeCell ref="E845:F845"/>
    <mergeCell ref="E846:F846"/>
    <mergeCell ref="A847:B847"/>
    <mergeCell ref="D847:F847"/>
    <mergeCell ref="A848:B848"/>
    <mergeCell ref="D848:F848"/>
    <mergeCell ref="D849:F849"/>
    <mergeCell ref="E850:F850"/>
    <mergeCell ref="E851:F851"/>
    <mergeCell ref="E852:F852"/>
    <mergeCell ref="E853:F853"/>
    <mergeCell ref="E854:F854"/>
    <mergeCell ref="A855:B855"/>
    <mergeCell ref="D855:F855"/>
    <mergeCell ref="A856:B856"/>
    <mergeCell ref="D856:F856"/>
    <mergeCell ref="A869:C869"/>
    <mergeCell ref="D869:F869"/>
    <mergeCell ref="D870:F870"/>
    <mergeCell ref="E871:F871"/>
    <mergeCell ref="B872:D872"/>
    <mergeCell ref="E872:F872"/>
    <mergeCell ref="E873:F873"/>
    <mergeCell ref="C1037:D1037"/>
    <mergeCell ref="C1040:D1040"/>
    <mergeCell ref="C1043:D1043"/>
    <mergeCell ref="C1044:D1044"/>
    <mergeCell ref="C1050:D1050"/>
    <mergeCell ref="C1053:D1053"/>
    <mergeCell ref="C1056:D1056"/>
    <mergeCell ref="C1057:D1057"/>
    <mergeCell ref="C1060:D1060"/>
    <mergeCell ref="C1064:D1064"/>
    <mergeCell ref="C1067:D1067"/>
    <mergeCell ref="C1070:D1070"/>
    <mergeCell ref="C1073:D1073"/>
    <mergeCell ref="C1074:D1074"/>
    <mergeCell ref="C1079:D1079"/>
    <mergeCell ref="C1082:D1082"/>
    <mergeCell ref="C1083:D1083"/>
    <mergeCell ref="C1088:D1088"/>
    <mergeCell ref="C1092:D1092"/>
    <mergeCell ref="C1093:D1093"/>
    <mergeCell ref="C1097:D1097"/>
    <mergeCell ref="C1136:D1136"/>
    <mergeCell ref="C1143:D1143"/>
    <mergeCell ref="C1144:D1144"/>
    <mergeCell ref="C1149:D1149"/>
    <mergeCell ref="C1150:D1150"/>
    <mergeCell ref="C1157:D1157"/>
    <mergeCell ref="C1098:D1098"/>
    <mergeCell ref="C1107:D1107"/>
    <mergeCell ref="C1113:D1113"/>
    <mergeCell ref="C1114:D1114"/>
    <mergeCell ref="C1127:D1127"/>
    <mergeCell ref="C1128:D1128"/>
    <mergeCell ref="C1135:D1135"/>
    <mergeCell ref="C873:D873"/>
    <mergeCell ref="C874:D874"/>
    <mergeCell ref="E874:F874"/>
    <mergeCell ref="E875:F875"/>
    <mergeCell ref="C883:D883"/>
    <mergeCell ref="E883:F883"/>
    <mergeCell ref="E884:F884"/>
    <mergeCell ref="C887:D887"/>
    <mergeCell ref="C888:D888"/>
    <mergeCell ref="C893:D893"/>
    <mergeCell ref="C896:D896"/>
    <mergeCell ref="C899:D899"/>
    <mergeCell ref="C900:D900"/>
    <mergeCell ref="C906:D906"/>
    <mergeCell ref="C909:D909"/>
    <mergeCell ref="C912:D912"/>
    <mergeCell ref="C913:D913"/>
    <mergeCell ref="C916:D916"/>
    <mergeCell ref="C920:D920"/>
    <mergeCell ref="C923:D923"/>
    <mergeCell ref="C926:D926"/>
    <mergeCell ref="C929:D929"/>
    <mergeCell ref="C930:D930"/>
    <mergeCell ref="C935:D935"/>
    <mergeCell ref="C938:D938"/>
    <mergeCell ref="C939:D939"/>
    <mergeCell ref="C944:D944"/>
    <mergeCell ref="C948:D948"/>
    <mergeCell ref="C949:D949"/>
    <mergeCell ref="C953:D953"/>
    <mergeCell ref="C954:D954"/>
    <mergeCell ref="C963:D963"/>
    <mergeCell ref="C969:D969"/>
    <mergeCell ref="C970:D970"/>
    <mergeCell ref="C983:D983"/>
    <mergeCell ref="C984:D984"/>
    <mergeCell ref="C991:D991"/>
    <mergeCell ref="C992:D992"/>
    <mergeCell ref="C999:D999"/>
    <mergeCell ref="C1000:D1000"/>
    <mergeCell ref="C1005:D1005"/>
    <mergeCell ref="C1006:D1006"/>
    <mergeCell ref="C1013:D1013"/>
    <mergeCell ref="C1016:D1016"/>
    <mergeCell ref="C1017:D1017"/>
    <mergeCell ref="C1018:D1018"/>
    <mergeCell ref="C1027:D1027"/>
    <mergeCell ref="C1031:D1031"/>
    <mergeCell ref="C1032:D1032"/>
    <mergeCell ref="D423:F423"/>
    <mergeCell ref="D424:F424"/>
    <mergeCell ref="D425:F425"/>
    <mergeCell ref="E426:F426"/>
    <mergeCell ref="E427:F427"/>
    <mergeCell ref="E428:F428"/>
    <mergeCell ref="D416:F416"/>
    <mergeCell ref="D417:F417"/>
    <mergeCell ref="E418:F418"/>
    <mergeCell ref="E419:F419"/>
    <mergeCell ref="E420:F420"/>
    <mergeCell ref="E421:F421"/>
    <mergeCell ref="E422:F422"/>
    <mergeCell ref="E436:F436"/>
    <mergeCell ref="D437:F437"/>
    <mergeCell ref="D438:F438"/>
    <mergeCell ref="E439:F439"/>
    <mergeCell ref="D429:F429"/>
    <mergeCell ref="D430:F430"/>
    <mergeCell ref="D431:F431"/>
    <mergeCell ref="E432:F432"/>
    <mergeCell ref="E433:F433"/>
    <mergeCell ref="E434:F434"/>
    <mergeCell ref="E435:F435"/>
    <mergeCell ref="E404:F404"/>
    <mergeCell ref="E405:F405"/>
    <mergeCell ref="E406:F406"/>
    <mergeCell ref="A407:B407"/>
    <mergeCell ref="D407:F407"/>
    <mergeCell ref="A408:B408"/>
    <mergeCell ref="D408:F408"/>
    <mergeCell ref="D409:F409"/>
    <mergeCell ref="E410:F410"/>
    <mergeCell ref="E411:F411"/>
    <mergeCell ref="E412:F412"/>
    <mergeCell ref="E413:F413"/>
    <mergeCell ref="E414:F414"/>
    <mergeCell ref="D415:F415"/>
    <mergeCell ref="D379:F379"/>
    <mergeCell ref="E380:F380"/>
    <mergeCell ref="E381:F381"/>
    <mergeCell ref="E382:F382"/>
    <mergeCell ref="E383:F383"/>
    <mergeCell ref="E384:F384"/>
    <mergeCell ref="E385:F385"/>
    <mergeCell ref="E386:F386"/>
    <mergeCell ref="A387:B387"/>
    <mergeCell ref="D387:F387"/>
    <mergeCell ref="D388:F388"/>
    <mergeCell ref="E389:F389"/>
    <mergeCell ref="E390:F390"/>
    <mergeCell ref="E391:F391"/>
    <mergeCell ref="E392:F392"/>
    <mergeCell ref="A393:B393"/>
    <mergeCell ref="D393:F393"/>
    <mergeCell ref="A394:B394"/>
    <mergeCell ref="D394:F394"/>
    <mergeCell ref="D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A440:C440"/>
    <mergeCell ref="A441:C441"/>
    <mergeCell ref="A442:C442"/>
    <mergeCell ref="A415:B415"/>
    <mergeCell ref="A416:B416"/>
    <mergeCell ref="A423:B423"/>
    <mergeCell ref="A424:B424"/>
    <mergeCell ref="A429:B429"/>
    <mergeCell ref="A430:C430"/>
    <mergeCell ref="A437:C437"/>
    <mergeCell ref="D440:F440"/>
    <mergeCell ref="D441:F441"/>
    <mergeCell ref="D442:F442"/>
    <mergeCell ref="D443:F443"/>
    <mergeCell ref="E444:F444"/>
    <mergeCell ref="E445:F445"/>
    <mergeCell ref="E446:F446"/>
    <mergeCell ref="E447:F447"/>
    <mergeCell ref="E448:F448"/>
    <mergeCell ref="E449:F449"/>
    <mergeCell ref="E450:F450"/>
    <mergeCell ref="A451:B451"/>
    <mergeCell ref="D451:F451"/>
    <mergeCell ref="D452:F452"/>
    <mergeCell ref="E453:F453"/>
    <mergeCell ref="E454:F454"/>
    <mergeCell ref="A455:B455"/>
    <mergeCell ref="D455:F455"/>
    <mergeCell ref="A456:B456"/>
    <mergeCell ref="D456:F456"/>
    <mergeCell ref="D457:F457"/>
    <mergeCell ref="E458:F458"/>
    <mergeCell ref="E459:F459"/>
    <mergeCell ref="E460:F460"/>
    <mergeCell ref="A461:C461"/>
    <mergeCell ref="D461:F461"/>
    <mergeCell ref="D462:F462"/>
    <mergeCell ref="E463:F463"/>
    <mergeCell ref="A464:C464"/>
    <mergeCell ref="D464:F464"/>
    <mergeCell ref="D465:F465"/>
    <mergeCell ref="E466:F466"/>
    <mergeCell ref="A467:C467"/>
    <mergeCell ref="D467:F467"/>
    <mergeCell ref="A468:C468"/>
    <mergeCell ref="D468:F468"/>
    <mergeCell ref="D469:F469"/>
    <mergeCell ref="E470:F470"/>
    <mergeCell ref="E471:F471"/>
    <mergeCell ref="E472:F472"/>
    <mergeCell ref="E473:F473"/>
    <mergeCell ref="A474:B474"/>
    <mergeCell ref="D474:F474"/>
    <mergeCell ref="D475:F475"/>
    <mergeCell ref="E476:F476"/>
    <mergeCell ref="A477:B477"/>
    <mergeCell ref="D477:F477"/>
    <mergeCell ref="D478:F478"/>
    <mergeCell ref="E479:F479"/>
    <mergeCell ref="A480:B480"/>
    <mergeCell ref="D480:F480"/>
    <mergeCell ref="A481:B481"/>
    <mergeCell ref="D481:F481"/>
    <mergeCell ref="D482:F482"/>
    <mergeCell ref="E483:F483"/>
    <mergeCell ref="A484:B484"/>
    <mergeCell ref="D512:F512"/>
    <mergeCell ref="D513:F513"/>
    <mergeCell ref="E514:F514"/>
    <mergeCell ref="E515:F515"/>
    <mergeCell ref="D516:F516"/>
    <mergeCell ref="D517:F517"/>
    <mergeCell ref="D518:F518"/>
    <mergeCell ref="E519:F519"/>
    <mergeCell ref="E520:F520"/>
    <mergeCell ref="D521:F521"/>
    <mergeCell ref="D522:F522"/>
    <mergeCell ref="D523:F523"/>
    <mergeCell ref="E524:F524"/>
    <mergeCell ref="E525:F525"/>
    <mergeCell ref="D728:F728"/>
    <mergeCell ref="D729:F729"/>
    <mergeCell ref="D730:F730"/>
    <mergeCell ref="D731:F731"/>
    <mergeCell ref="E732:F732"/>
    <mergeCell ref="E733:F733"/>
    <mergeCell ref="E734:F734"/>
    <mergeCell ref="E735:F735"/>
    <mergeCell ref="E736:F736"/>
    <mergeCell ref="E737:F737"/>
    <mergeCell ref="E738:F738"/>
    <mergeCell ref="A739:B739"/>
    <mergeCell ref="D739:F739"/>
    <mergeCell ref="D740:F740"/>
    <mergeCell ref="E741:F741"/>
    <mergeCell ref="E742:F742"/>
    <mergeCell ref="A743:B743"/>
    <mergeCell ref="D743:F743"/>
    <mergeCell ref="A744:B744"/>
    <mergeCell ref="D744:F744"/>
    <mergeCell ref="D745:F745"/>
    <mergeCell ref="E746:F746"/>
    <mergeCell ref="E747:F747"/>
    <mergeCell ref="E748:F748"/>
    <mergeCell ref="A749:C749"/>
    <mergeCell ref="D749:F749"/>
    <mergeCell ref="D750:F750"/>
    <mergeCell ref="E751:F751"/>
    <mergeCell ref="A752:C752"/>
    <mergeCell ref="D752:F752"/>
    <mergeCell ref="D753:F753"/>
    <mergeCell ref="E754:F754"/>
    <mergeCell ref="A755:C755"/>
    <mergeCell ref="D755:F755"/>
    <mergeCell ref="A756:C756"/>
    <mergeCell ref="D756:F756"/>
    <mergeCell ref="D757:F757"/>
    <mergeCell ref="E758:F758"/>
    <mergeCell ref="E759:F759"/>
    <mergeCell ref="E760:F760"/>
    <mergeCell ref="E761:F761"/>
    <mergeCell ref="A762:B762"/>
    <mergeCell ref="D762:F762"/>
    <mergeCell ref="D763:F763"/>
    <mergeCell ref="E764:F764"/>
    <mergeCell ref="A765:B765"/>
    <mergeCell ref="D765:F765"/>
    <mergeCell ref="D766:F766"/>
    <mergeCell ref="E767:F767"/>
    <mergeCell ref="D24:F24"/>
    <mergeCell ref="D25:F25"/>
    <mergeCell ref="E26:F26"/>
    <mergeCell ref="E27:F27"/>
    <mergeCell ref="E28:F28"/>
    <mergeCell ref="A29:C29"/>
    <mergeCell ref="D29:F29"/>
    <mergeCell ref="D30:F30"/>
    <mergeCell ref="E31:F31"/>
    <mergeCell ref="A32:B32"/>
    <mergeCell ref="D32:F32"/>
    <mergeCell ref="D33:F33"/>
    <mergeCell ref="E34:F34"/>
    <mergeCell ref="D35:F35"/>
    <mergeCell ref="G1:G2"/>
    <mergeCell ref="H1:H2"/>
    <mergeCell ref="I1:I2"/>
    <mergeCell ref="J1:J2"/>
    <mergeCell ref="K1:M1"/>
    <mergeCell ref="O1:P1"/>
    <mergeCell ref="D3:F3"/>
    <mergeCell ref="A3:C3"/>
    <mergeCell ref="A4:C4"/>
    <mergeCell ref="D4:F4"/>
    <mergeCell ref="A5:C5"/>
    <mergeCell ref="D5:F5"/>
    <mergeCell ref="D6:F6"/>
    <mergeCell ref="A7:C7"/>
    <mergeCell ref="A8:C8"/>
    <mergeCell ref="A9:C9"/>
    <mergeCell ref="D9:F9"/>
    <mergeCell ref="A10:C10"/>
    <mergeCell ref="D10:F10"/>
    <mergeCell ref="D11:F11"/>
    <mergeCell ref="E12:F12"/>
    <mergeCell ref="E13:F13"/>
    <mergeCell ref="E14:F14"/>
    <mergeCell ref="E15:F15"/>
    <mergeCell ref="E16:F16"/>
    <mergeCell ref="E17:F17"/>
    <mergeCell ref="E18:F18"/>
    <mergeCell ref="A19:C19"/>
    <mergeCell ref="D19:F19"/>
    <mergeCell ref="D20:F20"/>
    <mergeCell ref="E21:F21"/>
    <mergeCell ref="E22:F22"/>
    <mergeCell ref="A23:C23"/>
    <mergeCell ref="D23:F23"/>
    <mergeCell ref="A24:B24"/>
    <mergeCell ref="A35:B35"/>
    <mergeCell ref="A36:B36"/>
    <mergeCell ref="A42:C42"/>
    <mergeCell ref="A45:C45"/>
    <mergeCell ref="A48:C48"/>
    <mergeCell ref="A49:C49"/>
    <mergeCell ref="D36:F36"/>
    <mergeCell ref="D37:F37"/>
    <mergeCell ref="E38:F38"/>
    <mergeCell ref="E39:F39"/>
    <mergeCell ref="E40:F40"/>
    <mergeCell ref="E41:F41"/>
    <mergeCell ref="D42:F42"/>
    <mergeCell ref="E82:F82"/>
    <mergeCell ref="E83:F83"/>
    <mergeCell ref="D75:F75"/>
    <mergeCell ref="D76:F76"/>
    <mergeCell ref="E77:F77"/>
    <mergeCell ref="E78:F78"/>
    <mergeCell ref="E79:F79"/>
    <mergeCell ref="D80:F80"/>
    <mergeCell ref="D81:F81"/>
    <mergeCell ref="A74:C74"/>
    <mergeCell ref="A75:C75"/>
    <mergeCell ref="A80:C80"/>
    <mergeCell ref="A84:C84"/>
    <mergeCell ref="D84:F84"/>
    <mergeCell ref="A85:C85"/>
    <mergeCell ref="D85:F85"/>
    <mergeCell ref="D86:F86"/>
    <mergeCell ref="E87:F87"/>
    <mergeCell ref="E88:F88"/>
    <mergeCell ref="A89:C89"/>
    <mergeCell ref="D89:F89"/>
    <mergeCell ref="A90:C90"/>
    <mergeCell ref="D90:F90"/>
    <mergeCell ref="D43:F43"/>
    <mergeCell ref="E44:F44"/>
    <mergeCell ref="D45:F45"/>
    <mergeCell ref="D46:F46"/>
    <mergeCell ref="E47:F47"/>
    <mergeCell ref="D48:F48"/>
    <mergeCell ref="D49:F49"/>
    <mergeCell ref="D50:F50"/>
    <mergeCell ref="E51:F51"/>
    <mergeCell ref="A52:C52"/>
    <mergeCell ref="D52:F52"/>
    <mergeCell ref="D53:F53"/>
    <mergeCell ref="E54:F54"/>
    <mergeCell ref="E55:F55"/>
    <mergeCell ref="A59:C59"/>
    <mergeCell ref="A62:C62"/>
    <mergeCell ref="A65:C65"/>
    <mergeCell ref="A66:C66"/>
    <mergeCell ref="A56:C56"/>
    <mergeCell ref="D56:F56"/>
    <mergeCell ref="D57:F57"/>
    <mergeCell ref="E58:F58"/>
    <mergeCell ref="D59:F59"/>
    <mergeCell ref="D60:F60"/>
    <mergeCell ref="E61:F61"/>
    <mergeCell ref="D62:F62"/>
    <mergeCell ref="D63:F63"/>
    <mergeCell ref="E64:F64"/>
    <mergeCell ref="D65:F65"/>
    <mergeCell ref="D66:F66"/>
    <mergeCell ref="D67:F67"/>
    <mergeCell ref="E68:F68"/>
    <mergeCell ref="E69:F69"/>
    <mergeCell ref="E70:F70"/>
    <mergeCell ref="A71:C71"/>
    <mergeCell ref="D71:F71"/>
    <mergeCell ref="D72:F72"/>
    <mergeCell ref="E73:F73"/>
    <mergeCell ref="D74:F74"/>
    <mergeCell ref="D91:F91"/>
    <mergeCell ref="E92:F92"/>
    <mergeCell ref="E93:F93"/>
    <mergeCell ref="E94:F94"/>
    <mergeCell ref="E95:F95"/>
    <mergeCell ref="E96:F96"/>
    <mergeCell ref="E97:F97"/>
    <mergeCell ref="D142:F142"/>
    <mergeCell ref="D143:F143"/>
    <mergeCell ref="E144:F144"/>
    <mergeCell ref="E145:F145"/>
    <mergeCell ref="E146:F146"/>
    <mergeCell ref="E147:F147"/>
    <mergeCell ref="E148:F148"/>
    <mergeCell ref="D135:F135"/>
    <mergeCell ref="D136:F136"/>
    <mergeCell ref="D137:F137"/>
    <mergeCell ref="E138:F138"/>
    <mergeCell ref="E139:F139"/>
    <mergeCell ref="E140:F140"/>
    <mergeCell ref="D141:F141"/>
    <mergeCell ref="D149:F149"/>
    <mergeCell ref="D150:F150"/>
    <mergeCell ref="E151:F151"/>
    <mergeCell ref="D152:F152"/>
    <mergeCell ref="D153:F153"/>
    <mergeCell ref="D154:F154"/>
    <mergeCell ref="D155:F155"/>
    <mergeCell ref="E156:F156"/>
    <mergeCell ref="E157:F157"/>
    <mergeCell ref="E158:F158"/>
    <mergeCell ref="E159:F159"/>
    <mergeCell ref="E160:F160"/>
    <mergeCell ref="E161:F161"/>
    <mergeCell ref="E162:F162"/>
    <mergeCell ref="E241:F241"/>
    <mergeCell ref="E242:F242"/>
    <mergeCell ref="A243:B243"/>
    <mergeCell ref="D243:F243"/>
    <mergeCell ref="D244:F244"/>
    <mergeCell ref="E245:F245"/>
    <mergeCell ref="E246:F246"/>
    <mergeCell ref="E247:F247"/>
    <mergeCell ref="E248:F248"/>
    <mergeCell ref="A249:B249"/>
    <mergeCell ref="D249:F249"/>
    <mergeCell ref="A250:B250"/>
    <mergeCell ref="D250:F250"/>
    <mergeCell ref="D251:F251"/>
    <mergeCell ref="A200:B200"/>
    <mergeCell ref="D200:F200"/>
    <mergeCell ref="D201:F201"/>
    <mergeCell ref="E202:F202"/>
    <mergeCell ref="D203:F203"/>
    <mergeCell ref="D204:F204"/>
    <mergeCell ref="E205:F205"/>
    <mergeCell ref="D206:F206"/>
    <mergeCell ref="D207:F207"/>
    <mergeCell ref="E208:F208"/>
    <mergeCell ref="D209:F209"/>
    <mergeCell ref="D210:F210"/>
    <mergeCell ref="D211:F211"/>
    <mergeCell ref="E212:F212"/>
    <mergeCell ref="E213:F213"/>
    <mergeCell ref="E214:F214"/>
    <mergeCell ref="D215:F215"/>
    <mergeCell ref="D216:F216"/>
    <mergeCell ref="E217:F217"/>
    <mergeCell ref="D218:F218"/>
    <mergeCell ref="D219:F219"/>
    <mergeCell ref="A224:B224"/>
    <mergeCell ref="A228:B228"/>
    <mergeCell ref="A229:B229"/>
    <mergeCell ref="A233:B233"/>
    <mergeCell ref="A234:B234"/>
    <mergeCell ref="A203:B203"/>
    <mergeCell ref="A206:B206"/>
    <mergeCell ref="A209:B209"/>
    <mergeCell ref="A210:B210"/>
    <mergeCell ref="A215:B215"/>
    <mergeCell ref="A218:B218"/>
    <mergeCell ref="A219:B219"/>
    <mergeCell ref="D220:F220"/>
    <mergeCell ref="E221:F221"/>
    <mergeCell ref="E222:F222"/>
    <mergeCell ref="E223:F223"/>
    <mergeCell ref="D224:F224"/>
    <mergeCell ref="D225:F225"/>
    <mergeCell ref="E226:F226"/>
    <mergeCell ref="E252:F252"/>
    <mergeCell ref="E253:F253"/>
    <mergeCell ref="E254:F254"/>
    <mergeCell ref="E255:F255"/>
    <mergeCell ref="E256:F256"/>
    <mergeCell ref="E257:F257"/>
    <mergeCell ref="E258:F258"/>
    <mergeCell ref="A152:B152"/>
    <mergeCell ref="A153:B153"/>
    <mergeCell ref="A154:B154"/>
    <mergeCell ref="A127:C127"/>
    <mergeCell ref="A128:C128"/>
    <mergeCell ref="A135:C135"/>
    <mergeCell ref="A136:C136"/>
    <mergeCell ref="A141:B141"/>
    <mergeCell ref="A142:B142"/>
    <mergeCell ref="A149:B149"/>
    <mergeCell ref="A163:B163"/>
    <mergeCell ref="D163:F163"/>
    <mergeCell ref="D164:F164"/>
    <mergeCell ref="E165:F165"/>
    <mergeCell ref="E166:F166"/>
    <mergeCell ref="A167:B167"/>
    <mergeCell ref="A168:B168"/>
    <mergeCell ref="D167:F167"/>
    <mergeCell ref="D168:F168"/>
    <mergeCell ref="D169:F169"/>
    <mergeCell ref="E170:F170"/>
    <mergeCell ref="E171:F171"/>
    <mergeCell ref="E172:F172"/>
    <mergeCell ref="A173:C173"/>
    <mergeCell ref="D173:F173"/>
    <mergeCell ref="D174:F174"/>
    <mergeCell ref="E175:F175"/>
    <mergeCell ref="A176:C176"/>
    <mergeCell ref="D176:F176"/>
    <mergeCell ref="D177:F177"/>
    <mergeCell ref="E178:F178"/>
    <mergeCell ref="A179:C179"/>
    <mergeCell ref="D179:F179"/>
    <mergeCell ref="A180:C180"/>
    <mergeCell ref="D180:F180"/>
    <mergeCell ref="D181:F181"/>
    <mergeCell ref="E182:F182"/>
    <mergeCell ref="E183:F183"/>
    <mergeCell ref="E184:F184"/>
    <mergeCell ref="E185:F185"/>
    <mergeCell ref="A186:C186"/>
    <mergeCell ref="D186:F186"/>
    <mergeCell ref="D187:F187"/>
    <mergeCell ref="E188:F188"/>
    <mergeCell ref="A189:C189"/>
    <mergeCell ref="D189:F189"/>
    <mergeCell ref="D190:F190"/>
    <mergeCell ref="E191:F191"/>
    <mergeCell ref="A192:C192"/>
    <mergeCell ref="D192:F192"/>
    <mergeCell ref="A193:C193"/>
    <mergeCell ref="D193:F193"/>
    <mergeCell ref="E98:F98"/>
    <mergeCell ref="A99:C99"/>
    <mergeCell ref="D99:F99"/>
    <mergeCell ref="D100:F100"/>
    <mergeCell ref="E101:F101"/>
    <mergeCell ref="E102:F102"/>
    <mergeCell ref="E103:F103"/>
    <mergeCell ref="E104:F104"/>
    <mergeCell ref="A105:C105"/>
    <mergeCell ref="D105:F105"/>
    <mergeCell ref="A106:C106"/>
    <mergeCell ref="D106:F106"/>
    <mergeCell ref="D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A119:B119"/>
    <mergeCell ref="D119:F119"/>
    <mergeCell ref="A120:B120"/>
    <mergeCell ref="D120:F120"/>
    <mergeCell ref="D121:F121"/>
    <mergeCell ref="E122:F122"/>
    <mergeCell ref="E123:F123"/>
    <mergeCell ref="E124:F124"/>
    <mergeCell ref="E125:F125"/>
    <mergeCell ref="E126:F126"/>
    <mergeCell ref="D127:F127"/>
    <mergeCell ref="D128:F128"/>
    <mergeCell ref="D129:F129"/>
    <mergeCell ref="E130:F130"/>
    <mergeCell ref="E131:F131"/>
    <mergeCell ref="E132:F132"/>
    <mergeCell ref="E133:F133"/>
    <mergeCell ref="E134:F134"/>
    <mergeCell ref="D194:F194"/>
    <mergeCell ref="E195:F195"/>
    <mergeCell ref="A196:C196"/>
    <mergeCell ref="D196:F196"/>
    <mergeCell ref="D197:F197"/>
    <mergeCell ref="E198:F198"/>
    <mergeCell ref="E199:F199"/>
    <mergeCell ref="E227:F227"/>
    <mergeCell ref="D228:F228"/>
    <mergeCell ref="D229:F229"/>
    <mergeCell ref="D230:F230"/>
    <mergeCell ref="E231:F231"/>
    <mergeCell ref="E232:F232"/>
    <mergeCell ref="D233:F233"/>
    <mergeCell ref="D234:F234"/>
    <mergeCell ref="D235:F235"/>
    <mergeCell ref="E236:F236"/>
    <mergeCell ref="E237:F237"/>
    <mergeCell ref="E238:F238"/>
    <mergeCell ref="E239:F239"/>
    <mergeCell ref="E240:F240"/>
    <mergeCell ref="E259:F259"/>
    <mergeCell ref="E260:F260"/>
    <mergeCell ref="E261:F261"/>
    <mergeCell ref="E262:F262"/>
    <mergeCell ref="A263:B263"/>
    <mergeCell ref="D263:F263"/>
    <mergeCell ref="A264:B264"/>
    <mergeCell ref="D264:F264"/>
    <mergeCell ref="D265:F265"/>
    <mergeCell ref="E266:F266"/>
    <mergeCell ref="E267:F267"/>
    <mergeCell ref="E268:F268"/>
    <mergeCell ref="E269:F269"/>
    <mergeCell ref="E270:F270"/>
    <mergeCell ref="A271:B271"/>
    <mergeCell ref="D271:F271"/>
    <mergeCell ref="A272:B272"/>
    <mergeCell ref="D272:F272"/>
    <mergeCell ref="D273:F273"/>
    <mergeCell ref="E274:F274"/>
    <mergeCell ref="E275:F275"/>
    <mergeCell ref="E276:F276"/>
    <mergeCell ref="E277:F277"/>
    <mergeCell ref="E278:F278"/>
    <mergeCell ref="A279:B279"/>
    <mergeCell ref="D279:F279"/>
    <mergeCell ref="A280:B280"/>
    <mergeCell ref="D280:F280"/>
    <mergeCell ref="D281:F281"/>
    <mergeCell ref="E282:F282"/>
    <mergeCell ref="E283:F283"/>
    <mergeCell ref="E284:F284"/>
    <mergeCell ref="A285:B285"/>
    <mergeCell ref="D285:F285"/>
    <mergeCell ref="A286:C286"/>
    <mergeCell ref="A293:C293"/>
    <mergeCell ref="D293:F293"/>
    <mergeCell ref="D286:F286"/>
    <mergeCell ref="D287:F287"/>
    <mergeCell ref="E288:F288"/>
    <mergeCell ref="E289:F289"/>
    <mergeCell ref="E290:F290"/>
    <mergeCell ref="E291:F291"/>
    <mergeCell ref="E292:F292"/>
    <mergeCell ref="D333:F333"/>
    <mergeCell ref="D334:F334"/>
    <mergeCell ref="E335:F335"/>
    <mergeCell ref="E326:F326"/>
    <mergeCell ref="E327:F327"/>
    <mergeCell ref="E328:F328"/>
    <mergeCell ref="E329:F329"/>
    <mergeCell ref="D330:F330"/>
    <mergeCell ref="D331:F331"/>
    <mergeCell ref="E332:F332"/>
    <mergeCell ref="A337:B337"/>
    <mergeCell ref="A340:B340"/>
    <mergeCell ref="A330:B330"/>
    <mergeCell ref="A333:B333"/>
    <mergeCell ref="A336:B336"/>
    <mergeCell ref="D336:F336"/>
    <mergeCell ref="D337:F337"/>
    <mergeCell ref="D338:F338"/>
    <mergeCell ref="E339:F339"/>
    <mergeCell ref="D347:F347"/>
    <mergeCell ref="D348:F348"/>
    <mergeCell ref="E349:F349"/>
    <mergeCell ref="D340:F340"/>
    <mergeCell ref="D341:F341"/>
    <mergeCell ref="E342:F342"/>
    <mergeCell ref="E343:F343"/>
    <mergeCell ref="D344:F344"/>
    <mergeCell ref="D345:F345"/>
    <mergeCell ref="E346:F346"/>
    <mergeCell ref="A353:C353"/>
    <mergeCell ref="A354:C354"/>
    <mergeCell ref="A344:C344"/>
    <mergeCell ref="A347:C347"/>
    <mergeCell ref="A350:C350"/>
    <mergeCell ref="D350:F350"/>
    <mergeCell ref="D351:F351"/>
    <mergeCell ref="E352:F352"/>
    <mergeCell ref="D353:F353"/>
    <mergeCell ref="D354:F354"/>
    <mergeCell ref="D355:F355"/>
    <mergeCell ref="E356:F356"/>
    <mergeCell ref="E357:F357"/>
    <mergeCell ref="E358:F358"/>
    <mergeCell ref="A359:B359"/>
    <mergeCell ref="D359:F359"/>
    <mergeCell ref="D360:F360"/>
    <mergeCell ref="E361:F361"/>
    <mergeCell ref="A362:B362"/>
    <mergeCell ref="D362:F362"/>
    <mergeCell ref="A363:B363"/>
    <mergeCell ref="D363:F363"/>
    <mergeCell ref="D364:F364"/>
    <mergeCell ref="D372:F372"/>
    <mergeCell ref="D373:F373"/>
    <mergeCell ref="D374:F374"/>
    <mergeCell ref="E375:F375"/>
    <mergeCell ref="E376:F376"/>
    <mergeCell ref="E365:F365"/>
    <mergeCell ref="E366:F366"/>
    <mergeCell ref="E367:F367"/>
    <mergeCell ref="D368:F368"/>
    <mergeCell ref="D369:F369"/>
    <mergeCell ref="E370:F370"/>
    <mergeCell ref="E371:F371"/>
    <mergeCell ref="D294:F294"/>
    <mergeCell ref="E295:F295"/>
    <mergeCell ref="A296:C296"/>
    <mergeCell ref="D296:F296"/>
    <mergeCell ref="A297:C297"/>
    <mergeCell ref="D297:F297"/>
    <mergeCell ref="A298:C298"/>
    <mergeCell ref="D298:F298"/>
    <mergeCell ref="D299:F299"/>
    <mergeCell ref="E300:F300"/>
    <mergeCell ref="E301:F301"/>
    <mergeCell ref="E302:F302"/>
    <mergeCell ref="E303:F303"/>
    <mergeCell ref="E304:F304"/>
    <mergeCell ref="E305:F305"/>
    <mergeCell ref="E306:F306"/>
    <mergeCell ref="A307:B307"/>
    <mergeCell ref="D307:F307"/>
    <mergeCell ref="D308:F308"/>
    <mergeCell ref="E309:F309"/>
    <mergeCell ref="E310:F310"/>
    <mergeCell ref="A311:B311"/>
    <mergeCell ref="D311:F311"/>
    <mergeCell ref="A312:B312"/>
    <mergeCell ref="D312:F312"/>
    <mergeCell ref="D313:F313"/>
    <mergeCell ref="E314:F314"/>
    <mergeCell ref="E315:F315"/>
    <mergeCell ref="E316:F316"/>
    <mergeCell ref="A317:C317"/>
    <mergeCell ref="D317:F317"/>
    <mergeCell ref="D318:F318"/>
    <mergeCell ref="E319:F319"/>
    <mergeCell ref="A320:C320"/>
    <mergeCell ref="D320:F320"/>
    <mergeCell ref="D321:F321"/>
    <mergeCell ref="E322:F322"/>
    <mergeCell ref="A323:C323"/>
    <mergeCell ref="D323:F323"/>
    <mergeCell ref="A324:C324"/>
    <mergeCell ref="D324:F324"/>
    <mergeCell ref="D325:F325"/>
    <mergeCell ref="A368:B368"/>
    <mergeCell ref="A372:B372"/>
    <mergeCell ref="A373:B373"/>
    <mergeCell ref="A377:B377"/>
    <mergeCell ref="D377:F377"/>
    <mergeCell ref="A378:B378"/>
    <mergeCell ref="D378:F378"/>
    <mergeCell ref="D582:F582"/>
    <mergeCell ref="E583:F583"/>
    <mergeCell ref="D574:F574"/>
    <mergeCell ref="D575:F575"/>
    <mergeCell ref="E576:F576"/>
    <mergeCell ref="E577:F577"/>
    <mergeCell ref="E578:F578"/>
    <mergeCell ref="E579:F579"/>
    <mergeCell ref="E580:F580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A551:B551"/>
    <mergeCell ref="D551:F551"/>
    <mergeCell ref="A552:B552"/>
    <mergeCell ref="D552:F552"/>
    <mergeCell ref="D553:F553"/>
    <mergeCell ref="E554:F554"/>
    <mergeCell ref="E555:F555"/>
    <mergeCell ref="E556:F556"/>
    <mergeCell ref="E557:F557"/>
    <mergeCell ref="E558:F558"/>
    <mergeCell ref="A559:B559"/>
    <mergeCell ref="D559:F559"/>
    <mergeCell ref="A560:B560"/>
    <mergeCell ref="D560:F560"/>
    <mergeCell ref="D561:F561"/>
    <mergeCell ref="E562:F562"/>
    <mergeCell ref="E563:F563"/>
    <mergeCell ref="E564:F564"/>
    <mergeCell ref="E565:F565"/>
    <mergeCell ref="E566:F566"/>
    <mergeCell ref="A567:B567"/>
    <mergeCell ref="D567:F567"/>
    <mergeCell ref="A568:B568"/>
    <mergeCell ref="D568:F568"/>
    <mergeCell ref="D569:F569"/>
    <mergeCell ref="E570:F570"/>
    <mergeCell ref="E571:F571"/>
    <mergeCell ref="E572:F572"/>
    <mergeCell ref="A573:B573"/>
    <mergeCell ref="D573:F573"/>
    <mergeCell ref="A574:C574"/>
    <mergeCell ref="A581:C581"/>
    <mergeCell ref="D581:F581"/>
    <mergeCell ref="A584:C584"/>
    <mergeCell ref="D584:F584"/>
    <mergeCell ref="A585:C585"/>
    <mergeCell ref="D585:F585"/>
    <mergeCell ref="A586:C586"/>
    <mergeCell ref="D628:F628"/>
    <mergeCell ref="D629:F629"/>
    <mergeCell ref="E630:F630"/>
    <mergeCell ref="E631:F631"/>
    <mergeCell ref="D621:F621"/>
    <mergeCell ref="D622:F622"/>
    <mergeCell ref="E623:F623"/>
    <mergeCell ref="D624:F624"/>
    <mergeCell ref="D625:F625"/>
    <mergeCell ref="D626:F626"/>
    <mergeCell ref="E627:F627"/>
    <mergeCell ref="D586:F586"/>
    <mergeCell ref="D587:F587"/>
    <mergeCell ref="E588:F588"/>
    <mergeCell ref="E589:F589"/>
    <mergeCell ref="E590:F590"/>
    <mergeCell ref="E591:F591"/>
    <mergeCell ref="E592:F592"/>
    <mergeCell ref="E593:F593"/>
    <mergeCell ref="E594:F594"/>
    <mergeCell ref="A595:B595"/>
    <mergeCell ref="D595:F595"/>
    <mergeCell ref="D596:F596"/>
    <mergeCell ref="E597:F597"/>
    <mergeCell ref="E598:F598"/>
    <mergeCell ref="A599:B599"/>
    <mergeCell ref="D599:F599"/>
    <mergeCell ref="A600:B600"/>
    <mergeCell ref="D600:F600"/>
    <mergeCell ref="D601:F601"/>
    <mergeCell ref="E602:F602"/>
    <mergeCell ref="E603:F603"/>
    <mergeCell ref="E604:F604"/>
    <mergeCell ref="A605:C605"/>
    <mergeCell ref="D605:F605"/>
    <mergeCell ref="D606:F606"/>
    <mergeCell ref="E607:F607"/>
    <mergeCell ref="A608:C608"/>
    <mergeCell ref="D608:F608"/>
    <mergeCell ref="D609:F609"/>
    <mergeCell ref="E610:F610"/>
    <mergeCell ref="A611:C611"/>
    <mergeCell ref="D611:F611"/>
    <mergeCell ref="A612:C612"/>
    <mergeCell ref="D612:F612"/>
    <mergeCell ref="D613:F613"/>
    <mergeCell ref="A618:B618"/>
    <mergeCell ref="A621:B621"/>
    <mergeCell ref="A624:B624"/>
    <mergeCell ref="A625:B625"/>
    <mergeCell ref="A628:B628"/>
    <mergeCell ref="A632:C632"/>
    <mergeCell ref="A635:C635"/>
    <mergeCell ref="A638:C638"/>
    <mergeCell ref="E614:F614"/>
    <mergeCell ref="E615:F615"/>
    <mergeCell ref="E616:F616"/>
    <mergeCell ref="E617:F617"/>
    <mergeCell ref="D618:F618"/>
    <mergeCell ref="D619:F619"/>
    <mergeCell ref="E620:F620"/>
    <mergeCell ref="D675:F675"/>
    <mergeCell ref="D676:F676"/>
    <mergeCell ref="E677:F677"/>
    <mergeCell ref="E678:F678"/>
    <mergeCell ref="E679:F679"/>
    <mergeCell ref="E680:F680"/>
    <mergeCell ref="E668:F668"/>
    <mergeCell ref="E669:F669"/>
    <mergeCell ref="E670:F670"/>
    <mergeCell ref="E671:F671"/>
    <mergeCell ref="E672:F672"/>
    <mergeCell ref="E673:F673"/>
    <mergeCell ref="E674:F674"/>
    <mergeCell ref="D632:F632"/>
    <mergeCell ref="D633:F633"/>
    <mergeCell ref="E634:F634"/>
    <mergeCell ref="D635:F635"/>
    <mergeCell ref="D636:F636"/>
    <mergeCell ref="E637:F637"/>
    <mergeCell ref="D638:F638"/>
    <mergeCell ref="D639:F639"/>
    <mergeCell ref="E640:F640"/>
    <mergeCell ref="A641:C641"/>
    <mergeCell ref="D641:F641"/>
    <mergeCell ref="A642:C642"/>
    <mergeCell ref="D642:F642"/>
    <mergeCell ref="D643:F643"/>
    <mergeCell ref="E644:F644"/>
    <mergeCell ref="E645:F645"/>
    <mergeCell ref="E646:F646"/>
    <mergeCell ref="A647:B647"/>
    <mergeCell ref="D647:F647"/>
    <mergeCell ref="D648:F648"/>
    <mergeCell ref="E649:F649"/>
    <mergeCell ref="A650:B650"/>
    <mergeCell ref="D650:F650"/>
    <mergeCell ref="A651:B651"/>
    <mergeCell ref="D651:F651"/>
    <mergeCell ref="D652:F652"/>
    <mergeCell ref="E653:F653"/>
    <mergeCell ref="E654:F654"/>
    <mergeCell ref="A660:B660"/>
    <mergeCell ref="A661:B661"/>
    <mergeCell ref="A665:B665"/>
    <mergeCell ref="A666:B666"/>
    <mergeCell ref="A675:B675"/>
    <mergeCell ref="A681:B681"/>
    <mergeCell ref="A682:B682"/>
    <mergeCell ref="E655:F655"/>
    <mergeCell ref="A656:B656"/>
    <mergeCell ref="D656:F656"/>
    <mergeCell ref="D657:F657"/>
    <mergeCell ref="E658:F658"/>
    <mergeCell ref="E659:F659"/>
    <mergeCell ref="D660:F660"/>
    <mergeCell ref="D661:F661"/>
    <mergeCell ref="D662:F662"/>
    <mergeCell ref="E663:F663"/>
    <mergeCell ref="E664:F664"/>
    <mergeCell ref="D665:F665"/>
    <mergeCell ref="D666:F666"/>
    <mergeCell ref="D667:F667"/>
  </mergeCells>
  <printOptions/>
  <pageMargins bottom="0.0" footer="0.0" header="0.0" left="0.0" right="0.0" top="0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5.43"/>
    <col customWidth="1" min="3" max="4" width="3.43"/>
    <col customWidth="1" min="5" max="5" width="16.43"/>
    <col customWidth="1" min="6" max="6" width="15.43"/>
    <col customWidth="1" min="7" max="8" width="9.0"/>
    <col customWidth="1" min="9" max="9" width="13.14"/>
    <col customWidth="1" min="10" max="10" width="13.86"/>
    <col customWidth="1" min="11" max="11" width="11.57"/>
    <col customWidth="1" min="12" max="12" width="6.57"/>
    <col customWidth="1" min="13" max="13" width="11.57"/>
    <col customWidth="1" min="14" max="14" width="5.14"/>
    <col customWidth="1" min="15" max="15" width="12.86"/>
    <col customWidth="1" min="16" max="16" width="11.86"/>
    <col customWidth="1" min="17" max="17" width="13.86"/>
    <col customWidth="1" min="18" max="18" width="16.14"/>
    <col customWidth="1" min="19" max="39" width="9.0"/>
  </cols>
  <sheetData>
    <row r="1" ht="9.75" customHeight="1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100"/>
      <c r="N1" s="99"/>
      <c r="O1" s="99"/>
      <c r="P1" s="99"/>
      <c r="Q1" s="99"/>
      <c r="R1" s="101"/>
      <c r="S1" s="101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ht="14.25" customHeight="1">
      <c r="A2" s="99"/>
      <c r="B2" s="99"/>
      <c r="C2" s="99"/>
      <c r="D2" s="99"/>
      <c r="E2" s="99"/>
      <c r="F2" s="99"/>
      <c r="G2" s="99"/>
      <c r="H2" s="99"/>
      <c r="I2" s="99"/>
      <c r="J2" s="10" t="s">
        <v>5</v>
      </c>
      <c r="K2" s="11" t="s">
        <v>6</v>
      </c>
      <c r="L2" s="12"/>
      <c r="M2" s="13"/>
      <c r="N2" s="14"/>
      <c r="O2" s="11" t="s">
        <v>7</v>
      </c>
      <c r="P2" s="13"/>
      <c r="Q2" s="10" t="s">
        <v>5</v>
      </c>
      <c r="R2" s="101"/>
      <c r="S2" s="101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</row>
    <row r="3" ht="9.75" customHeight="1">
      <c r="A3" s="99"/>
      <c r="B3" s="99"/>
      <c r="C3" s="99"/>
      <c r="D3" s="99"/>
      <c r="E3" s="99"/>
      <c r="F3" s="99"/>
      <c r="G3" s="99"/>
      <c r="H3" s="99"/>
      <c r="I3" s="99"/>
      <c r="J3" s="18"/>
      <c r="K3" s="14" t="s">
        <v>8</v>
      </c>
      <c r="L3" s="65" t="s">
        <v>9</v>
      </c>
      <c r="M3" s="102" t="s">
        <v>10</v>
      </c>
      <c r="N3" s="19" t="s">
        <v>9</v>
      </c>
      <c r="O3" s="14" t="s">
        <v>8</v>
      </c>
      <c r="P3" s="14" t="s">
        <v>10</v>
      </c>
      <c r="Q3" s="18"/>
      <c r="R3" s="101"/>
      <c r="S3" s="101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</row>
    <row r="4" ht="12.75" customHeight="1">
      <c r="A4" s="103" t="s">
        <v>11</v>
      </c>
      <c r="D4" s="103" t="s">
        <v>12</v>
      </c>
      <c r="G4" s="104"/>
      <c r="H4" s="104"/>
      <c r="I4" s="104"/>
      <c r="J4" s="23">
        <v>2.097544232E12</v>
      </c>
      <c r="K4" s="66"/>
      <c r="L4" s="105"/>
      <c r="M4" s="106"/>
      <c r="N4" s="105"/>
      <c r="O4" s="105"/>
      <c r="P4" s="105"/>
      <c r="Q4" s="23">
        <v>2.097544232E12</v>
      </c>
      <c r="R4" s="101"/>
      <c r="S4" s="101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</row>
    <row r="5" ht="12.75" customHeight="1">
      <c r="A5" s="107" t="s">
        <v>13</v>
      </c>
      <c r="D5" s="107" t="s">
        <v>14</v>
      </c>
      <c r="G5" s="104"/>
      <c r="H5" s="104"/>
      <c r="I5" s="104"/>
      <c r="J5" s="29">
        <v>2.088632535E12</v>
      </c>
      <c r="K5" s="105"/>
      <c r="L5" s="105"/>
      <c r="M5" s="106"/>
      <c r="N5" s="105"/>
      <c r="O5" s="105"/>
      <c r="P5" s="105"/>
      <c r="Q5" s="29">
        <v>2.088632535E12</v>
      </c>
      <c r="R5" s="101"/>
      <c r="S5" s="101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</row>
    <row r="6">
      <c r="A6" s="108" t="s">
        <v>299</v>
      </c>
      <c r="D6" s="108" t="s">
        <v>300</v>
      </c>
      <c r="G6" s="109" t="s">
        <v>301</v>
      </c>
      <c r="H6" s="109" t="s">
        <v>301</v>
      </c>
      <c r="I6" s="104"/>
      <c r="J6" s="32">
        <v>6.50993737E11</v>
      </c>
      <c r="K6" s="105"/>
      <c r="L6" s="105"/>
      <c r="M6" s="106"/>
      <c r="N6" s="105"/>
      <c r="O6" s="105"/>
      <c r="P6" s="105"/>
      <c r="Q6" s="32">
        <v>6.50993737E11</v>
      </c>
      <c r="R6" s="101"/>
      <c r="S6" s="101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</row>
    <row r="7" ht="12.0" customHeight="1">
      <c r="A7" s="104"/>
      <c r="B7" s="104"/>
      <c r="C7" s="104"/>
      <c r="D7" s="110" t="s">
        <v>17</v>
      </c>
      <c r="G7" s="109"/>
      <c r="H7" s="109"/>
      <c r="I7" s="104"/>
      <c r="J7" s="111"/>
      <c r="K7" s="105"/>
      <c r="L7" s="105"/>
      <c r="M7" s="106"/>
      <c r="N7" s="105"/>
      <c r="O7" s="105"/>
      <c r="P7" s="105"/>
      <c r="Q7" s="111"/>
      <c r="R7" s="101"/>
      <c r="S7" s="101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</row>
    <row r="8" ht="9.75" customHeight="1">
      <c r="A8" s="112" t="s">
        <v>302</v>
      </c>
      <c r="D8" s="112" t="s">
        <v>303</v>
      </c>
      <c r="G8" s="112" t="s">
        <v>301</v>
      </c>
      <c r="H8" s="112" t="s">
        <v>301</v>
      </c>
      <c r="I8" s="113"/>
      <c r="J8" s="114">
        <v>6.50993737E11</v>
      </c>
      <c r="K8" s="115">
        <f>K9+K153+K297+K441+K585+K729+K873+K1017+K1161+K1305+K1449</f>
        <v>1336068710</v>
      </c>
      <c r="L8" s="116">
        <f t="shared" ref="L8:L11" si="3">(K8/J8)*100</f>
        <v>0.2052352633</v>
      </c>
      <c r="M8" s="117">
        <f>M9+M153+M297+M441+M585+M729+M873+M1017+M1161+M1305+M1449</f>
        <v>775505596</v>
      </c>
      <c r="N8" s="116">
        <f t="shared" ref="N8:N11" si="4">(K8/J8)*100</f>
        <v>0.2052352633</v>
      </c>
      <c r="O8" s="115">
        <f t="shared" ref="O8:P8" si="1">O9+O153+O297+O441+O585+O729+O873+O1017+O1161+O1305+O1449</f>
        <v>41412762290</v>
      </c>
      <c r="P8" s="115">
        <f t="shared" si="1"/>
        <v>41116911526</v>
      </c>
      <c r="Q8" s="114">
        <v>6.50993737E11</v>
      </c>
      <c r="R8" s="118"/>
      <c r="S8" s="118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</row>
    <row r="9" ht="21.75" customHeight="1">
      <c r="A9" s="120" t="s">
        <v>304</v>
      </c>
      <c r="B9" s="121"/>
      <c r="C9" s="122"/>
      <c r="D9" s="120" t="s">
        <v>305</v>
      </c>
      <c r="E9" s="121"/>
      <c r="F9" s="122"/>
      <c r="G9" s="123" t="s">
        <v>306</v>
      </c>
      <c r="H9" s="123" t="s">
        <v>306</v>
      </c>
      <c r="I9" s="124"/>
      <c r="J9" s="125">
        <f t="shared" ref="J9:K9" si="2">J10+J24+J36+J49+J66+J75+J85+J90+J106+J120+J128+J136+J142</f>
        <v>5105246000</v>
      </c>
      <c r="K9" s="125">
        <f t="shared" si="2"/>
        <v>314938900</v>
      </c>
      <c r="L9" s="116">
        <f t="shared" si="3"/>
        <v>6.168927021</v>
      </c>
      <c r="M9" s="126">
        <f>M10+M24+M36+M49+M66+M75+M85+M90+M106+M120+M128+M136+M142</f>
        <v>775505596</v>
      </c>
      <c r="N9" s="116">
        <f t="shared" si="4"/>
        <v>6.168927021</v>
      </c>
      <c r="O9" s="84">
        <f t="shared" ref="O9:P9" si="5">O10+O24+O36+O49+O66+O75+O85+O90+O106+O120+O128+O136+O142</f>
        <v>4758307100</v>
      </c>
      <c r="P9" s="84">
        <f t="shared" si="5"/>
        <v>4297740404</v>
      </c>
      <c r="Q9" s="125">
        <v>5.073246E9</v>
      </c>
      <c r="R9" s="101">
        <v>3.46295364E8</v>
      </c>
      <c r="S9" s="101" t="s">
        <v>307</v>
      </c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</row>
    <row r="10" ht="12.75" customHeight="1">
      <c r="A10" s="127" t="s">
        <v>20</v>
      </c>
      <c r="B10" s="121"/>
      <c r="C10" s="122"/>
      <c r="D10" s="127" t="s">
        <v>21</v>
      </c>
      <c r="E10" s="121"/>
      <c r="F10" s="122"/>
      <c r="G10" s="128"/>
      <c r="H10" s="128"/>
      <c r="I10" s="128"/>
      <c r="J10" s="129">
        <f t="shared" ref="J10:K10" si="6">J11+J20</f>
        <v>247640000</v>
      </c>
      <c r="K10" s="129">
        <f t="shared" si="6"/>
        <v>0</v>
      </c>
      <c r="L10" s="116">
        <f t="shared" si="3"/>
        <v>0</v>
      </c>
      <c r="M10" s="130">
        <f>M11+M20</f>
        <v>74991832</v>
      </c>
      <c r="N10" s="116">
        <f t="shared" si="4"/>
        <v>0</v>
      </c>
      <c r="O10" s="43">
        <f t="shared" ref="O10:Q10" si="7">O11+O20</f>
        <v>247640000</v>
      </c>
      <c r="P10" s="43">
        <f t="shared" si="7"/>
        <v>172648168</v>
      </c>
      <c r="Q10" s="129">
        <f t="shared" si="7"/>
        <v>247640000</v>
      </c>
      <c r="R10" s="101"/>
      <c r="S10" s="101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</row>
    <row r="11" ht="12.75" customHeight="1">
      <c r="A11" s="131" t="s">
        <v>40</v>
      </c>
      <c r="B11" s="121"/>
      <c r="C11" s="122"/>
      <c r="D11" s="132" t="s">
        <v>22</v>
      </c>
      <c r="E11" s="121"/>
      <c r="F11" s="122"/>
      <c r="G11" s="133"/>
      <c r="H11" s="133"/>
      <c r="I11" s="133"/>
      <c r="J11" s="134">
        <f t="shared" ref="J11:K11" si="8">SUM(J13:J19)</f>
        <v>227640000</v>
      </c>
      <c r="K11" s="134">
        <f t="shared" si="8"/>
        <v>0</v>
      </c>
      <c r="L11" s="116">
        <f t="shared" si="3"/>
        <v>0</v>
      </c>
      <c r="M11" s="135">
        <f>SUM(M13:M19)</f>
        <v>74441832</v>
      </c>
      <c r="N11" s="116">
        <f t="shared" si="4"/>
        <v>0</v>
      </c>
      <c r="O11" s="46">
        <f t="shared" ref="O11:Q11" si="9">SUM(O13:O19)</f>
        <v>227640000</v>
      </c>
      <c r="P11" s="46">
        <f t="shared" si="9"/>
        <v>153198168</v>
      </c>
      <c r="Q11" s="134">
        <f t="shared" si="9"/>
        <v>227640000</v>
      </c>
      <c r="R11" s="101"/>
      <c r="S11" s="101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</row>
    <row r="12" ht="12.75" customHeight="1">
      <c r="A12" s="104"/>
      <c r="B12" s="104"/>
      <c r="C12" s="104"/>
      <c r="D12" s="110" t="s">
        <v>23</v>
      </c>
      <c r="G12" s="104"/>
      <c r="H12" s="104"/>
      <c r="I12" s="104"/>
      <c r="J12" s="111"/>
      <c r="K12" s="111"/>
      <c r="L12" s="116"/>
      <c r="M12" s="106"/>
      <c r="N12" s="116"/>
      <c r="O12" s="111"/>
      <c r="P12" s="111"/>
      <c r="Q12" s="111"/>
      <c r="R12" s="101"/>
      <c r="S12" s="101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</row>
    <row r="13">
      <c r="A13" s="104"/>
      <c r="B13" s="104"/>
      <c r="C13" s="104"/>
      <c r="D13" s="110" t="s">
        <v>24</v>
      </c>
      <c r="E13" s="110" t="s">
        <v>308</v>
      </c>
      <c r="G13" s="136">
        <v>48.0</v>
      </c>
      <c r="H13" s="136" t="s">
        <v>26</v>
      </c>
      <c r="I13" s="137">
        <v>500000.0</v>
      </c>
      <c r="J13" s="46">
        <f t="shared" ref="J13:J19" si="10">G13*I13</f>
        <v>24000000</v>
      </c>
      <c r="K13" s="46"/>
      <c r="L13" s="116">
        <f t="shared" ref="L13:L20" si="11">(K13/J13)*100</f>
        <v>0</v>
      </c>
      <c r="M13" s="138">
        <v>1574440.0</v>
      </c>
      <c r="N13" s="116">
        <f t="shared" ref="N13:N20" si="12">(K13/J13)*100</f>
        <v>0</v>
      </c>
      <c r="O13" s="46">
        <f t="shared" ref="O13:O19" si="13">J13-K13</f>
        <v>24000000</v>
      </c>
      <c r="P13" s="46">
        <f t="shared" ref="P13:P19" si="14">J13-M13</f>
        <v>22425560</v>
      </c>
      <c r="Q13" s="46">
        <v>2.4E7</v>
      </c>
      <c r="R13" s="139">
        <v>1.23218E7</v>
      </c>
      <c r="S13" s="101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</row>
    <row r="14">
      <c r="A14" s="104"/>
      <c r="B14" s="104"/>
      <c r="C14" s="104"/>
      <c r="D14" s="110" t="s">
        <v>24</v>
      </c>
      <c r="E14" s="110" t="s">
        <v>27</v>
      </c>
      <c r="G14" s="136">
        <v>2.0</v>
      </c>
      <c r="H14" s="136" t="s">
        <v>26</v>
      </c>
      <c r="I14" s="137">
        <v>2000000.0</v>
      </c>
      <c r="J14" s="46">
        <f t="shared" si="10"/>
        <v>4000000</v>
      </c>
      <c r="K14" s="46"/>
      <c r="L14" s="116">
        <f t="shared" si="11"/>
        <v>0</v>
      </c>
      <c r="M14" s="138">
        <v>3037670.0</v>
      </c>
      <c r="N14" s="116">
        <f t="shared" si="12"/>
        <v>0</v>
      </c>
      <c r="O14" s="46">
        <f t="shared" si="13"/>
        <v>4000000</v>
      </c>
      <c r="P14" s="46">
        <f t="shared" si="14"/>
        <v>962330</v>
      </c>
      <c r="Q14" s="46">
        <v>4000000.0</v>
      </c>
      <c r="R14" s="101"/>
      <c r="S14" s="101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</row>
    <row r="15">
      <c r="A15" s="104"/>
      <c r="B15" s="104"/>
      <c r="C15" s="104"/>
      <c r="D15" s="110" t="s">
        <v>24</v>
      </c>
      <c r="E15" s="110" t="s">
        <v>28</v>
      </c>
      <c r="G15" s="136">
        <v>10.0</v>
      </c>
      <c r="H15" s="136" t="s">
        <v>26</v>
      </c>
      <c r="I15" s="137">
        <v>500000.0</v>
      </c>
      <c r="J15" s="46">
        <f t="shared" si="10"/>
        <v>5000000</v>
      </c>
      <c r="K15" s="46"/>
      <c r="L15" s="116">
        <f t="shared" si="11"/>
        <v>0</v>
      </c>
      <c r="M15" s="138">
        <v>1.6203E7</v>
      </c>
      <c r="N15" s="116">
        <f t="shared" si="12"/>
        <v>0</v>
      </c>
      <c r="O15" s="46">
        <f t="shared" si="13"/>
        <v>5000000</v>
      </c>
      <c r="P15" s="46">
        <f t="shared" si="14"/>
        <v>-11203000</v>
      </c>
      <c r="Q15" s="46">
        <v>5000000.0</v>
      </c>
      <c r="R15" s="101"/>
      <c r="S15" s="101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</row>
    <row r="16">
      <c r="A16" s="104"/>
      <c r="B16" s="104"/>
      <c r="C16" s="104"/>
      <c r="D16" s="110" t="s">
        <v>24</v>
      </c>
      <c r="E16" s="110" t="s">
        <v>309</v>
      </c>
      <c r="G16" s="136">
        <v>400.0</v>
      </c>
      <c r="H16" s="136" t="s">
        <v>26</v>
      </c>
      <c r="I16" s="137">
        <v>25000.0</v>
      </c>
      <c r="J16" s="46">
        <f t="shared" si="10"/>
        <v>10000000</v>
      </c>
      <c r="K16" s="46"/>
      <c r="L16" s="116">
        <f t="shared" si="11"/>
        <v>0</v>
      </c>
      <c r="M16" s="138">
        <v>487500.0</v>
      </c>
      <c r="N16" s="116">
        <f t="shared" si="12"/>
        <v>0</v>
      </c>
      <c r="O16" s="46">
        <f t="shared" si="13"/>
        <v>10000000</v>
      </c>
      <c r="P16" s="46">
        <f t="shared" si="14"/>
        <v>9512500</v>
      </c>
      <c r="Q16" s="46">
        <v>1.0E7</v>
      </c>
      <c r="R16" s="101"/>
      <c r="S16" s="101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</row>
    <row r="17">
      <c r="A17" s="104"/>
      <c r="B17" s="104"/>
      <c r="C17" s="104"/>
      <c r="D17" s="110" t="s">
        <v>24</v>
      </c>
      <c r="E17" s="110" t="s">
        <v>31</v>
      </c>
      <c r="G17" s="136">
        <v>320.0</v>
      </c>
      <c r="H17" s="136" t="s">
        <v>26</v>
      </c>
      <c r="I17" s="137">
        <v>53000.0</v>
      </c>
      <c r="J17" s="46">
        <f t="shared" si="10"/>
        <v>16960000</v>
      </c>
      <c r="K17" s="46"/>
      <c r="L17" s="116">
        <f t="shared" si="11"/>
        <v>0</v>
      </c>
      <c r="M17" s="138">
        <v>1.11366E7</v>
      </c>
      <c r="N17" s="116">
        <f t="shared" si="12"/>
        <v>0</v>
      </c>
      <c r="O17" s="46">
        <f t="shared" si="13"/>
        <v>16960000</v>
      </c>
      <c r="P17" s="46">
        <f t="shared" si="14"/>
        <v>5823400</v>
      </c>
      <c r="Q17" s="46">
        <v>1.696E7</v>
      </c>
      <c r="R17" s="139">
        <v>1.3705E7</v>
      </c>
      <c r="S17" s="101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</row>
    <row r="18">
      <c r="A18" s="104"/>
      <c r="B18" s="104"/>
      <c r="C18" s="104"/>
      <c r="D18" s="110" t="s">
        <v>24</v>
      </c>
      <c r="E18" s="110" t="s">
        <v>32</v>
      </c>
      <c r="G18" s="136">
        <v>320.0</v>
      </c>
      <c r="H18" s="136" t="s">
        <v>26</v>
      </c>
      <c r="I18" s="137">
        <v>24000.0</v>
      </c>
      <c r="J18" s="46">
        <f t="shared" si="10"/>
        <v>7680000</v>
      </c>
      <c r="K18" s="46"/>
      <c r="L18" s="116">
        <f t="shared" si="11"/>
        <v>0</v>
      </c>
      <c r="M18" s="138">
        <v>6143000.0</v>
      </c>
      <c r="N18" s="116">
        <f t="shared" si="12"/>
        <v>0</v>
      </c>
      <c r="O18" s="46">
        <f t="shared" si="13"/>
        <v>7680000</v>
      </c>
      <c r="P18" s="46">
        <f t="shared" si="14"/>
        <v>1537000</v>
      </c>
      <c r="Q18" s="46">
        <v>7680000.0</v>
      </c>
      <c r="R18" s="139">
        <v>5448000.0</v>
      </c>
      <c r="S18" s="101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</row>
    <row r="19">
      <c r="A19" s="104"/>
      <c r="B19" s="104"/>
      <c r="C19" s="104"/>
      <c r="D19" s="110" t="s">
        <v>24</v>
      </c>
      <c r="E19" s="110" t="s">
        <v>310</v>
      </c>
      <c r="G19" s="136">
        <v>200.0</v>
      </c>
      <c r="H19" s="136" t="s">
        <v>26</v>
      </c>
      <c r="I19" s="137">
        <v>800000.0</v>
      </c>
      <c r="J19" s="46">
        <f t="shared" si="10"/>
        <v>160000000</v>
      </c>
      <c r="K19" s="46"/>
      <c r="L19" s="116">
        <f t="shared" si="11"/>
        <v>0</v>
      </c>
      <c r="M19" s="138">
        <v>3.5859622E7</v>
      </c>
      <c r="N19" s="116">
        <f t="shared" si="12"/>
        <v>0</v>
      </c>
      <c r="O19" s="46">
        <f t="shared" si="13"/>
        <v>160000000</v>
      </c>
      <c r="P19" s="46">
        <f t="shared" si="14"/>
        <v>124140378</v>
      </c>
      <c r="Q19" s="46">
        <v>1.6E8</v>
      </c>
      <c r="R19" s="139">
        <v>6.6856E7</v>
      </c>
      <c r="S19" s="101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</row>
    <row r="20">
      <c r="A20" s="131" t="s">
        <v>58</v>
      </c>
      <c r="B20" s="121"/>
      <c r="C20" s="122"/>
      <c r="D20" s="132" t="s">
        <v>34</v>
      </c>
      <c r="E20" s="121"/>
      <c r="F20" s="122"/>
      <c r="G20" s="133"/>
      <c r="H20" s="133"/>
      <c r="I20" s="133"/>
      <c r="J20" s="134">
        <f t="shared" ref="J20:K20" si="15">SUM(J22:J23)</f>
        <v>20000000</v>
      </c>
      <c r="K20" s="134">
        <f t="shared" si="15"/>
        <v>0</v>
      </c>
      <c r="L20" s="116">
        <f t="shared" si="11"/>
        <v>0</v>
      </c>
      <c r="M20" s="135">
        <f>SUM(M22:M23)</f>
        <v>550000</v>
      </c>
      <c r="N20" s="116">
        <f t="shared" si="12"/>
        <v>0</v>
      </c>
      <c r="O20" s="46">
        <f t="shared" ref="O20:Q20" si="16">SUM(O22:O23)</f>
        <v>20000000</v>
      </c>
      <c r="P20" s="46">
        <f t="shared" si="16"/>
        <v>19450000</v>
      </c>
      <c r="Q20" s="134">
        <f t="shared" si="16"/>
        <v>20000000</v>
      </c>
      <c r="R20" s="101"/>
      <c r="S20" s="101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</row>
    <row r="21">
      <c r="A21" s="104"/>
      <c r="B21" s="104"/>
      <c r="C21" s="104"/>
      <c r="D21" s="110" t="s">
        <v>23</v>
      </c>
      <c r="G21" s="104"/>
      <c r="H21" s="104"/>
      <c r="I21" s="104"/>
      <c r="J21" s="111"/>
      <c r="K21" s="111"/>
      <c r="L21" s="116"/>
      <c r="M21" s="106"/>
      <c r="N21" s="116"/>
      <c r="O21" s="111"/>
      <c r="P21" s="111"/>
      <c r="Q21" s="111"/>
      <c r="R21" s="101"/>
      <c r="S21" s="101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</row>
    <row r="22">
      <c r="A22" s="104"/>
      <c r="B22" s="104"/>
      <c r="C22" s="104"/>
      <c r="D22" s="110" t="s">
        <v>24</v>
      </c>
      <c r="E22" s="110" t="s">
        <v>311</v>
      </c>
      <c r="G22" s="136">
        <v>32.0</v>
      </c>
      <c r="H22" s="136" t="s">
        <v>26</v>
      </c>
      <c r="I22" s="137">
        <v>500000.0</v>
      </c>
      <c r="J22" s="46">
        <f t="shared" ref="J22:J23" si="17">G22*I22</f>
        <v>16000000</v>
      </c>
      <c r="K22" s="46"/>
      <c r="L22" s="116">
        <f t="shared" ref="L22:L25" si="18">(K22/J22)*100</f>
        <v>0</v>
      </c>
      <c r="M22" s="106"/>
      <c r="N22" s="116">
        <f t="shared" ref="N22:N25" si="19">(K22/J22)*100</f>
        <v>0</v>
      </c>
      <c r="O22" s="46">
        <f t="shared" ref="O22:O23" si="20">J22-K22</f>
        <v>16000000</v>
      </c>
      <c r="P22" s="46">
        <f t="shared" ref="P22:P23" si="21">J22-M22</f>
        <v>16000000</v>
      </c>
      <c r="Q22" s="46">
        <v>1.6E7</v>
      </c>
      <c r="R22" s="139">
        <v>4500000.0</v>
      </c>
      <c r="S22" s="101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</row>
    <row r="23">
      <c r="A23" s="104"/>
      <c r="B23" s="104"/>
      <c r="C23" s="104"/>
      <c r="D23" s="110" t="s">
        <v>24</v>
      </c>
      <c r="E23" s="110" t="s">
        <v>312</v>
      </c>
      <c r="G23" s="136">
        <v>8.0</v>
      </c>
      <c r="H23" s="136" t="s">
        <v>26</v>
      </c>
      <c r="I23" s="137">
        <v>500000.0</v>
      </c>
      <c r="J23" s="46">
        <f t="shared" si="17"/>
        <v>4000000</v>
      </c>
      <c r="K23" s="46"/>
      <c r="L23" s="116">
        <f t="shared" si="18"/>
        <v>0</v>
      </c>
      <c r="M23" s="138">
        <v>550000.0</v>
      </c>
      <c r="N23" s="116">
        <f t="shared" si="19"/>
        <v>0</v>
      </c>
      <c r="O23" s="46">
        <f t="shared" si="20"/>
        <v>4000000</v>
      </c>
      <c r="P23" s="46">
        <f t="shared" si="21"/>
        <v>3450000</v>
      </c>
      <c r="Q23" s="46">
        <v>4000000.0</v>
      </c>
      <c r="R23" s="139">
        <v>1000000.0</v>
      </c>
      <c r="S23" s="101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</row>
    <row r="24">
      <c r="A24" s="127" t="s">
        <v>37</v>
      </c>
      <c r="B24" s="121"/>
      <c r="C24" s="122"/>
      <c r="D24" s="127" t="s">
        <v>38</v>
      </c>
      <c r="E24" s="121"/>
      <c r="F24" s="122"/>
      <c r="G24" s="128"/>
      <c r="H24" s="128"/>
      <c r="I24" s="128"/>
      <c r="J24" s="129">
        <f t="shared" ref="J24:K24" si="22">J25+J30+J33</f>
        <v>45700000</v>
      </c>
      <c r="K24" s="129">
        <f t="shared" si="22"/>
        <v>0</v>
      </c>
      <c r="L24" s="116">
        <f t="shared" si="18"/>
        <v>0</v>
      </c>
      <c r="M24" s="130">
        <f>M25+M30+M33</f>
        <v>15107300</v>
      </c>
      <c r="N24" s="116">
        <f t="shared" si="19"/>
        <v>0</v>
      </c>
      <c r="O24" s="43">
        <f t="shared" ref="O24:P24" si="23">O25+O30+O33</f>
        <v>45700000</v>
      </c>
      <c r="P24" s="43">
        <f t="shared" si="23"/>
        <v>30592700</v>
      </c>
      <c r="Q24" s="129">
        <v>4.57E7</v>
      </c>
      <c r="R24" s="101"/>
      <c r="S24" s="101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</row>
    <row r="25">
      <c r="A25" s="131" t="s">
        <v>40</v>
      </c>
      <c r="B25" s="121"/>
      <c r="C25" s="122"/>
      <c r="D25" s="132" t="s">
        <v>22</v>
      </c>
      <c r="E25" s="121"/>
      <c r="F25" s="122"/>
      <c r="G25" s="133"/>
      <c r="H25" s="133"/>
      <c r="I25" s="133"/>
      <c r="J25" s="134">
        <f t="shared" ref="J25:K25" si="24">SUM(J27:J29)</f>
        <v>11700000</v>
      </c>
      <c r="K25" s="134">
        <f t="shared" si="24"/>
        <v>0</v>
      </c>
      <c r="L25" s="116">
        <f t="shared" si="18"/>
        <v>0</v>
      </c>
      <c r="M25" s="135">
        <f>SUM(M27:M29)</f>
        <v>6397300</v>
      </c>
      <c r="N25" s="116">
        <f t="shared" si="19"/>
        <v>0</v>
      </c>
      <c r="O25" s="46">
        <f t="shared" ref="O25:P25" si="25">SUM(O27:O29)</f>
        <v>11700000</v>
      </c>
      <c r="P25" s="46">
        <f t="shared" si="25"/>
        <v>5302700</v>
      </c>
      <c r="Q25" s="134">
        <v>1.17E7</v>
      </c>
      <c r="R25" s="101"/>
      <c r="S25" s="101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</row>
    <row r="26">
      <c r="A26" s="104"/>
      <c r="B26" s="104"/>
      <c r="C26" s="104"/>
      <c r="D26" s="110" t="s">
        <v>23</v>
      </c>
      <c r="G26" s="104"/>
      <c r="H26" s="104"/>
      <c r="I26" s="104"/>
      <c r="J26" s="111"/>
      <c r="K26" s="111"/>
      <c r="L26" s="116"/>
      <c r="M26" s="106"/>
      <c r="N26" s="116"/>
      <c r="O26" s="111"/>
      <c r="P26" s="111"/>
      <c r="Q26" s="111"/>
      <c r="R26" s="101"/>
      <c r="S26" s="101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</row>
    <row r="27">
      <c r="A27" s="104"/>
      <c r="B27" s="104"/>
      <c r="C27" s="104"/>
      <c r="D27" s="110" t="s">
        <v>24</v>
      </c>
      <c r="E27" s="110" t="s">
        <v>313</v>
      </c>
      <c r="G27" s="136">
        <v>200.0</v>
      </c>
      <c r="H27" s="136" t="s">
        <v>26</v>
      </c>
      <c r="I27" s="137">
        <v>53000.0</v>
      </c>
      <c r="J27" s="46">
        <f t="shared" ref="J27:J29" si="26">G27*I27</f>
        <v>10600000</v>
      </c>
      <c r="K27" s="46"/>
      <c r="L27" s="116">
        <f t="shared" ref="L27:L30" si="27">(K27/J27)*100</f>
        <v>0</v>
      </c>
      <c r="M27" s="138">
        <v>6297300.0</v>
      </c>
      <c r="N27" s="116">
        <f t="shared" ref="N27:N30" si="28">(K27/J27)*100</f>
        <v>0</v>
      </c>
      <c r="O27" s="46">
        <f t="shared" ref="O27:O29" si="29">J27-K27</f>
        <v>10600000</v>
      </c>
      <c r="P27" s="46">
        <f t="shared" ref="P27:P29" si="30">J27-M27</f>
        <v>4302700</v>
      </c>
      <c r="Q27" s="46">
        <v>1.06E7</v>
      </c>
      <c r="R27" s="101"/>
      <c r="S27" s="101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</row>
    <row r="28">
      <c r="A28" s="104"/>
      <c r="B28" s="104"/>
      <c r="C28" s="104"/>
      <c r="D28" s="110" t="s">
        <v>24</v>
      </c>
      <c r="E28" s="110" t="s">
        <v>42</v>
      </c>
      <c r="G28" s="136">
        <v>2.0</v>
      </c>
      <c r="H28" s="136" t="s">
        <v>26</v>
      </c>
      <c r="I28" s="137">
        <v>250000.0</v>
      </c>
      <c r="J28" s="46">
        <f t="shared" si="26"/>
        <v>500000</v>
      </c>
      <c r="K28" s="46"/>
      <c r="L28" s="116">
        <f t="shared" si="27"/>
        <v>0</v>
      </c>
      <c r="M28" s="106"/>
      <c r="N28" s="116">
        <f t="shared" si="28"/>
        <v>0</v>
      </c>
      <c r="O28" s="46">
        <f t="shared" si="29"/>
        <v>500000</v>
      </c>
      <c r="P28" s="46">
        <f t="shared" si="30"/>
        <v>500000</v>
      </c>
      <c r="Q28" s="46">
        <v>500000.0</v>
      </c>
      <c r="R28" s="101"/>
      <c r="S28" s="101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</row>
    <row r="29">
      <c r="A29" s="104"/>
      <c r="B29" s="104"/>
      <c r="C29" s="104"/>
      <c r="D29" s="110" t="s">
        <v>24</v>
      </c>
      <c r="E29" s="110" t="s">
        <v>43</v>
      </c>
      <c r="G29" s="136">
        <v>2.0</v>
      </c>
      <c r="H29" s="136" t="s">
        <v>26</v>
      </c>
      <c r="I29" s="137">
        <v>300000.0</v>
      </c>
      <c r="J29" s="46">
        <f t="shared" si="26"/>
        <v>600000</v>
      </c>
      <c r="K29" s="46"/>
      <c r="L29" s="116">
        <f t="shared" si="27"/>
        <v>0</v>
      </c>
      <c r="M29" s="138">
        <v>100000.0</v>
      </c>
      <c r="N29" s="116">
        <f t="shared" si="28"/>
        <v>0</v>
      </c>
      <c r="O29" s="46">
        <f t="shared" si="29"/>
        <v>600000</v>
      </c>
      <c r="P29" s="46">
        <f t="shared" si="30"/>
        <v>500000</v>
      </c>
      <c r="Q29" s="46">
        <v>600000.0</v>
      </c>
      <c r="R29" s="139">
        <v>450000.0</v>
      </c>
      <c r="S29" s="101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</row>
    <row r="30">
      <c r="A30" s="131" t="s">
        <v>44</v>
      </c>
      <c r="B30" s="121"/>
      <c r="C30" s="122"/>
      <c r="D30" s="132" t="s">
        <v>45</v>
      </c>
      <c r="E30" s="121"/>
      <c r="F30" s="122"/>
      <c r="G30" s="133"/>
      <c r="H30" s="133"/>
      <c r="I30" s="133"/>
      <c r="J30" s="134">
        <f t="shared" ref="J30:K30" si="31">J32</f>
        <v>2000000</v>
      </c>
      <c r="K30" s="134" t="str">
        <f t="shared" si="31"/>
        <v/>
      </c>
      <c r="L30" s="116">
        <f t="shared" si="27"/>
        <v>0</v>
      </c>
      <c r="M30" s="135">
        <f>M32</f>
        <v>1110000</v>
      </c>
      <c r="N30" s="116">
        <f t="shared" si="28"/>
        <v>0</v>
      </c>
      <c r="O30" s="46">
        <f t="shared" ref="O30:P30" si="32">O32</f>
        <v>2000000</v>
      </c>
      <c r="P30" s="46">
        <f t="shared" si="32"/>
        <v>890000</v>
      </c>
      <c r="Q30" s="134">
        <v>2000000.0</v>
      </c>
      <c r="R30" s="101"/>
      <c r="S30" s="101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</row>
    <row r="31">
      <c r="A31" s="104"/>
      <c r="B31" s="104"/>
      <c r="C31" s="104"/>
      <c r="D31" s="110" t="s">
        <v>23</v>
      </c>
      <c r="G31" s="104"/>
      <c r="H31" s="104"/>
      <c r="I31" s="104"/>
      <c r="J31" s="111"/>
      <c r="K31" s="111"/>
      <c r="L31" s="116"/>
      <c r="M31" s="106"/>
      <c r="N31" s="116"/>
      <c r="O31" s="111"/>
      <c r="P31" s="111"/>
      <c r="Q31" s="111"/>
      <c r="R31" s="101"/>
      <c r="S31" s="101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</row>
    <row r="32">
      <c r="A32" s="104"/>
      <c r="B32" s="104"/>
      <c r="C32" s="104"/>
      <c r="D32" s="110" t="s">
        <v>24</v>
      </c>
      <c r="E32" s="110" t="s">
        <v>161</v>
      </c>
      <c r="G32" s="136">
        <v>4.0</v>
      </c>
      <c r="H32" s="136" t="s">
        <v>26</v>
      </c>
      <c r="I32" s="137">
        <v>500000.0</v>
      </c>
      <c r="J32" s="46">
        <f>G32*I32</f>
        <v>2000000</v>
      </c>
      <c r="K32" s="46"/>
      <c r="L32" s="116">
        <f t="shared" ref="L32:L33" si="34">(K32/J32)*100</f>
        <v>0</v>
      </c>
      <c r="M32" s="138">
        <v>1110000.0</v>
      </c>
      <c r="N32" s="116">
        <f t="shared" ref="N32:N33" si="35">(K32/J32)*100</f>
        <v>0</v>
      </c>
      <c r="O32" s="46">
        <f>J32-K32</f>
        <v>2000000</v>
      </c>
      <c r="P32" s="46">
        <f>J32-M32</f>
        <v>890000</v>
      </c>
      <c r="Q32" s="46">
        <v>2000000.0</v>
      </c>
      <c r="R32" s="101"/>
      <c r="S32" s="101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</row>
    <row r="33">
      <c r="A33" s="131" t="s">
        <v>47</v>
      </c>
      <c r="B33" s="121"/>
      <c r="C33" s="122"/>
      <c r="D33" s="132" t="s">
        <v>48</v>
      </c>
      <c r="E33" s="121"/>
      <c r="F33" s="122"/>
      <c r="G33" s="133"/>
      <c r="H33" s="133"/>
      <c r="I33" s="133"/>
      <c r="J33" s="134">
        <f t="shared" ref="J33:K33" si="33">J35</f>
        <v>32000000</v>
      </c>
      <c r="K33" s="134" t="str">
        <f t="shared" si="33"/>
        <v/>
      </c>
      <c r="L33" s="116">
        <f t="shared" si="34"/>
        <v>0</v>
      </c>
      <c r="M33" s="135">
        <f>M35</f>
        <v>7600000</v>
      </c>
      <c r="N33" s="116">
        <f t="shared" si="35"/>
        <v>0</v>
      </c>
      <c r="O33" s="46">
        <f t="shared" ref="O33:P33" si="36">O35</f>
        <v>32000000</v>
      </c>
      <c r="P33" s="46">
        <f t="shared" si="36"/>
        <v>24400000</v>
      </c>
      <c r="Q33" s="134">
        <v>3.2E7</v>
      </c>
      <c r="R33" s="101"/>
      <c r="S33" s="101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</row>
    <row r="34">
      <c r="A34" s="104"/>
      <c r="B34" s="104"/>
      <c r="C34" s="104"/>
      <c r="D34" s="110" t="s">
        <v>23</v>
      </c>
      <c r="G34" s="104"/>
      <c r="H34" s="104"/>
      <c r="I34" s="104"/>
      <c r="J34" s="111"/>
      <c r="K34" s="111"/>
      <c r="L34" s="116"/>
      <c r="M34" s="106"/>
      <c r="N34" s="116"/>
      <c r="O34" s="111"/>
      <c r="P34" s="111"/>
      <c r="Q34" s="111"/>
      <c r="R34" s="101"/>
      <c r="S34" s="101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</row>
    <row r="35">
      <c r="A35" s="104"/>
      <c r="B35" s="104"/>
      <c r="C35" s="104"/>
      <c r="D35" s="110" t="s">
        <v>24</v>
      </c>
      <c r="E35" s="110" t="s">
        <v>314</v>
      </c>
      <c r="G35" s="136">
        <v>8.0</v>
      </c>
      <c r="H35" s="136" t="s">
        <v>26</v>
      </c>
      <c r="I35" s="137">
        <v>4000000.0</v>
      </c>
      <c r="J35" s="46">
        <f>G35*I35</f>
        <v>32000000</v>
      </c>
      <c r="K35" s="46"/>
      <c r="L35" s="116">
        <f t="shared" ref="L35:L37" si="38">(K35/J35)*100</f>
        <v>0</v>
      </c>
      <c r="M35" s="138">
        <v>7600000.0</v>
      </c>
      <c r="N35" s="116">
        <f t="shared" ref="N35:N37" si="39">(K35/J35)*100</f>
        <v>0</v>
      </c>
      <c r="O35" s="46">
        <f>J35-K35</f>
        <v>32000000</v>
      </c>
      <c r="P35" s="46">
        <f>J35-M35</f>
        <v>24400000</v>
      </c>
      <c r="Q35" s="46">
        <v>3.2E7</v>
      </c>
      <c r="R35" s="101"/>
      <c r="S35" s="101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</row>
    <row r="36">
      <c r="A36" s="127" t="s">
        <v>50</v>
      </c>
      <c r="B36" s="121"/>
      <c r="C36" s="122"/>
      <c r="D36" s="127" t="s">
        <v>51</v>
      </c>
      <c r="E36" s="121"/>
      <c r="F36" s="122"/>
      <c r="G36" s="128"/>
      <c r="H36" s="128"/>
      <c r="I36" s="128"/>
      <c r="J36" s="129">
        <f t="shared" ref="J36:K36" si="37">J37+J43+J46</f>
        <v>107350000</v>
      </c>
      <c r="K36" s="129">
        <f t="shared" si="37"/>
        <v>0</v>
      </c>
      <c r="L36" s="116">
        <f t="shared" si="38"/>
        <v>0</v>
      </c>
      <c r="M36" s="130">
        <f>M37+M43+M46</f>
        <v>0</v>
      </c>
      <c r="N36" s="116">
        <f t="shared" si="39"/>
        <v>0</v>
      </c>
      <c r="O36" s="43">
        <f t="shared" ref="O36:P36" si="40">O37+O43+O46</f>
        <v>107350000</v>
      </c>
      <c r="P36" s="43">
        <f t="shared" si="40"/>
        <v>107350000</v>
      </c>
      <c r="Q36" s="129">
        <v>1.0735E8</v>
      </c>
      <c r="R36" s="139">
        <v>2.22E7</v>
      </c>
      <c r="S36" s="101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</row>
    <row r="37">
      <c r="A37" s="131" t="s">
        <v>40</v>
      </c>
      <c r="B37" s="121"/>
      <c r="C37" s="122"/>
      <c r="D37" s="132" t="s">
        <v>22</v>
      </c>
      <c r="E37" s="121"/>
      <c r="F37" s="122"/>
      <c r="G37" s="133"/>
      <c r="H37" s="133"/>
      <c r="I37" s="133"/>
      <c r="J37" s="134">
        <f t="shared" ref="J37:K37" si="41">SUM(J39:J42)</f>
        <v>73350000</v>
      </c>
      <c r="K37" s="134">
        <f t="shared" si="41"/>
        <v>0</v>
      </c>
      <c r="L37" s="116">
        <f t="shared" si="38"/>
        <v>0</v>
      </c>
      <c r="M37" s="135">
        <f>SUM(M39:M42)</f>
        <v>0</v>
      </c>
      <c r="N37" s="116">
        <f t="shared" si="39"/>
        <v>0</v>
      </c>
      <c r="O37" s="46">
        <f t="shared" ref="O37:P37" si="42">SUM(O39:O42)</f>
        <v>73350000</v>
      </c>
      <c r="P37" s="46">
        <f t="shared" si="42"/>
        <v>73350000</v>
      </c>
      <c r="Q37" s="134">
        <v>7.335E7</v>
      </c>
      <c r="R37" s="101"/>
      <c r="S37" s="101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/>
      <c r="AM37" s="99"/>
    </row>
    <row r="38">
      <c r="A38" s="104"/>
      <c r="B38" s="104"/>
      <c r="C38" s="104"/>
      <c r="D38" s="110" t="s">
        <v>23</v>
      </c>
      <c r="G38" s="104"/>
      <c r="H38" s="104"/>
      <c r="I38" s="104"/>
      <c r="J38" s="111"/>
      <c r="K38" s="111"/>
      <c r="L38" s="116"/>
      <c r="M38" s="106"/>
      <c r="N38" s="116"/>
      <c r="O38" s="111"/>
      <c r="P38" s="111"/>
      <c r="Q38" s="111"/>
      <c r="R38" s="101"/>
      <c r="S38" s="101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</row>
    <row r="39">
      <c r="A39" s="104"/>
      <c r="B39" s="104"/>
      <c r="C39" s="104"/>
      <c r="D39" s="110" t="s">
        <v>24</v>
      </c>
      <c r="E39" s="110" t="s">
        <v>315</v>
      </c>
      <c r="G39" s="136">
        <v>200.0</v>
      </c>
      <c r="H39" s="136" t="s">
        <v>26</v>
      </c>
      <c r="I39" s="137">
        <v>53000.0</v>
      </c>
      <c r="J39" s="46">
        <f t="shared" ref="J39:J42" si="43">G39*I39</f>
        <v>10600000</v>
      </c>
      <c r="K39" s="46"/>
      <c r="L39" s="116">
        <f t="shared" ref="L39:L43" si="44">(K39/J39)*100</f>
        <v>0</v>
      </c>
      <c r="M39" s="106"/>
      <c r="N39" s="116">
        <f t="shared" ref="N39:N43" si="45">(K39/J39)*100</f>
        <v>0</v>
      </c>
      <c r="O39" s="46">
        <f t="shared" ref="O39:O42" si="46">J39-K39</f>
        <v>10600000</v>
      </c>
      <c r="P39" s="46">
        <f t="shared" ref="P39:P42" si="47">J39-M39</f>
        <v>10600000</v>
      </c>
      <c r="Q39" s="46">
        <v>1.06E7</v>
      </c>
      <c r="R39" s="101"/>
      <c r="S39" s="101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99"/>
    </row>
    <row r="40">
      <c r="A40" s="104"/>
      <c r="B40" s="104"/>
      <c r="C40" s="104"/>
      <c r="D40" s="110" t="s">
        <v>24</v>
      </c>
      <c r="E40" s="110" t="s">
        <v>53</v>
      </c>
      <c r="G40" s="136">
        <v>5.0</v>
      </c>
      <c r="H40" s="136" t="s">
        <v>26</v>
      </c>
      <c r="I40" s="137">
        <v>500000.0</v>
      </c>
      <c r="J40" s="46">
        <f t="shared" si="43"/>
        <v>2500000</v>
      </c>
      <c r="K40" s="46"/>
      <c r="L40" s="116">
        <f t="shared" si="44"/>
        <v>0</v>
      </c>
      <c r="M40" s="106"/>
      <c r="N40" s="116">
        <f t="shared" si="45"/>
        <v>0</v>
      </c>
      <c r="O40" s="46">
        <f t="shared" si="46"/>
        <v>2500000</v>
      </c>
      <c r="P40" s="46">
        <f t="shared" si="47"/>
        <v>2500000</v>
      </c>
      <c r="Q40" s="46">
        <v>2500000.0</v>
      </c>
      <c r="R40" s="101"/>
      <c r="S40" s="101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/>
      <c r="AM40" s="99"/>
    </row>
    <row r="41">
      <c r="A41" s="104"/>
      <c r="B41" s="104"/>
      <c r="C41" s="104"/>
      <c r="D41" s="110" t="s">
        <v>24</v>
      </c>
      <c r="E41" s="110" t="s">
        <v>54</v>
      </c>
      <c r="G41" s="136">
        <v>1.0</v>
      </c>
      <c r="H41" s="136" t="s">
        <v>55</v>
      </c>
      <c r="I41" s="137">
        <v>250000.0</v>
      </c>
      <c r="J41" s="46">
        <f t="shared" si="43"/>
        <v>250000</v>
      </c>
      <c r="K41" s="46"/>
      <c r="L41" s="116">
        <f t="shared" si="44"/>
        <v>0</v>
      </c>
      <c r="M41" s="106"/>
      <c r="N41" s="116">
        <f t="shared" si="45"/>
        <v>0</v>
      </c>
      <c r="O41" s="46">
        <f t="shared" si="46"/>
        <v>250000</v>
      </c>
      <c r="P41" s="46">
        <f t="shared" si="47"/>
        <v>250000</v>
      </c>
      <c r="Q41" s="46">
        <v>250000.0</v>
      </c>
      <c r="R41" s="101"/>
      <c r="S41" s="101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9"/>
      <c r="AJ41" s="99"/>
      <c r="AK41" s="99"/>
      <c r="AL41" s="99"/>
      <c r="AM41" s="99"/>
    </row>
    <row r="42">
      <c r="A42" s="104"/>
      <c r="B42" s="104"/>
      <c r="C42" s="104"/>
      <c r="D42" s="110" t="s">
        <v>24</v>
      </c>
      <c r="E42" s="110" t="s">
        <v>316</v>
      </c>
      <c r="G42" s="136">
        <v>200.0</v>
      </c>
      <c r="H42" s="136" t="s">
        <v>26</v>
      </c>
      <c r="I42" s="137">
        <v>300000.0</v>
      </c>
      <c r="J42" s="46">
        <f t="shared" si="43"/>
        <v>60000000</v>
      </c>
      <c r="K42" s="46"/>
      <c r="L42" s="116">
        <f t="shared" si="44"/>
        <v>0</v>
      </c>
      <c r="M42" s="106"/>
      <c r="N42" s="116">
        <f t="shared" si="45"/>
        <v>0</v>
      </c>
      <c r="O42" s="46">
        <f t="shared" si="46"/>
        <v>60000000</v>
      </c>
      <c r="P42" s="46">
        <f t="shared" si="47"/>
        <v>60000000</v>
      </c>
      <c r="Q42" s="46">
        <v>6.0E7</v>
      </c>
      <c r="R42" s="101"/>
      <c r="S42" s="101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</row>
    <row r="43">
      <c r="A43" s="131" t="s">
        <v>47</v>
      </c>
      <c r="B43" s="121"/>
      <c r="C43" s="122"/>
      <c r="D43" s="132" t="s">
        <v>48</v>
      </c>
      <c r="E43" s="121"/>
      <c r="F43" s="122"/>
      <c r="G43" s="133"/>
      <c r="H43" s="133"/>
      <c r="I43" s="133"/>
      <c r="J43" s="134">
        <f t="shared" ref="J43:K43" si="48">J45</f>
        <v>32000000</v>
      </c>
      <c r="K43" s="134" t="str">
        <f t="shared" si="48"/>
        <v/>
      </c>
      <c r="L43" s="116">
        <f t="shared" si="44"/>
        <v>0</v>
      </c>
      <c r="M43" s="135" t="str">
        <f>M45</f>
        <v/>
      </c>
      <c r="N43" s="116">
        <f t="shared" si="45"/>
        <v>0</v>
      </c>
      <c r="O43" s="46">
        <f t="shared" ref="O43:P43" si="49">O45</f>
        <v>32000000</v>
      </c>
      <c r="P43" s="46">
        <f t="shared" si="49"/>
        <v>32000000</v>
      </c>
      <c r="Q43" s="134">
        <v>3.2E7</v>
      </c>
      <c r="R43" s="101"/>
      <c r="S43" s="101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</row>
    <row r="44">
      <c r="A44" s="104"/>
      <c r="B44" s="104"/>
      <c r="C44" s="104"/>
      <c r="D44" s="110" t="s">
        <v>23</v>
      </c>
      <c r="G44" s="104"/>
      <c r="H44" s="104"/>
      <c r="I44" s="104"/>
      <c r="J44" s="111"/>
      <c r="K44" s="111"/>
      <c r="L44" s="116"/>
      <c r="M44" s="106"/>
      <c r="N44" s="116"/>
      <c r="O44" s="111"/>
      <c r="P44" s="111"/>
      <c r="Q44" s="111"/>
      <c r="R44" s="101"/>
      <c r="S44" s="101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</row>
    <row r="45">
      <c r="A45" s="104"/>
      <c r="B45" s="104"/>
      <c r="C45" s="104"/>
      <c r="D45" s="110" t="s">
        <v>24</v>
      </c>
      <c r="E45" s="110" t="s">
        <v>317</v>
      </c>
      <c r="G45" s="136">
        <v>8.0</v>
      </c>
      <c r="H45" s="136" t="s">
        <v>26</v>
      </c>
      <c r="I45" s="137">
        <v>4000000.0</v>
      </c>
      <c r="J45" s="46">
        <f>G45*I45</f>
        <v>32000000</v>
      </c>
      <c r="K45" s="46"/>
      <c r="L45" s="116">
        <f t="shared" ref="L45:L46" si="51">(K45/J45)*100</f>
        <v>0</v>
      </c>
      <c r="M45" s="106"/>
      <c r="N45" s="116">
        <f t="shared" ref="N45:N46" si="52">(K45/J45)*100</f>
        <v>0</v>
      </c>
      <c r="O45" s="46">
        <f>J45-K45</f>
        <v>32000000</v>
      </c>
      <c r="P45" s="46">
        <f>J45-M45</f>
        <v>32000000</v>
      </c>
      <c r="Q45" s="46">
        <v>3.2E7</v>
      </c>
      <c r="R45" s="101"/>
      <c r="S45" s="101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</row>
    <row r="46">
      <c r="A46" s="131" t="s">
        <v>58</v>
      </c>
      <c r="B46" s="121"/>
      <c r="C46" s="122"/>
      <c r="D46" s="132" t="s">
        <v>34</v>
      </c>
      <c r="E46" s="121"/>
      <c r="F46" s="122"/>
      <c r="G46" s="133"/>
      <c r="H46" s="133"/>
      <c r="I46" s="133"/>
      <c r="J46" s="134">
        <f t="shared" ref="J46:K46" si="50">J48</f>
        <v>2000000</v>
      </c>
      <c r="K46" s="134" t="str">
        <f t="shared" si="50"/>
        <v/>
      </c>
      <c r="L46" s="116">
        <f t="shared" si="51"/>
        <v>0</v>
      </c>
      <c r="M46" s="135" t="str">
        <f>M48</f>
        <v/>
      </c>
      <c r="N46" s="116">
        <f t="shared" si="52"/>
        <v>0</v>
      </c>
      <c r="O46" s="46">
        <f t="shared" ref="O46:P46" si="53">O48</f>
        <v>2000000</v>
      </c>
      <c r="P46" s="46">
        <f t="shared" si="53"/>
        <v>2000000</v>
      </c>
      <c r="Q46" s="134">
        <v>2000000.0</v>
      </c>
      <c r="R46" s="101"/>
      <c r="S46" s="101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</row>
    <row r="47">
      <c r="A47" s="104"/>
      <c r="B47" s="104"/>
      <c r="C47" s="104"/>
      <c r="D47" s="110" t="s">
        <v>23</v>
      </c>
      <c r="G47" s="104"/>
      <c r="H47" s="104"/>
      <c r="I47" s="104"/>
      <c r="J47" s="111"/>
      <c r="K47" s="111"/>
      <c r="L47" s="116"/>
      <c r="M47" s="106"/>
      <c r="N47" s="116"/>
      <c r="O47" s="111"/>
      <c r="P47" s="111"/>
      <c r="Q47" s="111"/>
      <c r="R47" s="101"/>
      <c r="S47" s="101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</row>
    <row r="48">
      <c r="A48" s="104"/>
      <c r="B48" s="104"/>
      <c r="C48" s="104"/>
      <c r="D48" s="110" t="s">
        <v>24</v>
      </c>
      <c r="E48" s="110" t="s">
        <v>59</v>
      </c>
      <c r="G48" s="136">
        <v>4.0</v>
      </c>
      <c r="H48" s="136" t="s">
        <v>26</v>
      </c>
      <c r="I48" s="137">
        <v>500000.0</v>
      </c>
      <c r="J48" s="46">
        <f>G48*I48</f>
        <v>2000000</v>
      </c>
      <c r="K48" s="46"/>
      <c r="L48" s="116">
        <f t="shared" ref="L48:L50" si="55">(K48/J48)*100</f>
        <v>0</v>
      </c>
      <c r="M48" s="106"/>
      <c r="N48" s="116">
        <f t="shared" ref="N48:N50" si="56">(K48/J48)*100</f>
        <v>0</v>
      </c>
      <c r="O48" s="46">
        <f>J48-K48</f>
        <v>2000000</v>
      </c>
      <c r="P48" s="46">
        <f>J48-M48</f>
        <v>2000000</v>
      </c>
      <c r="Q48" s="46">
        <v>2000000.0</v>
      </c>
      <c r="R48" s="101"/>
      <c r="S48" s="101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</row>
    <row r="49">
      <c r="A49" s="127" t="s">
        <v>60</v>
      </c>
      <c r="B49" s="121"/>
      <c r="C49" s="122"/>
      <c r="D49" s="127" t="s">
        <v>61</v>
      </c>
      <c r="E49" s="121"/>
      <c r="F49" s="122"/>
      <c r="G49" s="128"/>
      <c r="H49" s="128"/>
      <c r="I49" s="128"/>
      <c r="J49" s="129">
        <f t="shared" ref="J49:K49" si="54">J50+J53+J57+J60+J63</f>
        <v>320600000</v>
      </c>
      <c r="K49" s="129">
        <f t="shared" si="54"/>
        <v>0</v>
      </c>
      <c r="L49" s="116">
        <f t="shared" si="55"/>
        <v>0</v>
      </c>
      <c r="M49" s="130">
        <f>M50+M53+M57+M60+M63</f>
        <v>14972662</v>
      </c>
      <c r="N49" s="116">
        <f t="shared" si="56"/>
        <v>0</v>
      </c>
      <c r="O49" s="43">
        <f t="shared" ref="O49:P49" si="57">O50+O53+O57+O60+O63</f>
        <v>288600000</v>
      </c>
      <c r="P49" s="43">
        <f t="shared" si="57"/>
        <v>273627338</v>
      </c>
      <c r="Q49" s="129">
        <v>2.886E8</v>
      </c>
      <c r="R49" s="101"/>
      <c r="S49" s="101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</row>
    <row r="50">
      <c r="A50" s="131" t="s">
        <v>40</v>
      </c>
      <c r="B50" s="121"/>
      <c r="C50" s="122"/>
      <c r="D50" s="132" t="s">
        <v>22</v>
      </c>
      <c r="E50" s="121"/>
      <c r="F50" s="122"/>
      <c r="G50" s="133"/>
      <c r="H50" s="133"/>
      <c r="I50" s="133"/>
      <c r="J50" s="134">
        <f t="shared" ref="J50:K50" si="58">J52</f>
        <v>63600000</v>
      </c>
      <c r="K50" s="134" t="str">
        <f t="shared" si="58"/>
        <v/>
      </c>
      <c r="L50" s="116">
        <f t="shared" si="55"/>
        <v>0</v>
      </c>
      <c r="M50" s="135">
        <f>M52</f>
        <v>788020</v>
      </c>
      <c r="N50" s="116">
        <f t="shared" si="56"/>
        <v>0</v>
      </c>
      <c r="O50" s="46">
        <f t="shared" ref="O50:P50" si="59">O52</f>
        <v>63600000</v>
      </c>
      <c r="P50" s="46">
        <f t="shared" si="59"/>
        <v>62811980</v>
      </c>
      <c r="Q50" s="134">
        <v>6.36E7</v>
      </c>
      <c r="R50" s="101"/>
      <c r="S50" s="101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</row>
    <row r="51">
      <c r="A51" s="104"/>
      <c r="B51" s="104"/>
      <c r="C51" s="104"/>
      <c r="D51" s="110" t="s">
        <v>23</v>
      </c>
      <c r="G51" s="104"/>
      <c r="H51" s="104"/>
      <c r="I51" s="104"/>
      <c r="J51" s="111"/>
      <c r="K51" s="111"/>
      <c r="L51" s="116"/>
      <c r="M51" s="106"/>
      <c r="N51" s="116"/>
      <c r="O51" s="111"/>
      <c r="P51" s="111"/>
      <c r="Q51" s="111"/>
      <c r="R51" s="101"/>
      <c r="S51" s="101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99"/>
      <c r="AM51" s="99"/>
    </row>
    <row r="52">
      <c r="A52" s="104"/>
      <c r="B52" s="104"/>
      <c r="C52" s="104"/>
      <c r="D52" s="110" t="s">
        <v>24</v>
      </c>
      <c r="E52" s="110" t="s">
        <v>318</v>
      </c>
      <c r="G52" s="136">
        <v>1200.0</v>
      </c>
      <c r="H52" s="136" t="s">
        <v>26</v>
      </c>
      <c r="I52" s="137">
        <v>53000.0</v>
      </c>
      <c r="J52" s="46">
        <f>G52*I52</f>
        <v>63600000</v>
      </c>
      <c r="K52" s="46"/>
      <c r="L52" s="116">
        <f t="shared" ref="L52:L53" si="61">(K52/J52)*100</f>
        <v>0</v>
      </c>
      <c r="M52" s="138">
        <v>788020.0</v>
      </c>
      <c r="N52" s="116">
        <f t="shared" ref="N52:N53" si="62">(K52/J52)*100</f>
        <v>0</v>
      </c>
      <c r="O52" s="46">
        <f>J52-K52</f>
        <v>63600000</v>
      </c>
      <c r="P52" s="46">
        <f>J52-M52</f>
        <v>62811980</v>
      </c>
      <c r="Q52" s="46">
        <v>6.36E7</v>
      </c>
      <c r="R52" s="101"/>
      <c r="S52" s="101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</row>
    <row r="53">
      <c r="A53" s="131" t="s">
        <v>63</v>
      </c>
      <c r="B53" s="121"/>
      <c r="C53" s="122"/>
      <c r="D53" s="132" t="s">
        <v>64</v>
      </c>
      <c r="E53" s="121"/>
      <c r="F53" s="122"/>
      <c r="G53" s="133"/>
      <c r="H53" s="133"/>
      <c r="I53" s="133"/>
      <c r="J53" s="134">
        <f t="shared" ref="J53:K53" si="60">SUM(J55:J56)</f>
        <v>135000000</v>
      </c>
      <c r="K53" s="134">
        <f t="shared" si="60"/>
        <v>0</v>
      </c>
      <c r="L53" s="116">
        <f t="shared" si="61"/>
        <v>0</v>
      </c>
      <c r="M53" s="135">
        <f>SUM(M55:M56)</f>
        <v>3034642</v>
      </c>
      <c r="N53" s="116">
        <f t="shared" si="62"/>
        <v>0</v>
      </c>
      <c r="O53" s="46">
        <f t="shared" ref="O53:P53" si="63">SUM(O55:O56)</f>
        <v>135000000</v>
      </c>
      <c r="P53" s="46">
        <f t="shared" si="63"/>
        <v>131965358</v>
      </c>
      <c r="Q53" s="134">
        <v>1.35E8</v>
      </c>
      <c r="R53" s="101"/>
      <c r="S53" s="101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99"/>
      <c r="AJ53" s="99"/>
      <c r="AK53" s="99"/>
      <c r="AL53" s="99"/>
      <c r="AM53" s="99"/>
    </row>
    <row r="54">
      <c r="A54" s="104"/>
      <c r="B54" s="104"/>
      <c r="C54" s="104"/>
      <c r="D54" s="110" t="s">
        <v>23</v>
      </c>
      <c r="G54" s="104"/>
      <c r="H54" s="104"/>
      <c r="I54" s="104"/>
      <c r="J54" s="111"/>
      <c r="K54" s="111"/>
      <c r="L54" s="116"/>
      <c r="M54" s="106"/>
      <c r="N54" s="116"/>
      <c r="O54" s="111"/>
      <c r="P54" s="111"/>
      <c r="Q54" s="111"/>
      <c r="R54" s="101"/>
      <c r="S54" s="101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</row>
    <row r="55">
      <c r="A55" s="104"/>
      <c r="B55" s="104"/>
      <c r="C55" s="104"/>
      <c r="D55" s="110" t="s">
        <v>24</v>
      </c>
      <c r="E55" s="110" t="s">
        <v>289</v>
      </c>
      <c r="G55" s="136">
        <v>1.0</v>
      </c>
      <c r="H55" s="136" t="s">
        <v>97</v>
      </c>
      <c r="I55" s="137">
        <v>9.5E7</v>
      </c>
      <c r="J55" s="46">
        <f t="shared" ref="J55:J56" si="64">G55*I55</f>
        <v>95000000</v>
      </c>
      <c r="K55" s="46"/>
      <c r="L55" s="116">
        <f t="shared" ref="L55:L57" si="65">(K55/J55)*100</f>
        <v>0</v>
      </c>
      <c r="M55" s="138">
        <v>3034642.0</v>
      </c>
      <c r="N55" s="116">
        <f t="shared" ref="N55:N57" si="66">(K55/J55)*100</f>
        <v>0</v>
      </c>
      <c r="O55" s="46">
        <f t="shared" ref="O55:O56" si="67">J55-K55</f>
        <v>95000000</v>
      </c>
      <c r="P55" s="46">
        <f t="shared" ref="P55:P56" si="68">J55-M55</f>
        <v>91965358</v>
      </c>
      <c r="Q55" s="46">
        <v>9.5E7</v>
      </c>
      <c r="R55" s="139">
        <v>8.75E7</v>
      </c>
      <c r="S55" s="101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  <c r="AJ55" s="99"/>
      <c r="AK55" s="99"/>
      <c r="AL55" s="99"/>
      <c r="AM55" s="99"/>
    </row>
    <row r="56">
      <c r="A56" s="104"/>
      <c r="B56" s="104"/>
      <c r="C56" s="104"/>
      <c r="D56" s="110" t="s">
        <v>24</v>
      </c>
      <c r="E56" s="110" t="s">
        <v>319</v>
      </c>
      <c r="G56" s="136">
        <v>200.0</v>
      </c>
      <c r="H56" s="136" t="s">
        <v>26</v>
      </c>
      <c r="I56" s="137">
        <v>200000.0</v>
      </c>
      <c r="J56" s="46">
        <f t="shared" si="64"/>
        <v>40000000</v>
      </c>
      <c r="K56" s="46"/>
      <c r="L56" s="116">
        <f t="shared" si="65"/>
        <v>0</v>
      </c>
      <c r="M56" s="106"/>
      <c r="N56" s="116">
        <f t="shared" si="66"/>
        <v>0</v>
      </c>
      <c r="O56" s="46">
        <f t="shared" si="67"/>
        <v>40000000</v>
      </c>
      <c r="P56" s="46">
        <f t="shared" si="68"/>
        <v>40000000</v>
      </c>
      <c r="Q56" s="46">
        <v>4.0E7</v>
      </c>
      <c r="R56" s="139">
        <v>2.635E7</v>
      </c>
      <c r="S56" s="101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99"/>
    </row>
    <row r="57">
      <c r="A57" s="131" t="s">
        <v>68</v>
      </c>
      <c r="B57" s="121"/>
      <c r="C57" s="122"/>
      <c r="D57" s="132" t="s">
        <v>69</v>
      </c>
      <c r="E57" s="121"/>
      <c r="F57" s="122"/>
      <c r="G57" s="133"/>
      <c r="H57" s="133"/>
      <c r="I57" s="133"/>
      <c r="J57" s="134">
        <f t="shared" ref="J57:K57" si="69">SUM(J59:J60)</f>
        <v>42000000</v>
      </c>
      <c r="K57" s="134">
        <f t="shared" si="69"/>
        <v>0</v>
      </c>
      <c r="L57" s="116">
        <f t="shared" si="65"/>
        <v>0</v>
      </c>
      <c r="M57" s="135">
        <f>SUM(M59:M60)</f>
        <v>0</v>
      </c>
      <c r="N57" s="116">
        <f t="shared" si="66"/>
        <v>0</v>
      </c>
      <c r="O57" s="46">
        <f t="shared" ref="O57:P57" si="70">O59</f>
        <v>10000000</v>
      </c>
      <c r="P57" s="46">
        <f t="shared" si="70"/>
        <v>10000000</v>
      </c>
      <c r="Q57" s="134">
        <v>1.0E7</v>
      </c>
      <c r="R57" s="101"/>
      <c r="S57" s="101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J57" s="99"/>
      <c r="AK57" s="99"/>
      <c r="AL57" s="99"/>
      <c r="AM57" s="99"/>
    </row>
    <row r="58">
      <c r="A58" s="104"/>
      <c r="B58" s="104"/>
      <c r="C58" s="104"/>
      <c r="D58" s="110" t="s">
        <v>23</v>
      </c>
      <c r="G58" s="104"/>
      <c r="H58" s="104"/>
      <c r="I58" s="104"/>
      <c r="J58" s="111"/>
      <c r="K58" s="111"/>
      <c r="L58" s="116"/>
      <c r="M58" s="106"/>
      <c r="N58" s="116"/>
      <c r="O58" s="111"/>
      <c r="P58" s="111"/>
      <c r="Q58" s="111"/>
      <c r="R58" s="101"/>
      <c r="S58" s="101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9"/>
      <c r="AM58" s="99"/>
    </row>
    <row r="59">
      <c r="A59" s="104"/>
      <c r="B59" s="104"/>
      <c r="C59" s="104"/>
      <c r="D59" s="110" t="s">
        <v>24</v>
      </c>
      <c r="E59" s="110" t="s">
        <v>70</v>
      </c>
      <c r="G59" s="136">
        <v>20.0</v>
      </c>
      <c r="H59" s="136" t="s">
        <v>26</v>
      </c>
      <c r="I59" s="137">
        <v>500000.0</v>
      </c>
      <c r="J59" s="46">
        <f>G59*I59</f>
        <v>10000000</v>
      </c>
      <c r="K59" s="46"/>
      <c r="L59" s="116">
        <f t="shared" ref="L59:L60" si="72">(K59/J59)*100</f>
        <v>0</v>
      </c>
      <c r="M59" s="106"/>
      <c r="N59" s="116">
        <f t="shared" ref="N59:N60" si="73">(K59/J59)*100</f>
        <v>0</v>
      </c>
      <c r="O59" s="46">
        <f>J59-K59</f>
        <v>10000000</v>
      </c>
      <c r="P59" s="46">
        <f>J59-M59</f>
        <v>10000000</v>
      </c>
      <c r="Q59" s="46">
        <v>1.0E7</v>
      </c>
      <c r="R59" s="101"/>
      <c r="S59" s="101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/>
      <c r="AM59" s="99"/>
    </row>
    <row r="60">
      <c r="A60" s="131" t="s">
        <v>47</v>
      </c>
      <c r="B60" s="121"/>
      <c r="C60" s="122"/>
      <c r="D60" s="132" t="s">
        <v>48</v>
      </c>
      <c r="E60" s="121"/>
      <c r="F60" s="122"/>
      <c r="G60" s="133"/>
      <c r="H60" s="133"/>
      <c r="I60" s="133"/>
      <c r="J60" s="134">
        <f t="shared" ref="J60:K60" si="71">J62</f>
        <v>32000000</v>
      </c>
      <c r="K60" s="134" t="str">
        <f t="shared" si="71"/>
        <v/>
      </c>
      <c r="L60" s="116">
        <f t="shared" si="72"/>
        <v>0</v>
      </c>
      <c r="M60" s="135" t="str">
        <f>M62</f>
        <v/>
      </c>
      <c r="N60" s="116">
        <f t="shared" si="73"/>
        <v>0</v>
      </c>
      <c r="O60" s="46">
        <f t="shared" ref="O60:P60" si="74">O62</f>
        <v>32000000</v>
      </c>
      <c r="P60" s="46">
        <f t="shared" si="74"/>
        <v>32000000</v>
      </c>
      <c r="Q60" s="134">
        <v>3.2E7</v>
      </c>
      <c r="R60" s="101"/>
      <c r="S60" s="101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  <c r="AJ60" s="99"/>
      <c r="AK60" s="99"/>
      <c r="AL60" s="99"/>
      <c r="AM60" s="99"/>
    </row>
    <row r="61">
      <c r="A61" s="104"/>
      <c r="B61" s="104"/>
      <c r="C61" s="104"/>
      <c r="D61" s="110" t="s">
        <v>23</v>
      </c>
      <c r="G61" s="104"/>
      <c r="H61" s="104"/>
      <c r="I61" s="104"/>
      <c r="J61" s="111"/>
      <c r="K61" s="111"/>
      <c r="L61" s="116"/>
      <c r="M61" s="106"/>
      <c r="N61" s="116"/>
      <c r="O61" s="111"/>
      <c r="P61" s="111"/>
      <c r="Q61" s="111"/>
      <c r="R61" s="101"/>
      <c r="S61" s="101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  <c r="AJ61" s="99"/>
      <c r="AK61" s="99"/>
      <c r="AL61" s="99"/>
      <c r="AM61" s="99"/>
    </row>
    <row r="62">
      <c r="A62" s="104"/>
      <c r="B62" s="104"/>
      <c r="C62" s="104"/>
      <c r="D62" s="110" t="s">
        <v>24</v>
      </c>
      <c r="E62" s="110" t="s">
        <v>317</v>
      </c>
      <c r="G62" s="136">
        <v>8.0</v>
      </c>
      <c r="H62" s="136" t="s">
        <v>26</v>
      </c>
      <c r="I62" s="137">
        <v>4000000.0</v>
      </c>
      <c r="J62" s="46">
        <f>G62*I62</f>
        <v>32000000</v>
      </c>
      <c r="K62" s="46"/>
      <c r="L62" s="116">
        <f t="shared" ref="L62:L63" si="76">(K62/J62)*100</f>
        <v>0</v>
      </c>
      <c r="M62" s="106"/>
      <c r="N62" s="116">
        <f t="shared" ref="N62:N63" si="77">(K62/J62)*100</f>
        <v>0</v>
      </c>
      <c r="O62" s="46">
        <f>J62-K62</f>
        <v>32000000</v>
      </c>
      <c r="P62" s="46">
        <f>J62-M62</f>
        <v>32000000</v>
      </c>
      <c r="Q62" s="46">
        <v>3.2E7</v>
      </c>
      <c r="R62" s="139">
        <v>2.28E7</v>
      </c>
      <c r="S62" s="101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</row>
    <row r="63">
      <c r="A63" s="131" t="s">
        <v>58</v>
      </c>
      <c r="B63" s="121"/>
      <c r="C63" s="122"/>
      <c r="D63" s="132" t="s">
        <v>34</v>
      </c>
      <c r="E63" s="121"/>
      <c r="F63" s="122"/>
      <c r="G63" s="133"/>
      <c r="H63" s="133"/>
      <c r="I63" s="133"/>
      <c r="J63" s="134">
        <f t="shared" ref="J63:K63" si="75">J65</f>
        <v>48000000</v>
      </c>
      <c r="K63" s="134" t="str">
        <f t="shared" si="75"/>
        <v/>
      </c>
      <c r="L63" s="116">
        <f t="shared" si="76"/>
        <v>0</v>
      </c>
      <c r="M63" s="135">
        <f>M65</f>
        <v>11150000</v>
      </c>
      <c r="N63" s="116">
        <f t="shared" si="77"/>
        <v>0</v>
      </c>
      <c r="O63" s="46">
        <f t="shared" ref="O63:P63" si="78">O65</f>
        <v>48000000</v>
      </c>
      <c r="P63" s="46">
        <f t="shared" si="78"/>
        <v>36850000</v>
      </c>
      <c r="Q63" s="134">
        <v>4.8E7</v>
      </c>
      <c r="R63" s="101"/>
      <c r="S63" s="101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  <c r="AI63" s="99"/>
      <c r="AJ63" s="99"/>
      <c r="AK63" s="99"/>
      <c r="AL63" s="99"/>
      <c r="AM63" s="99"/>
    </row>
    <row r="64">
      <c r="A64" s="104"/>
      <c r="B64" s="104"/>
      <c r="C64" s="104"/>
      <c r="D64" s="110" t="s">
        <v>23</v>
      </c>
      <c r="G64" s="104"/>
      <c r="H64" s="104"/>
      <c r="I64" s="104"/>
      <c r="J64" s="111"/>
      <c r="K64" s="111"/>
      <c r="L64" s="116"/>
      <c r="M64" s="106"/>
      <c r="N64" s="116"/>
      <c r="O64" s="111"/>
      <c r="P64" s="111"/>
      <c r="Q64" s="111"/>
      <c r="R64" s="101"/>
      <c r="S64" s="101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  <c r="AH64" s="99"/>
      <c r="AI64" s="99"/>
      <c r="AJ64" s="99"/>
      <c r="AK64" s="99"/>
      <c r="AL64" s="99"/>
      <c r="AM64" s="99"/>
    </row>
    <row r="65">
      <c r="A65" s="104"/>
      <c r="B65" s="104"/>
      <c r="C65" s="104"/>
      <c r="D65" s="110" t="s">
        <v>24</v>
      </c>
      <c r="E65" s="110" t="s">
        <v>71</v>
      </c>
      <c r="G65" s="136">
        <v>96.0</v>
      </c>
      <c r="H65" s="136" t="s">
        <v>26</v>
      </c>
      <c r="I65" s="137">
        <v>500000.0</v>
      </c>
      <c r="J65" s="46">
        <f>G65*I65</f>
        <v>48000000</v>
      </c>
      <c r="K65" s="46"/>
      <c r="L65" s="116">
        <f t="shared" ref="L65:L67" si="80">(K65/J65)*100</f>
        <v>0</v>
      </c>
      <c r="M65" s="138">
        <v>1.115E7</v>
      </c>
      <c r="N65" s="116">
        <f t="shared" ref="N65:N67" si="81">(K65/J65)*100</f>
        <v>0</v>
      </c>
      <c r="O65" s="46">
        <f>J65-K65</f>
        <v>48000000</v>
      </c>
      <c r="P65" s="46">
        <f>J65-M65</f>
        <v>36850000</v>
      </c>
      <c r="Q65" s="46">
        <v>4.8E7</v>
      </c>
      <c r="R65" s="101"/>
      <c r="S65" s="101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</row>
    <row r="66">
      <c r="A66" s="127" t="s">
        <v>72</v>
      </c>
      <c r="B66" s="121"/>
      <c r="C66" s="122"/>
      <c r="D66" s="127" t="s">
        <v>73</v>
      </c>
      <c r="E66" s="121"/>
      <c r="F66" s="122"/>
      <c r="G66" s="128"/>
      <c r="H66" s="128"/>
      <c r="I66" s="128"/>
      <c r="J66" s="129">
        <f t="shared" ref="J66:K66" si="79">J67+J72</f>
        <v>151200000</v>
      </c>
      <c r="K66" s="129">
        <f t="shared" si="79"/>
        <v>57156900</v>
      </c>
      <c r="L66" s="116">
        <f t="shared" si="80"/>
        <v>37.80218254</v>
      </c>
      <c r="M66" s="130">
        <f>M67+M72</f>
        <v>170000</v>
      </c>
      <c r="N66" s="116">
        <f t="shared" si="81"/>
        <v>37.80218254</v>
      </c>
      <c r="O66" s="43">
        <f t="shared" ref="O66:P66" si="82">O67+O72</f>
        <v>94043100</v>
      </c>
      <c r="P66" s="43">
        <f t="shared" si="82"/>
        <v>151030000</v>
      </c>
      <c r="Q66" s="129">
        <v>1.512E8</v>
      </c>
      <c r="R66" s="101"/>
      <c r="S66" s="101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99"/>
      <c r="AM66" s="99"/>
    </row>
    <row r="67">
      <c r="A67" s="131" t="s">
        <v>74</v>
      </c>
      <c r="B67" s="121"/>
      <c r="C67" s="122"/>
      <c r="D67" s="132" t="s">
        <v>75</v>
      </c>
      <c r="E67" s="121"/>
      <c r="F67" s="122"/>
      <c r="G67" s="133"/>
      <c r="H67" s="133"/>
      <c r="I67" s="133"/>
      <c r="J67" s="134">
        <f t="shared" ref="J67:K67" si="83">SUM(J69:J71)</f>
        <v>142700000</v>
      </c>
      <c r="K67" s="134">
        <f t="shared" si="83"/>
        <v>57156900</v>
      </c>
      <c r="L67" s="116">
        <f t="shared" si="80"/>
        <v>40.05388928</v>
      </c>
      <c r="M67" s="135">
        <f>SUM(M69:M71)</f>
        <v>0</v>
      </c>
      <c r="N67" s="116">
        <f t="shared" si="81"/>
        <v>40.05388928</v>
      </c>
      <c r="O67" s="46">
        <f t="shared" ref="O67:P67" si="84">SUM(O69:O71)</f>
        <v>85543100</v>
      </c>
      <c r="P67" s="46">
        <f t="shared" si="84"/>
        <v>142700000</v>
      </c>
      <c r="Q67" s="134">
        <v>1.427E8</v>
      </c>
      <c r="R67" s="101"/>
      <c r="S67" s="101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</row>
    <row r="68">
      <c r="A68" s="104"/>
      <c r="B68" s="104"/>
      <c r="C68" s="104"/>
      <c r="D68" s="110" t="s">
        <v>23</v>
      </c>
      <c r="G68" s="104"/>
      <c r="H68" s="104"/>
      <c r="I68" s="104"/>
      <c r="J68" s="111"/>
      <c r="K68" s="111"/>
      <c r="L68" s="116"/>
      <c r="M68" s="106"/>
      <c r="N68" s="116"/>
      <c r="O68" s="111"/>
      <c r="P68" s="111"/>
      <c r="Q68" s="111"/>
      <c r="R68" s="101"/>
      <c r="S68" s="101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  <c r="AH68" s="99"/>
      <c r="AI68" s="99"/>
      <c r="AJ68" s="99"/>
      <c r="AK68" s="99"/>
      <c r="AL68" s="99"/>
      <c r="AM68" s="99"/>
    </row>
    <row r="69">
      <c r="A69" s="104"/>
      <c r="B69" s="104"/>
      <c r="C69" s="104"/>
      <c r="D69" s="110" t="s">
        <v>24</v>
      </c>
      <c r="E69" s="110" t="s">
        <v>76</v>
      </c>
      <c r="G69" s="136">
        <v>20.0</v>
      </c>
      <c r="H69" s="136" t="s">
        <v>26</v>
      </c>
      <c r="I69" s="137">
        <v>5000000.0</v>
      </c>
      <c r="J69" s="46">
        <f t="shared" ref="J69:J71" si="85">G69*I69</f>
        <v>100000000</v>
      </c>
      <c r="K69" s="46">
        <v>3.79029E7</v>
      </c>
      <c r="L69" s="116">
        <f t="shared" ref="L69:L72" si="86">(K69/J69)*100</f>
        <v>37.9029</v>
      </c>
      <c r="M69" s="106"/>
      <c r="N69" s="116">
        <f t="shared" ref="N69:N72" si="87">(K69/J69)*100</f>
        <v>37.9029</v>
      </c>
      <c r="O69" s="46">
        <f t="shared" ref="O69:O71" si="88">J69-K69</f>
        <v>62097100</v>
      </c>
      <c r="P69" s="46">
        <f t="shared" ref="P69:P71" si="89">J69-M69</f>
        <v>100000000</v>
      </c>
      <c r="Q69" s="46">
        <v>1.0E8</v>
      </c>
      <c r="R69" s="101"/>
      <c r="S69" s="101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/>
      <c r="AK69" s="99"/>
      <c r="AL69" s="99"/>
      <c r="AM69" s="99"/>
    </row>
    <row r="70">
      <c r="A70" s="104"/>
      <c r="B70" s="104"/>
      <c r="C70" s="104"/>
      <c r="D70" s="110" t="s">
        <v>24</v>
      </c>
      <c r="E70" s="110" t="s">
        <v>77</v>
      </c>
      <c r="G70" s="136">
        <v>30.0</v>
      </c>
      <c r="H70" s="136" t="s">
        <v>26</v>
      </c>
      <c r="I70" s="137">
        <v>850000.0</v>
      </c>
      <c r="J70" s="46">
        <f t="shared" si="85"/>
        <v>25500000</v>
      </c>
      <c r="K70" s="46">
        <v>1.3406E7</v>
      </c>
      <c r="L70" s="116">
        <f t="shared" si="86"/>
        <v>52.57254902</v>
      </c>
      <c r="M70" s="106"/>
      <c r="N70" s="116">
        <f t="shared" si="87"/>
        <v>52.57254902</v>
      </c>
      <c r="O70" s="46">
        <f t="shared" si="88"/>
        <v>12094000</v>
      </c>
      <c r="P70" s="46">
        <f t="shared" si="89"/>
        <v>25500000</v>
      </c>
      <c r="Q70" s="46">
        <v>2.55E7</v>
      </c>
      <c r="R70" s="101"/>
      <c r="S70" s="101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  <c r="AI70" s="99"/>
      <c r="AJ70" s="99"/>
      <c r="AK70" s="99"/>
      <c r="AL70" s="99"/>
      <c r="AM70" s="99"/>
    </row>
    <row r="71">
      <c r="A71" s="104"/>
      <c r="B71" s="104"/>
      <c r="C71" s="104"/>
      <c r="D71" s="110" t="s">
        <v>24</v>
      </c>
      <c r="E71" s="110" t="s">
        <v>78</v>
      </c>
      <c r="G71" s="136">
        <v>40.0</v>
      </c>
      <c r="H71" s="136" t="s">
        <v>26</v>
      </c>
      <c r="I71" s="137">
        <v>430000.0</v>
      </c>
      <c r="J71" s="46">
        <f t="shared" si="85"/>
        <v>17200000</v>
      </c>
      <c r="K71" s="46">
        <v>5848000.0</v>
      </c>
      <c r="L71" s="116">
        <f t="shared" si="86"/>
        <v>34</v>
      </c>
      <c r="M71" s="106"/>
      <c r="N71" s="116">
        <f t="shared" si="87"/>
        <v>34</v>
      </c>
      <c r="O71" s="46">
        <f t="shared" si="88"/>
        <v>11352000</v>
      </c>
      <c r="P71" s="46">
        <f t="shared" si="89"/>
        <v>17200000</v>
      </c>
      <c r="Q71" s="46">
        <v>1.72E7</v>
      </c>
      <c r="R71" s="101"/>
      <c r="S71" s="101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99"/>
      <c r="AM71" s="99"/>
    </row>
    <row r="72">
      <c r="A72" s="131" t="s">
        <v>79</v>
      </c>
      <c r="B72" s="121"/>
      <c r="C72" s="122"/>
      <c r="D72" s="132" t="s">
        <v>80</v>
      </c>
      <c r="E72" s="121"/>
      <c r="F72" s="122"/>
      <c r="G72" s="133"/>
      <c r="H72" s="133"/>
      <c r="I72" s="133"/>
      <c r="J72" s="134">
        <f t="shared" ref="J72:K72" si="90">J74</f>
        <v>8500000</v>
      </c>
      <c r="K72" s="134" t="str">
        <f t="shared" si="90"/>
        <v/>
      </c>
      <c r="L72" s="116">
        <f t="shared" si="86"/>
        <v>0</v>
      </c>
      <c r="M72" s="135">
        <f>M74</f>
        <v>170000</v>
      </c>
      <c r="N72" s="116">
        <f t="shared" si="87"/>
        <v>0</v>
      </c>
      <c r="O72" s="46">
        <f t="shared" ref="O72:P72" si="91">O74</f>
        <v>8500000</v>
      </c>
      <c r="P72" s="46">
        <f t="shared" si="91"/>
        <v>8330000</v>
      </c>
      <c r="Q72" s="134">
        <v>8500000.0</v>
      </c>
      <c r="R72" s="101"/>
      <c r="S72" s="101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  <c r="AH72" s="99"/>
      <c r="AI72" s="99"/>
      <c r="AJ72" s="99"/>
      <c r="AK72" s="99"/>
      <c r="AL72" s="99"/>
      <c r="AM72" s="99"/>
    </row>
    <row r="73">
      <c r="A73" s="104"/>
      <c r="B73" s="104"/>
      <c r="C73" s="104"/>
      <c r="D73" s="110" t="s">
        <v>23</v>
      </c>
      <c r="G73" s="104"/>
      <c r="H73" s="104"/>
      <c r="I73" s="104"/>
      <c r="J73" s="111"/>
      <c r="K73" s="111"/>
      <c r="L73" s="116"/>
      <c r="M73" s="106"/>
      <c r="N73" s="116"/>
      <c r="O73" s="111"/>
      <c r="P73" s="111"/>
      <c r="Q73" s="111"/>
      <c r="R73" s="101"/>
      <c r="S73" s="101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  <c r="AH73" s="99"/>
      <c r="AI73" s="99"/>
      <c r="AJ73" s="99"/>
      <c r="AK73" s="99"/>
      <c r="AL73" s="99"/>
      <c r="AM73" s="99"/>
    </row>
    <row r="74">
      <c r="A74" s="104"/>
      <c r="B74" s="104"/>
      <c r="C74" s="104"/>
      <c r="D74" s="110" t="s">
        <v>24</v>
      </c>
      <c r="E74" s="110" t="s">
        <v>81</v>
      </c>
      <c r="G74" s="136">
        <v>50.0</v>
      </c>
      <c r="H74" s="136" t="s">
        <v>26</v>
      </c>
      <c r="I74" s="137">
        <v>170000.0</v>
      </c>
      <c r="J74" s="46">
        <f>G74*I74</f>
        <v>8500000</v>
      </c>
      <c r="K74" s="46"/>
      <c r="L74" s="116">
        <f t="shared" ref="L74:L76" si="93">(K74/J74)*100</f>
        <v>0</v>
      </c>
      <c r="M74" s="138">
        <v>170000.0</v>
      </c>
      <c r="N74" s="116">
        <f t="shared" ref="N74:N76" si="94">(K74/J74)*100</f>
        <v>0</v>
      </c>
      <c r="O74" s="46">
        <f>J74-K74</f>
        <v>8500000</v>
      </c>
      <c r="P74" s="46">
        <f>J74-M74</f>
        <v>8330000</v>
      </c>
      <c r="Q74" s="46">
        <v>8500000.0</v>
      </c>
      <c r="R74" s="101"/>
      <c r="S74" s="101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  <c r="AK74" s="99"/>
      <c r="AL74" s="99"/>
      <c r="AM74" s="99"/>
    </row>
    <row r="75">
      <c r="A75" s="127" t="s">
        <v>82</v>
      </c>
      <c r="B75" s="121"/>
      <c r="C75" s="122"/>
      <c r="D75" s="127" t="s">
        <v>83</v>
      </c>
      <c r="E75" s="121"/>
      <c r="F75" s="122"/>
      <c r="G75" s="128"/>
      <c r="H75" s="128"/>
      <c r="I75" s="128"/>
      <c r="J75" s="129">
        <f t="shared" ref="J75:K75" si="92">J76+J81</f>
        <v>2553000000</v>
      </c>
      <c r="K75" s="129">
        <f t="shared" si="92"/>
        <v>257782000</v>
      </c>
      <c r="L75" s="116">
        <f t="shared" si="93"/>
        <v>10.09721896</v>
      </c>
      <c r="M75" s="130">
        <f>M76+M81</f>
        <v>641988960</v>
      </c>
      <c r="N75" s="116">
        <f t="shared" si="94"/>
        <v>10.09721896</v>
      </c>
      <c r="O75" s="43">
        <f t="shared" ref="O75:P75" si="95">O76+O81</f>
        <v>2295218000</v>
      </c>
      <c r="P75" s="43">
        <f t="shared" si="95"/>
        <v>1911011040</v>
      </c>
      <c r="Q75" s="129">
        <v>2.553E9</v>
      </c>
      <c r="R75" s="101"/>
      <c r="S75" s="101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99"/>
      <c r="AM75" s="99"/>
    </row>
    <row r="76">
      <c r="A76" s="131" t="s">
        <v>84</v>
      </c>
      <c r="B76" s="121"/>
      <c r="C76" s="122"/>
      <c r="D76" s="132" t="s">
        <v>85</v>
      </c>
      <c r="E76" s="121"/>
      <c r="F76" s="122"/>
      <c r="G76" s="133"/>
      <c r="H76" s="133"/>
      <c r="I76" s="133"/>
      <c r="J76" s="134">
        <f t="shared" ref="J76:K76" si="96">SUM(J78:J80)</f>
        <v>2415000000</v>
      </c>
      <c r="K76" s="134">
        <f t="shared" si="96"/>
        <v>257782000</v>
      </c>
      <c r="L76" s="116">
        <f t="shared" si="93"/>
        <v>10.6742029</v>
      </c>
      <c r="M76" s="135">
        <f>SUM(M78:M80)</f>
        <v>614348000</v>
      </c>
      <c r="N76" s="116">
        <f t="shared" si="94"/>
        <v>10.6742029</v>
      </c>
      <c r="O76" s="46">
        <f t="shared" ref="O76:P76" si="97">SUM(O78:O80)</f>
        <v>2157218000</v>
      </c>
      <c r="P76" s="46">
        <f t="shared" si="97"/>
        <v>1800652000</v>
      </c>
      <c r="Q76" s="134">
        <v>2.415E9</v>
      </c>
      <c r="R76" s="101"/>
      <c r="S76" s="101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  <c r="AH76" s="99"/>
      <c r="AI76" s="99"/>
      <c r="AJ76" s="99"/>
      <c r="AK76" s="99"/>
      <c r="AL76" s="99"/>
      <c r="AM76" s="99"/>
    </row>
    <row r="77">
      <c r="A77" s="104"/>
      <c r="B77" s="104"/>
      <c r="C77" s="104"/>
      <c r="D77" s="110" t="s">
        <v>23</v>
      </c>
      <c r="G77" s="104"/>
      <c r="H77" s="104"/>
      <c r="I77" s="104"/>
      <c r="J77" s="111"/>
      <c r="K77" s="111"/>
      <c r="L77" s="116"/>
      <c r="M77" s="106"/>
      <c r="N77" s="116"/>
      <c r="O77" s="111"/>
      <c r="P77" s="111"/>
      <c r="Q77" s="111"/>
      <c r="R77" s="101"/>
      <c r="S77" s="101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  <c r="AK77" s="99"/>
      <c r="AL77" s="99"/>
      <c r="AM77" s="99"/>
    </row>
    <row r="78">
      <c r="A78" s="104"/>
      <c r="B78" s="104"/>
      <c r="C78" s="104"/>
      <c r="D78" s="110" t="s">
        <v>24</v>
      </c>
      <c r="E78" s="110" t="s">
        <v>320</v>
      </c>
      <c r="G78" s="136">
        <v>109500.0</v>
      </c>
      <c r="H78" s="136" t="s">
        <v>87</v>
      </c>
      <c r="I78" s="137">
        <v>15000.0</v>
      </c>
      <c r="J78" s="46">
        <f t="shared" ref="J78:J80" si="98">G78*I78</f>
        <v>1642500000</v>
      </c>
      <c r="K78" s="46">
        <v>1.89E8</v>
      </c>
      <c r="L78" s="116">
        <f t="shared" ref="L78:L81" si="99">(K78/J78)*100</f>
        <v>11.50684932</v>
      </c>
      <c r="M78" s="138">
        <v>4.101E8</v>
      </c>
      <c r="N78" s="116">
        <f t="shared" ref="N78:N81" si="100">(K78/J78)*100</f>
        <v>11.50684932</v>
      </c>
      <c r="O78" s="46">
        <f t="shared" ref="O78:O80" si="101">J78-K78</f>
        <v>1453500000</v>
      </c>
      <c r="P78" s="46">
        <f t="shared" ref="P78:P80" si="102">J78-M78</f>
        <v>1232400000</v>
      </c>
      <c r="Q78" s="46">
        <v>1.6425E9</v>
      </c>
      <c r="R78" s="101"/>
      <c r="S78" s="101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99"/>
      <c r="AH78" s="99"/>
      <c r="AI78" s="99"/>
      <c r="AJ78" s="99"/>
      <c r="AK78" s="99"/>
      <c r="AL78" s="99"/>
      <c r="AM78" s="99"/>
    </row>
    <row r="79">
      <c r="A79" s="104"/>
      <c r="B79" s="104"/>
      <c r="C79" s="104"/>
      <c r="D79" s="110" t="s">
        <v>24</v>
      </c>
      <c r="E79" s="110" t="s">
        <v>88</v>
      </c>
      <c r="G79" s="136">
        <v>9000.0</v>
      </c>
      <c r="H79" s="136" t="s">
        <v>87</v>
      </c>
      <c r="I79" s="137">
        <v>25000.0</v>
      </c>
      <c r="J79" s="46">
        <f t="shared" si="98"/>
        <v>225000000</v>
      </c>
      <c r="K79" s="46">
        <v>5782000.0</v>
      </c>
      <c r="L79" s="116">
        <f t="shared" si="99"/>
        <v>2.569777778</v>
      </c>
      <c r="M79" s="138">
        <v>1.6298E7</v>
      </c>
      <c r="N79" s="116">
        <f t="shared" si="100"/>
        <v>2.569777778</v>
      </c>
      <c r="O79" s="46">
        <f t="shared" si="101"/>
        <v>219218000</v>
      </c>
      <c r="P79" s="46">
        <f t="shared" si="102"/>
        <v>208702000</v>
      </c>
      <c r="Q79" s="46">
        <v>2.25E8</v>
      </c>
      <c r="R79" s="101"/>
      <c r="S79" s="101"/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99"/>
      <c r="AF79" s="99"/>
      <c r="AG79" s="99"/>
      <c r="AH79" s="99"/>
      <c r="AI79" s="99"/>
      <c r="AJ79" s="99"/>
      <c r="AK79" s="99"/>
      <c r="AL79" s="99"/>
      <c r="AM79" s="99"/>
    </row>
    <row r="80">
      <c r="A80" s="104"/>
      <c r="B80" s="104"/>
      <c r="C80" s="104"/>
      <c r="D80" s="110" t="s">
        <v>24</v>
      </c>
      <c r="E80" s="110" t="s">
        <v>321</v>
      </c>
      <c r="G80" s="136">
        <v>73000.0</v>
      </c>
      <c r="H80" s="136" t="s">
        <v>87</v>
      </c>
      <c r="I80" s="137">
        <v>7500.0</v>
      </c>
      <c r="J80" s="46">
        <f t="shared" si="98"/>
        <v>547500000</v>
      </c>
      <c r="K80" s="46">
        <v>6.3E7</v>
      </c>
      <c r="L80" s="116">
        <f t="shared" si="99"/>
        <v>11.50684932</v>
      </c>
      <c r="M80" s="138">
        <v>1.8795E8</v>
      </c>
      <c r="N80" s="116">
        <f t="shared" si="100"/>
        <v>11.50684932</v>
      </c>
      <c r="O80" s="46">
        <f t="shared" si="101"/>
        <v>484500000</v>
      </c>
      <c r="P80" s="46">
        <f t="shared" si="102"/>
        <v>359550000</v>
      </c>
      <c r="Q80" s="46">
        <v>5.475E8</v>
      </c>
      <c r="R80" s="101"/>
      <c r="S80" s="101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99"/>
      <c r="AH80" s="99"/>
      <c r="AI80" s="99"/>
      <c r="AJ80" s="99"/>
      <c r="AK80" s="99"/>
      <c r="AL80" s="99"/>
      <c r="AM80" s="99"/>
    </row>
    <row r="81">
      <c r="A81" s="131" t="s">
        <v>63</v>
      </c>
      <c r="B81" s="121"/>
      <c r="C81" s="122"/>
      <c r="D81" s="132" t="s">
        <v>64</v>
      </c>
      <c r="E81" s="121"/>
      <c r="F81" s="122"/>
      <c r="G81" s="133"/>
      <c r="H81" s="133"/>
      <c r="I81" s="133"/>
      <c r="J81" s="134">
        <f t="shared" ref="J81:K81" si="103">SUM(J83:J84)</f>
        <v>138000000</v>
      </c>
      <c r="K81" s="134">
        <f t="shared" si="103"/>
        <v>0</v>
      </c>
      <c r="L81" s="116">
        <f t="shared" si="99"/>
        <v>0</v>
      </c>
      <c r="M81" s="135">
        <f>SUM(M83:M84)</f>
        <v>27640960</v>
      </c>
      <c r="N81" s="116">
        <f t="shared" si="100"/>
        <v>0</v>
      </c>
      <c r="O81" s="46">
        <f t="shared" ref="O81:P81" si="104">O83+O84</f>
        <v>138000000</v>
      </c>
      <c r="P81" s="46">
        <f t="shared" si="104"/>
        <v>110359040</v>
      </c>
      <c r="Q81" s="134">
        <v>1.38E8</v>
      </c>
      <c r="R81" s="101"/>
      <c r="S81" s="101"/>
      <c r="T81" s="99"/>
      <c r="U81" s="99"/>
      <c r="V81" s="99"/>
      <c r="W81" s="99"/>
      <c r="X81" s="99"/>
      <c r="Y81" s="99"/>
      <c r="Z81" s="99"/>
      <c r="AA81" s="99"/>
      <c r="AB81" s="99"/>
      <c r="AC81" s="99"/>
      <c r="AD81" s="99"/>
      <c r="AE81" s="99"/>
      <c r="AF81" s="99"/>
      <c r="AG81" s="99"/>
      <c r="AH81" s="99"/>
      <c r="AI81" s="99"/>
      <c r="AJ81" s="99"/>
      <c r="AK81" s="99"/>
      <c r="AL81" s="99"/>
      <c r="AM81" s="99"/>
    </row>
    <row r="82">
      <c r="A82" s="104"/>
      <c r="B82" s="104"/>
      <c r="C82" s="104"/>
      <c r="D82" s="110" t="s">
        <v>23</v>
      </c>
      <c r="G82" s="104"/>
      <c r="H82" s="104"/>
      <c r="I82" s="104"/>
      <c r="J82" s="111"/>
      <c r="K82" s="111"/>
      <c r="L82" s="116"/>
      <c r="M82" s="106"/>
      <c r="N82" s="116"/>
      <c r="O82" s="111"/>
      <c r="P82" s="111"/>
      <c r="Q82" s="111"/>
      <c r="R82" s="101"/>
      <c r="S82" s="101"/>
      <c r="T82" s="99"/>
      <c r="U82" s="99"/>
      <c r="V82" s="99"/>
      <c r="W82" s="99"/>
      <c r="X82" s="99"/>
      <c r="Y82" s="99"/>
      <c r="Z82" s="99"/>
      <c r="AA82" s="99"/>
      <c r="AB82" s="99"/>
      <c r="AC82" s="99"/>
      <c r="AD82" s="99"/>
      <c r="AE82" s="99"/>
      <c r="AF82" s="99"/>
      <c r="AG82" s="99"/>
      <c r="AH82" s="99"/>
      <c r="AI82" s="99"/>
      <c r="AJ82" s="99"/>
      <c r="AK82" s="99"/>
      <c r="AL82" s="99"/>
      <c r="AM82" s="99"/>
    </row>
    <row r="83">
      <c r="A83" s="104"/>
      <c r="B83" s="104"/>
      <c r="C83" s="104"/>
      <c r="D83" s="110" t="s">
        <v>24</v>
      </c>
      <c r="E83" s="110" t="s">
        <v>90</v>
      </c>
      <c r="G83" s="136">
        <v>180.0</v>
      </c>
      <c r="H83" s="136" t="s">
        <v>87</v>
      </c>
      <c r="I83" s="137">
        <v>500000.0</v>
      </c>
      <c r="J83" s="46">
        <f t="shared" ref="J83:J84" si="105">G83*I83</f>
        <v>90000000</v>
      </c>
      <c r="K83" s="46"/>
      <c r="L83" s="116">
        <f t="shared" ref="L83:L86" si="106">(K83/J83)*100</f>
        <v>0</v>
      </c>
      <c r="M83" s="138">
        <v>2890960.0</v>
      </c>
      <c r="N83" s="116">
        <f t="shared" ref="N83:N86" si="107">(K83/J83)*100</f>
        <v>0</v>
      </c>
      <c r="O83" s="46">
        <f t="shared" ref="O83:O84" si="108">J83-K83</f>
        <v>90000000</v>
      </c>
      <c r="P83" s="46">
        <f t="shared" ref="P83:P84" si="109">J83-M83</f>
        <v>87109040</v>
      </c>
      <c r="Q83" s="46">
        <v>9.0E7</v>
      </c>
      <c r="R83" s="139">
        <v>8.9383686E7</v>
      </c>
      <c r="S83" s="101"/>
      <c r="T83" s="99"/>
      <c r="U83" s="99"/>
      <c r="V83" s="99"/>
      <c r="W83" s="99"/>
      <c r="X83" s="99"/>
      <c r="Y83" s="99"/>
      <c r="Z83" s="99"/>
      <c r="AA83" s="99"/>
      <c r="AB83" s="99"/>
      <c r="AC83" s="99"/>
      <c r="AD83" s="99"/>
      <c r="AE83" s="99"/>
      <c r="AF83" s="99"/>
      <c r="AG83" s="99"/>
      <c r="AH83" s="99"/>
      <c r="AI83" s="99"/>
      <c r="AJ83" s="99"/>
      <c r="AK83" s="99"/>
      <c r="AL83" s="99"/>
      <c r="AM83" s="99"/>
    </row>
    <row r="84">
      <c r="A84" s="104"/>
      <c r="B84" s="104"/>
      <c r="C84" s="104"/>
      <c r="D84" s="110" t="s">
        <v>24</v>
      </c>
      <c r="E84" s="110" t="s">
        <v>322</v>
      </c>
      <c r="G84" s="136">
        <v>1200.0</v>
      </c>
      <c r="H84" s="136" t="s">
        <v>87</v>
      </c>
      <c r="I84" s="137">
        <v>40000.0</v>
      </c>
      <c r="J84" s="46">
        <f t="shared" si="105"/>
        <v>48000000</v>
      </c>
      <c r="K84" s="46"/>
      <c r="L84" s="116">
        <f t="shared" si="106"/>
        <v>0</v>
      </c>
      <c r="M84" s="138">
        <v>2.475E7</v>
      </c>
      <c r="N84" s="116">
        <f t="shared" si="107"/>
        <v>0</v>
      </c>
      <c r="O84" s="46">
        <f t="shared" si="108"/>
        <v>48000000</v>
      </c>
      <c r="P84" s="46">
        <f t="shared" si="109"/>
        <v>23250000</v>
      </c>
      <c r="Q84" s="46">
        <v>4.8E7</v>
      </c>
      <c r="R84" s="101"/>
      <c r="S84" s="101"/>
      <c r="T84" s="99"/>
      <c r="U84" s="99"/>
      <c r="V84" s="99"/>
      <c r="W84" s="99"/>
      <c r="X84" s="99"/>
      <c r="Y84" s="99"/>
      <c r="Z84" s="99"/>
      <c r="AA84" s="99"/>
      <c r="AB84" s="99"/>
      <c r="AC84" s="99"/>
      <c r="AD84" s="99"/>
      <c r="AE84" s="99"/>
      <c r="AF84" s="99"/>
      <c r="AG84" s="99"/>
      <c r="AH84" s="99"/>
      <c r="AI84" s="99"/>
      <c r="AJ84" s="99"/>
      <c r="AK84" s="99"/>
      <c r="AL84" s="99"/>
      <c r="AM84" s="99"/>
    </row>
    <row r="85">
      <c r="A85" s="127" t="s">
        <v>92</v>
      </c>
      <c r="B85" s="121"/>
      <c r="C85" s="122"/>
      <c r="D85" s="127" t="s">
        <v>93</v>
      </c>
      <c r="E85" s="121"/>
      <c r="F85" s="122"/>
      <c r="G85" s="128"/>
      <c r="H85" s="128"/>
      <c r="I85" s="128"/>
      <c r="J85" s="129">
        <f t="shared" ref="J85:K85" si="110">J86</f>
        <v>43636000</v>
      </c>
      <c r="K85" s="129">
        <f t="shared" si="110"/>
        <v>0</v>
      </c>
      <c r="L85" s="116">
        <f t="shared" si="106"/>
        <v>0</v>
      </c>
      <c r="M85" s="130">
        <f>M86</f>
        <v>28274842</v>
      </c>
      <c r="N85" s="116">
        <f t="shared" si="107"/>
        <v>0</v>
      </c>
      <c r="O85" s="43">
        <f t="shared" ref="O85:P85" si="111">O86</f>
        <v>43636000</v>
      </c>
      <c r="P85" s="43">
        <f t="shared" si="111"/>
        <v>15361158</v>
      </c>
      <c r="Q85" s="129">
        <v>4.3636E7</v>
      </c>
      <c r="R85" s="101"/>
      <c r="S85" s="101"/>
      <c r="T85" s="99"/>
      <c r="U85" s="99"/>
      <c r="V85" s="99"/>
      <c r="W85" s="99"/>
      <c r="X85" s="99"/>
      <c r="Y85" s="99"/>
      <c r="Z85" s="99"/>
      <c r="AA85" s="99"/>
      <c r="AB85" s="99"/>
      <c r="AC85" s="99"/>
      <c r="AD85" s="99"/>
      <c r="AE85" s="99"/>
      <c r="AF85" s="99"/>
      <c r="AG85" s="99"/>
      <c r="AH85" s="99"/>
      <c r="AI85" s="99"/>
      <c r="AJ85" s="99"/>
      <c r="AK85" s="99"/>
      <c r="AL85" s="99"/>
      <c r="AM85" s="99"/>
    </row>
    <row r="86">
      <c r="A86" s="131" t="s">
        <v>68</v>
      </c>
      <c r="B86" s="121"/>
      <c r="C86" s="122"/>
      <c r="D86" s="132" t="s">
        <v>69</v>
      </c>
      <c r="E86" s="121"/>
      <c r="F86" s="122"/>
      <c r="G86" s="133"/>
      <c r="H86" s="133"/>
      <c r="I86" s="133"/>
      <c r="J86" s="134">
        <f t="shared" ref="J86:K86" si="112">SUM(J88:J89)</f>
        <v>43636000</v>
      </c>
      <c r="K86" s="134">
        <f t="shared" si="112"/>
        <v>0</v>
      </c>
      <c r="L86" s="116">
        <f t="shared" si="106"/>
        <v>0</v>
      </c>
      <c r="M86" s="135">
        <f>SUM(M88:M89)</f>
        <v>28274842</v>
      </c>
      <c r="N86" s="116">
        <f t="shared" si="107"/>
        <v>0</v>
      </c>
      <c r="O86" s="46">
        <f t="shared" ref="O86:P86" si="113">SUM(O88:O89)</f>
        <v>43636000</v>
      </c>
      <c r="P86" s="46">
        <f t="shared" si="113"/>
        <v>15361158</v>
      </c>
      <c r="Q86" s="134">
        <v>4.3636E7</v>
      </c>
      <c r="R86" s="101"/>
      <c r="S86" s="101"/>
      <c r="T86" s="99"/>
      <c r="U86" s="99"/>
      <c r="V86" s="99"/>
      <c r="W86" s="99"/>
      <c r="X86" s="99"/>
      <c r="Y86" s="99"/>
      <c r="Z86" s="99"/>
      <c r="AA86" s="99"/>
      <c r="AB86" s="99"/>
      <c r="AC86" s="99"/>
      <c r="AD86" s="99"/>
      <c r="AE86" s="99"/>
      <c r="AF86" s="99"/>
      <c r="AG86" s="99"/>
      <c r="AH86" s="99"/>
      <c r="AI86" s="99"/>
      <c r="AJ86" s="99"/>
      <c r="AK86" s="99"/>
      <c r="AL86" s="99"/>
      <c r="AM86" s="99"/>
    </row>
    <row r="87">
      <c r="A87" s="104"/>
      <c r="B87" s="104"/>
      <c r="C87" s="104"/>
      <c r="D87" s="110" t="s">
        <v>23</v>
      </c>
      <c r="G87" s="104"/>
      <c r="H87" s="104"/>
      <c r="I87" s="104"/>
      <c r="J87" s="111"/>
      <c r="K87" s="111"/>
      <c r="L87" s="116"/>
      <c r="M87" s="106"/>
      <c r="N87" s="116"/>
      <c r="O87" s="111"/>
      <c r="P87" s="111"/>
      <c r="Q87" s="111"/>
      <c r="R87" s="101"/>
      <c r="S87" s="101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  <c r="AK87" s="99"/>
      <c r="AL87" s="99"/>
      <c r="AM87" s="99"/>
    </row>
    <row r="88">
      <c r="A88" s="104"/>
      <c r="B88" s="104"/>
      <c r="C88" s="104"/>
      <c r="D88" s="110" t="s">
        <v>24</v>
      </c>
      <c r="E88" s="110" t="s">
        <v>94</v>
      </c>
      <c r="G88" s="136">
        <v>12.0</v>
      </c>
      <c r="H88" s="136" t="s">
        <v>95</v>
      </c>
      <c r="I88" s="137">
        <v>2500000.0</v>
      </c>
      <c r="J88" s="46">
        <f t="shared" ref="J88:J89" si="114">G88*I88</f>
        <v>30000000</v>
      </c>
      <c r="K88" s="46"/>
      <c r="L88" s="116">
        <f t="shared" ref="L88:L91" si="115">(K88/J88)*100</f>
        <v>0</v>
      </c>
      <c r="M88" s="138">
        <v>3524842.0</v>
      </c>
      <c r="N88" s="116">
        <f t="shared" ref="N88:N91" si="116">(K88/J88)*100</f>
        <v>0</v>
      </c>
      <c r="O88" s="46">
        <f t="shared" ref="O88:O89" si="117">J88-K88</f>
        <v>30000000</v>
      </c>
      <c r="P88" s="46">
        <f t="shared" ref="P88:P89" si="118">J88-M88</f>
        <v>26475158</v>
      </c>
      <c r="Q88" s="46">
        <v>3.0E7</v>
      </c>
      <c r="R88" s="139">
        <v>2.8703E7</v>
      </c>
      <c r="S88" s="101"/>
      <c r="T88" s="99"/>
      <c r="U88" s="99"/>
      <c r="V88" s="99"/>
      <c r="W88" s="99"/>
      <c r="X88" s="99"/>
      <c r="Y88" s="99"/>
      <c r="Z88" s="99"/>
      <c r="AA88" s="99"/>
      <c r="AB88" s="99"/>
      <c r="AC88" s="99"/>
      <c r="AD88" s="99"/>
      <c r="AE88" s="99"/>
      <c r="AF88" s="99"/>
      <c r="AG88" s="99"/>
      <c r="AH88" s="99"/>
      <c r="AI88" s="99"/>
      <c r="AJ88" s="99"/>
      <c r="AK88" s="99"/>
      <c r="AL88" s="99"/>
      <c r="AM88" s="99"/>
    </row>
    <row r="89">
      <c r="A89" s="104"/>
      <c r="B89" s="104"/>
      <c r="C89" s="104"/>
      <c r="D89" s="110" t="s">
        <v>24</v>
      </c>
      <c r="E89" s="110" t="s">
        <v>290</v>
      </c>
      <c r="G89" s="136">
        <v>1.0</v>
      </c>
      <c r="H89" s="136" t="s">
        <v>97</v>
      </c>
      <c r="I89" s="137">
        <v>1.3636E7</v>
      </c>
      <c r="J89" s="46">
        <f t="shared" si="114"/>
        <v>13636000</v>
      </c>
      <c r="K89" s="46"/>
      <c r="L89" s="116">
        <f t="shared" si="115"/>
        <v>0</v>
      </c>
      <c r="M89" s="138">
        <v>2.475E7</v>
      </c>
      <c r="N89" s="116">
        <f t="shared" si="116"/>
        <v>0</v>
      </c>
      <c r="O89" s="46">
        <f t="shared" si="117"/>
        <v>13636000</v>
      </c>
      <c r="P89" s="46">
        <f t="shared" si="118"/>
        <v>-11114000</v>
      </c>
      <c r="Q89" s="46">
        <v>1.3636E7</v>
      </c>
      <c r="R89" s="101"/>
      <c r="S89" s="101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  <c r="AI89" s="99"/>
      <c r="AJ89" s="99"/>
      <c r="AK89" s="99"/>
      <c r="AL89" s="99"/>
      <c r="AM89" s="99"/>
    </row>
    <row r="90">
      <c r="A90" s="127" t="s">
        <v>98</v>
      </c>
      <c r="B90" s="121"/>
      <c r="C90" s="122"/>
      <c r="D90" s="127" t="s">
        <v>99</v>
      </c>
      <c r="E90" s="121"/>
      <c r="F90" s="122"/>
      <c r="G90" s="128"/>
      <c r="H90" s="128"/>
      <c r="I90" s="128"/>
      <c r="J90" s="129">
        <f t="shared" ref="J90:K90" si="119">J91+J100</f>
        <v>6760000</v>
      </c>
      <c r="K90" s="129">
        <f t="shared" si="119"/>
        <v>0</v>
      </c>
      <c r="L90" s="116">
        <f t="shared" si="115"/>
        <v>0</v>
      </c>
      <c r="M90" s="130">
        <f>M91+M100</f>
        <v>0</v>
      </c>
      <c r="N90" s="116">
        <f t="shared" si="116"/>
        <v>0</v>
      </c>
      <c r="O90" s="43">
        <f t="shared" ref="O90:P90" si="120">O91+O100</f>
        <v>6760000</v>
      </c>
      <c r="P90" s="43">
        <f t="shared" si="120"/>
        <v>6760000</v>
      </c>
      <c r="Q90" s="129">
        <v>6760000.0</v>
      </c>
      <c r="R90" s="101"/>
      <c r="S90" s="101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99"/>
      <c r="AH90" s="99"/>
      <c r="AI90" s="99"/>
      <c r="AJ90" s="99"/>
      <c r="AK90" s="99"/>
      <c r="AL90" s="99"/>
      <c r="AM90" s="99"/>
    </row>
    <row r="91">
      <c r="A91" s="131" t="s">
        <v>100</v>
      </c>
      <c r="B91" s="121"/>
      <c r="C91" s="122"/>
      <c r="D91" s="132" t="s">
        <v>101</v>
      </c>
      <c r="E91" s="121"/>
      <c r="F91" s="122"/>
      <c r="G91" s="133"/>
      <c r="H91" s="133"/>
      <c r="I91" s="133"/>
      <c r="J91" s="134">
        <f t="shared" ref="J91:K91" si="121">SUM(J93:J99)</f>
        <v>5600000</v>
      </c>
      <c r="K91" s="134">
        <f t="shared" si="121"/>
        <v>0</v>
      </c>
      <c r="L91" s="116">
        <f t="shared" si="115"/>
        <v>0</v>
      </c>
      <c r="M91" s="135">
        <f>SUM(M93:M99)</f>
        <v>0</v>
      </c>
      <c r="N91" s="116">
        <f t="shared" si="116"/>
        <v>0</v>
      </c>
      <c r="O91" s="46">
        <f t="shared" ref="O91:P91" si="122">SUM(O93:O99)</f>
        <v>5600000</v>
      </c>
      <c r="P91" s="46">
        <f t="shared" si="122"/>
        <v>5600000</v>
      </c>
      <c r="Q91" s="134">
        <v>5600000.0</v>
      </c>
      <c r="R91" s="101"/>
      <c r="S91" s="101"/>
      <c r="T91" s="99"/>
      <c r="U91" s="99"/>
      <c r="V91" s="99"/>
      <c r="W91" s="99"/>
      <c r="X91" s="99"/>
      <c r="Y91" s="99"/>
      <c r="Z91" s="99"/>
      <c r="AA91" s="99"/>
      <c r="AB91" s="99"/>
      <c r="AC91" s="99"/>
      <c r="AD91" s="99"/>
      <c r="AE91" s="99"/>
      <c r="AF91" s="99"/>
      <c r="AG91" s="99"/>
      <c r="AH91" s="99"/>
      <c r="AI91" s="99"/>
      <c r="AJ91" s="99"/>
      <c r="AK91" s="99"/>
      <c r="AL91" s="99"/>
      <c r="AM91" s="99"/>
    </row>
    <row r="92">
      <c r="A92" s="104"/>
      <c r="B92" s="104"/>
      <c r="C92" s="104"/>
      <c r="D92" s="110" t="s">
        <v>23</v>
      </c>
      <c r="G92" s="104"/>
      <c r="H92" s="104"/>
      <c r="I92" s="104"/>
      <c r="J92" s="111"/>
      <c r="K92" s="111"/>
      <c r="L92" s="116"/>
      <c r="M92" s="106"/>
      <c r="N92" s="116"/>
      <c r="O92" s="111"/>
      <c r="P92" s="111"/>
      <c r="Q92" s="111"/>
      <c r="R92" s="101"/>
      <c r="S92" s="101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  <c r="AH92" s="99"/>
      <c r="AI92" s="99"/>
      <c r="AJ92" s="99"/>
      <c r="AK92" s="99"/>
      <c r="AL92" s="99"/>
      <c r="AM92" s="99"/>
    </row>
    <row r="93">
      <c r="A93" s="104"/>
      <c r="B93" s="104"/>
      <c r="C93" s="104"/>
      <c r="D93" s="110" t="s">
        <v>24</v>
      </c>
      <c r="E93" s="110" t="s">
        <v>102</v>
      </c>
      <c r="G93" s="136">
        <v>2.0</v>
      </c>
      <c r="H93" s="136" t="s">
        <v>95</v>
      </c>
      <c r="I93" s="137">
        <v>350000.0</v>
      </c>
      <c r="J93" s="46">
        <f t="shared" ref="J93:J99" si="123">G93*I93</f>
        <v>700000</v>
      </c>
      <c r="K93" s="46"/>
      <c r="L93" s="116">
        <f t="shared" ref="L93:L100" si="124">(K93/J93)*100</f>
        <v>0</v>
      </c>
      <c r="M93" s="106"/>
      <c r="N93" s="116">
        <f t="shared" ref="N93:N100" si="125">(K93/J93)*100</f>
        <v>0</v>
      </c>
      <c r="O93" s="46">
        <f t="shared" ref="O93:O99" si="126">J93-K93</f>
        <v>700000</v>
      </c>
      <c r="P93" s="46">
        <f t="shared" ref="P93:P99" si="127">J93-M93</f>
        <v>700000</v>
      </c>
      <c r="Q93" s="46">
        <v>700000.0</v>
      </c>
      <c r="R93" s="101"/>
      <c r="S93" s="101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G93" s="99"/>
      <c r="AH93" s="99"/>
      <c r="AI93" s="99"/>
      <c r="AJ93" s="99"/>
      <c r="AK93" s="99"/>
      <c r="AL93" s="99"/>
      <c r="AM93" s="99"/>
    </row>
    <row r="94">
      <c r="A94" s="104"/>
      <c r="B94" s="104"/>
      <c r="C94" s="104"/>
      <c r="D94" s="110" t="s">
        <v>24</v>
      </c>
      <c r="E94" s="110" t="s">
        <v>103</v>
      </c>
      <c r="G94" s="136">
        <v>2.0</v>
      </c>
      <c r="H94" s="136" t="s">
        <v>95</v>
      </c>
      <c r="I94" s="137">
        <v>225000.0</v>
      </c>
      <c r="J94" s="46">
        <f t="shared" si="123"/>
        <v>450000</v>
      </c>
      <c r="K94" s="46"/>
      <c r="L94" s="116">
        <f t="shared" si="124"/>
        <v>0</v>
      </c>
      <c r="M94" s="106"/>
      <c r="N94" s="116">
        <f t="shared" si="125"/>
        <v>0</v>
      </c>
      <c r="O94" s="46">
        <f t="shared" si="126"/>
        <v>450000</v>
      </c>
      <c r="P94" s="46">
        <f t="shared" si="127"/>
        <v>450000</v>
      </c>
      <c r="Q94" s="46">
        <v>450000.0</v>
      </c>
      <c r="R94" s="101"/>
      <c r="S94" s="101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99"/>
      <c r="AH94" s="99"/>
      <c r="AI94" s="99"/>
      <c r="AJ94" s="99"/>
      <c r="AK94" s="99"/>
      <c r="AL94" s="99"/>
      <c r="AM94" s="99"/>
    </row>
    <row r="95">
      <c r="A95" s="104"/>
      <c r="B95" s="104"/>
      <c r="C95" s="104"/>
      <c r="D95" s="110" t="s">
        <v>24</v>
      </c>
      <c r="E95" s="110" t="s">
        <v>104</v>
      </c>
      <c r="G95" s="136">
        <v>2.0</v>
      </c>
      <c r="H95" s="136" t="s">
        <v>95</v>
      </c>
      <c r="I95" s="137">
        <v>450000.0</v>
      </c>
      <c r="J95" s="46">
        <f t="shared" si="123"/>
        <v>900000</v>
      </c>
      <c r="K95" s="46"/>
      <c r="L95" s="116">
        <f t="shared" si="124"/>
        <v>0</v>
      </c>
      <c r="M95" s="106"/>
      <c r="N95" s="116">
        <f t="shared" si="125"/>
        <v>0</v>
      </c>
      <c r="O95" s="46">
        <f t="shared" si="126"/>
        <v>900000</v>
      </c>
      <c r="P95" s="46">
        <f t="shared" si="127"/>
        <v>900000</v>
      </c>
      <c r="Q95" s="46">
        <v>900000.0</v>
      </c>
      <c r="R95" s="101"/>
      <c r="S95" s="101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  <c r="AI95" s="99"/>
      <c r="AJ95" s="99"/>
      <c r="AK95" s="99"/>
      <c r="AL95" s="99"/>
      <c r="AM95" s="99"/>
    </row>
    <row r="96">
      <c r="A96" s="104"/>
      <c r="B96" s="104"/>
      <c r="C96" s="104"/>
      <c r="D96" s="110" t="s">
        <v>24</v>
      </c>
      <c r="E96" s="110" t="s">
        <v>105</v>
      </c>
      <c r="G96" s="136">
        <v>2.0</v>
      </c>
      <c r="H96" s="136" t="s">
        <v>95</v>
      </c>
      <c r="I96" s="137">
        <v>250000.0</v>
      </c>
      <c r="J96" s="46">
        <f t="shared" si="123"/>
        <v>500000</v>
      </c>
      <c r="K96" s="46"/>
      <c r="L96" s="116">
        <f t="shared" si="124"/>
        <v>0</v>
      </c>
      <c r="M96" s="106"/>
      <c r="N96" s="116">
        <f t="shared" si="125"/>
        <v>0</v>
      </c>
      <c r="O96" s="46">
        <f t="shared" si="126"/>
        <v>500000</v>
      </c>
      <c r="P96" s="46">
        <f t="shared" si="127"/>
        <v>500000</v>
      </c>
      <c r="Q96" s="46">
        <v>500000.0</v>
      </c>
      <c r="R96" s="101"/>
      <c r="S96" s="101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G96" s="99"/>
      <c r="AH96" s="99"/>
      <c r="AI96" s="99"/>
      <c r="AJ96" s="99"/>
      <c r="AK96" s="99"/>
      <c r="AL96" s="99"/>
      <c r="AM96" s="99"/>
    </row>
    <row r="97">
      <c r="A97" s="104"/>
      <c r="B97" s="104"/>
      <c r="C97" s="104"/>
      <c r="D97" s="110" t="s">
        <v>24</v>
      </c>
      <c r="E97" s="110" t="s">
        <v>106</v>
      </c>
      <c r="G97" s="136">
        <v>2.0</v>
      </c>
      <c r="H97" s="136" t="s">
        <v>95</v>
      </c>
      <c r="I97" s="137">
        <v>100000.0</v>
      </c>
      <c r="J97" s="46">
        <f t="shared" si="123"/>
        <v>200000</v>
      </c>
      <c r="K97" s="46"/>
      <c r="L97" s="116">
        <f t="shared" si="124"/>
        <v>0</v>
      </c>
      <c r="M97" s="106"/>
      <c r="N97" s="116">
        <f t="shared" si="125"/>
        <v>0</v>
      </c>
      <c r="O97" s="46">
        <f t="shared" si="126"/>
        <v>200000</v>
      </c>
      <c r="P97" s="46">
        <f t="shared" si="127"/>
        <v>200000</v>
      </c>
      <c r="Q97" s="46">
        <v>200000.0</v>
      </c>
      <c r="R97" s="101"/>
      <c r="S97" s="101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99"/>
      <c r="AH97" s="99"/>
      <c r="AI97" s="99"/>
      <c r="AJ97" s="99"/>
      <c r="AK97" s="99"/>
      <c r="AL97" s="99"/>
      <c r="AM97" s="99"/>
    </row>
    <row r="98">
      <c r="A98" s="104"/>
      <c r="B98" s="104"/>
      <c r="C98" s="104"/>
      <c r="D98" s="110" t="s">
        <v>24</v>
      </c>
      <c r="E98" s="110" t="s">
        <v>107</v>
      </c>
      <c r="G98" s="136">
        <v>2.0</v>
      </c>
      <c r="H98" s="136" t="s">
        <v>95</v>
      </c>
      <c r="I98" s="137">
        <v>725000.0</v>
      </c>
      <c r="J98" s="46">
        <f t="shared" si="123"/>
        <v>1450000</v>
      </c>
      <c r="K98" s="46"/>
      <c r="L98" s="116">
        <f t="shared" si="124"/>
        <v>0</v>
      </c>
      <c r="M98" s="106"/>
      <c r="N98" s="116">
        <f t="shared" si="125"/>
        <v>0</v>
      </c>
      <c r="O98" s="46">
        <f t="shared" si="126"/>
        <v>1450000</v>
      </c>
      <c r="P98" s="46">
        <f t="shared" si="127"/>
        <v>1450000</v>
      </c>
      <c r="Q98" s="46">
        <v>1450000.0</v>
      </c>
      <c r="R98" s="101"/>
      <c r="S98" s="101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99"/>
      <c r="AH98" s="99"/>
      <c r="AI98" s="99"/>
      <c r="AJ98" s="99"/>
      <c r="AK98" s="99"/>
      <c r="AL98" s="99"/>
      <c r="AM98" s="99"/>
    </row>
    <row r="99">
      <c r="A99" s="104"/>
      <c r="B99" s="104"/>
      <c r="C99" s="104"/>
      <c r="D99" s="110" t="s">
        <v>24</v>
      </c>
      <c r="E99" s="110" t="s">
        <v>108</v>
      </c>
      <c r="G99" s="136">
        <v>2.0</v>
      </c>
      <c r="H99" s="136" t="s">
        <v>95</v>
      </c>
      <c r="I99" s="137">
        <v>700000.0</v>
      </c>
      <c r="J99" s="46">
        <f t="shared" si="123"/>
        <v>1400000</v>
      </c>
      <c r="K99" s="46"/>
      <c r="L99" s="116">
        <f t="shared" si="124"/>
        <v>0</v>
      </c>
      <c r="M99" s="106"/>
      <c r="N99" s="116">
        <f t="shared" si="125"/>
        <v>0</v>
      </c>
      <c r="O99" s="46">
        <f t="shared" si="126"/>
        <v>1400000</v>
      </c>
      <c r="P99" s="46">
        <f t="shared" si="127"/>
        <v>1400000</v>
      </c>
      <c r="Q99" s="46">
        <v>1400000.0</v>
      </c>
      <c r="R99" s="101"/>
      <c r="S99" s="101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99"/>
      <c r="AH99" s="99"/>
      <c r="AI99" s="99"/>
      <c r="AJ99" s="99"/>
      <c r="AK99" s="99"/>
      <c r="AL99" s="99"/>
      <c r="AM99" s="99"/>
    </row>
    <row r="100">
      <c r="A100" s="131" t="s">
        <v>68</v>
      </c>
      <c r="B100" s="121"/>
      <c r="C100" s="122"/>
      <c r="D100" s="132" t="s">
        <v>69</v>
      </c>
      <c r="E100" s="121"/>
      <c r="F100" s="122"/>
      <c r="G100" s="133"/>
      <c r="H100" s="133"/>
      <c r="I100" s="133"/>
      <c r="J100" s="134">
        <f t="shared" ref="J100:K100" si="128">SUM(J102:J105)</f>
        <v>1160000</v>
      </c>
      <c r="K100" s="134">
        <f t="shared" si="128"/>
        <v>0</v>
      </c>
      <c r="L100" s="116">
        <f t="shared" si="124"/>
        <v>0</v>
      </c>
      <c r="M100" s="135">
        <f>SUM(M102:M105)</f>
        <v>0</v>
      </c>
      <c r="N100" s="116">
        <f t="shared" si="125"/>
        <v>0</v>
      </c>
      <c r="O100" s="46">
        <f t="shared" ref="O100:P100" si="129">SUM(O102:O105)</f>
        <v>1160000</v>
      </c>
      <c r="P100" s="46">
        <f t="shared" si="129"/>
        <v>1160000</v>
      </c>
      <c r="Q100" s="134">
        <v>1160000.0</v>
      </c>
      <c r="R100" s="101"/>
      <c r="S100" s="101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  <c r="AI100" s="99"/>
      <c r="AJ100" s="99"/>
      <c r="AK100" s="99"/>
      <c r="AL100" s="99"/>
      <c r="AM100" s="99"/>
    </row>
    <row r="101">
      <c r="A101" s="104"/>
      <c r="B101" s="104"/>
      <c r="C101" s="104"/>
      <c r="D101" s="110" t="s">
        <v>23</v>
      </c>
      <c r="G101" s="104"/>
      <c r="H101" s="104"/>
      <c r="I101" s="104"/>
      <c r="J101" s="111"/>
      <c r="K101" s="111"/>
      <c r="L101" s="116"/>
      <c r="M101" s="106"/>
      <c r="N101" s="116"/>
      <c r="O101" s="111"/>
      <c r="P101" s="111"/>
      <c r="Q101" s="111"/>
      <c r="R101" s="101"/>
      <c r="S101" s="101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  <c r="AH101" s="99"/>
      <c r="AI101" s="99"/>
      <c r="AJ101" s="99"/>
      <c r="AK101" s="99"/>
      <c r="AL101" s="99"/>
      <c r="AM101" s="99"/>
    </row>
    <row r="102">
      <c r="A102" s="104"/>
      <c r="B102" s="104"/>
      <c r="C102" s="104"/>
      <c r="D102" s="110" t="s">
        <v>24</v>
      </c>
      <c r="E102" s="110" t="s">
        <v>109</v>
      </c>
      <c r="G102" s="136">
        <v>10.0</v>
      </c>
      <c r="H102" s="136" t="s">
        <v>95</v>
      </c>
      <c r="I102" s="137">
        <v>50000.0</v>
      </c>
      <c r="J102" s="46">
        <f t="shared" ref="J102:J105" si="130">G102*I102</f>
        <v>500000</v>
      </c>
      <c r="K102" s="46"/>
      <c r="L102" s="116">
        <f t="shared" ref="L102:L107" si="131">(K102/J102)*100</f>
        <v>0</v>
      </c>
      <c r="M102" s="106"/>
      <c r="N102" s="116">
        <f t="shared" ref="N102:N107" si="132">(K102/J102)*100</f>
        <v>0</v>
      </c>
      <c r="O102" s="46">
        <f t="shared" ref="O102:O105" si="133">J102-K102</f>
        <v>500000</v>
      </c>
      <c r="P102" s="46">
        <f t="shared" ref="P102:P105" si="134">J102-M102</f>
        <v>500000</v>
      </c>
      <c r="Q102" s="46">
        <v>500000.0</v>
      </c>
      <c r="R102" s="101"/>
      <c r="S102" s="101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  <c r="AH102" s="99"/>
      <c r="AI102" s="99"/>
      <c r="AJ102" s="99"/>
      <c r="AK102" s="99"/>
      <c r="AL102" s="99"/>
      <c r="AM102" s="99"/>
    </row>
    <row r="103">
      <c r="A103" s="104"/>
      <c r="B103" s="104"/>
      <c r="C103" s="104"/>
      <c r="D103" s="110" t="s">
        <v>24</v>
      </c>
      <c r="E103" s="110" t="s">
        <v>110</v>
      </c>
      <c r="G103" s="136">
        <v>2.0</v>
      </c>
      <c r="H103" s="136" t="s">
        <v>95</v>
      </c>
      <c r="I103" s="137">
        <v>100000.0</v>
      </c>
      <c r="J103" s="46">
        <f t="shared" si="130"/>
        <v>200000</v>
      </c>
      <c r="K103" s="46"/>
      <c r="L103" s="116">
        <f t="shared" si="131"/>
        <v>0</v>
      </c>
      <c r="M103" s="106"/>
      <c r="N103" s="116">
        <f t="shared" si="132"/>
        <v>0</v>
      </c>
      <c r="O103" s="46">
        <f t="shared" si="133"/>
        <v>200000</v>
      </c>
      <c r="P103" s="46">
        <f t="shared" si="134"/>
        <v>200000</v>
      </c>
      <c r="Q103" s="46">
        <v>200000.0</v>
      </c>
      <c r="R103" s="101"/>
      <c r="S103" s="101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  <c r="AH103" s="99"/>
      <c r="AI103" s="99"/>
      <c r="AJ103" s="99"/>
      <c r="AK103" s="99"/>
      <c r="AL103" s="99"/>
      <c r="AM103" s="99"/>
    </row>
    <row r="104">
      <c r="A104" s="104"/>
      <c r="B104" s="104"/>
      <c r="C104" s="104"/>
      <c r="D104" s="110" t="s">
        <v>24</v>
      </c>
      <c r="E104" s="110" t="s">
        <v>111</v>
      </c>
      <c r="G104" s="136">
        <v>2.0</v>
      </c>
      <c r="H104" s="136" t="s">
        <v>95</v>
      </c>
      <c r="I104" s="137">
        <v>200000.0</v>
      </c>
      <c r="J104" s="46">
        <f t="shared" si="130"/>
        <v>400000</v>
      </c>
      <c r="K104" s="46"/>
      <c r="L104" s="116">
        <f t="shared" si="131"/>
        <v>0</v>
      </c>
      <c r="M104" s="106"/>
      <c r="N104" s="116">
        <f t="shared" si="132"/>
        <v>0</v>
      </c>
      <c r="O104" s="46">
        <f t="shared" si="133"/>
        <v>400000</v>
      </c>
      <c r="P104" s="46">
        <f t="shared" si="134"/>
        <v>400000</v>
      </c>
      <c r="Q104" s="46">
        <v>400000.0</v>
      </c>
      <c r="R104" s="101"/>
      <c r="S104" s="101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  <c r="AI104" s="99"/>
      <c r="AJ104" s="99"/>
      <c r="AK104" s="99"/>
      <c r="AL104" s="99"/>
      <c r="AM104" s="99"/>
    </row>
    <row r="105">
      <c r="A105" s="104"/>
      <c r="B105" s="104"/>
      <c r="C105" s="104"/>
      <c r="D105" s="110" t="s">
        <v>24</v>
      </c>
      <c r="E105" s="110" t="s">
        <v>112</v>
      </c>
      <c r="G105" s="136">
        <v>2.0</v>
      </c>
      <c r="H105" s="136" t="s">
        <v>95</v>
      </c>
      <c r="I105" s="137">
        <v>30000.0</v>
      </c>
      <c r="J105" s="46">
        <f t="shared" si="130"/>
        <v>60000</v>
      </c>
      <c r="K105" s="46"/>
      <c r="L105" s="116">
        <f t="shared" si="131"/>
        <v>0</v>
      </c>
      <c r="M105" s="106"/>
      <c r="N105" s="116">
        <f t="shared" si="132"/>
        <v>0</v>
      </c>
      <c r="O105" s="46">
        <f t="shared" si="133"/>
        <v>60000</v>
      </c>
      <c r="P105" s="46">
        <f t="shared" si="134"/>
        <v>60000</v>
      </c>
      <c r="Q105" s="46">
        <v>60000.0</v>
      </c>
      <c r="R105" s="101"/>
      <c r="S105" s="101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  <c r="AH105" s="99"/>
      <c r="AI105" s="99"/>
      <c r="AJ105" s="99"/>
      <c r="AK105" s="99"/>
      <c r="AL105" s="99"/>
      <c r="AM105" s="99"/>
    </row>
    <row r="106">
      <c r="A106" s="127" t="s">
        <v>113</v>
      </c>
      <c r="B106" s="121"/>
      <c r="C106" s="122"/>
      <c r="D106" s="127" t="s">
        <v>114</v>
      </c>
      <c r="E106" s="121"/>
      <c r="F106" s="122"/>
      <c r="G106" s="128"/>
      <c r="H106" s="128"/>
      <c r="I106" s="128"/>
      <c r="J106" s="129">
        <f t="shared" ref="J106:K106" si="135">J107</f>
        <v>821500000</v>
      </c>
      <c r="K106" s="129">
        <f t="shared" si="135"/>
        <v>0</v>
      </c>
      <c r="L106" s="116">
        <f t="shared" si="131"/>
        <v>0</v>
      </c>
      <c r="M106" s="130">
        <f>M107</f>
        <v>0</v>
      </c>
      <c r="N106" s="116">
        <f t="shared" si="132"/>
        <v>0</v>
      </c>
      <c r="O106" s="43">
        <f t="shared" ref="O106:P106" si="136">O107</f>
        <v>821500000</v>
      </c>
      <c r="P106" s="43">
        <f t="shared" si="136"/>
        <v>821500000</v>
      </c>
      <c r="Q106" s="129">
        <v>8.215E8</v>
      </c>
      <c r="R106" s="101"/>
      <c r="S106" s="101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  <c r="AI106" s="99"/>
      <c r="AJ106" s="99"/>
      <c r="AK106" s="99"/>
      <c r="AL106" s="99"/>
      <c r="AM106" s="99"/>
    </row>
    <row r="107">
      <c r="A107" s="131" t="s">
        <v>68</v>
      </c>
      <c r="B107" s="121"/>
      <c r="C107" s="122"/>
      <c r="D107" s="132" t="s">
        <v>69</v>
      </c>
      <c r="E107" s="121"/>
      <c r="F107" s="122"/>
      <c r="G107" s="133"/>
      <c r="H107" s="133"/>
      <c r="I107" s="133"/>
      <c r="J107" s="134">
        <f t="shared" ref="J107:K107" si="137">SUM(J109:J119)</f>
        <v>821500000</v>
      </c>
      <c r="K107" s="134">
        <f t="shared" si="137"/>
        <v>0</v>
      </c>
      <c r="L107" s="116">
        <f t="shared" si="131"/>
        <v>0</v>
      </c>
      <c r="M107" s="135">
        <f>SUM(M109:M119)</f>
        <v>0</v>
      </c>
      <c r="N107" s="116">
        <f t="shared" si="132"/>
        <v>0</v>
      </c>
      <c r="O107" s="46">
        <f t="shared" ref="O107:P107" si="138">SUM(O109:O119)</f>
        <v>821500000</v>
      </c>
      <c r="P107" s="46">
        <f t="shared" si="138"/>
        <v>821500000</v>
      </c>
      <c r="Q107" s="134">
        <v>8.215E8</v>
      </c>
      <c r="R107" s="101"/>
      <c r="S107" s="101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  <c r="AH107" s="99"/>
      <c r="AI107" s="99"/>
      <c r="AJ107" s="99"/>
      <c r="AK107" s="99"/>
      <c r="AL107" s="99"/>
      <c r="AM107" s="99"/>
    </row>
    <row r="108">
      <c r="A108" s="104"/>
      <c r="B108" s="104"/>
      <c r="C108" s="104"/>
      <c r="D108" s="110" t="s">
        <v>23</v>
      </c>
      <c r="G108" s="104"/>
      <c r="H108" s="104"/>
      <c r="I108" s="104"/>
      <c r="J108" s="111"/>
      <c r="K108" s="111"/>
      <c r="L108" s="116"/>
      <c r="M108" s="106"/>
      <c r="N108" s="116"/>
      <c r="O108" s="111"/>
      <c r="P108" s="111"/>
      <c r="Q108" s="111"/>
      <c r="R108" s="101"/>
      <c r="S108" s="101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  <c r="AI108" s="99"/>
      <c r="AJ108" s="99"/>
      <c r="AK108" s="99"/>
      <c r="AL108" s="99"/>
      <c r="AM108" s="99"/>
    </row>
    <row r="109">
      <c r="A109" s="104"/>
      <c r="B109" s="104"/>
      <c r="C109" s="104"/>
      <c r="D109" s="110" t="s">
        <v>24</v>
      </c>
      <c r="E109" s="110" t="s">
        <v>323</v>
      </c>
      <c r="G109" s="136">
        <v>200.0</v>
      </c>
      <c r="H109" s="136" t="s">
        <v>95</v>
      </c>
      <c r="I109" s="137">
        <v>110000.0</v>
      </c>
      <c r="J109" s="46">
        <f t="shared" ref="J109:J119" si="139">G109*I109</f>
        <v>22000000</v>
      </c>
      <c r="K109" s="46"/>
      <c r="L109" s="116">
        <f t="shared" ref="L109:L121" si="140">(K109/J109)*100</f>
        <v>0</v>
      </c>
      <c r="M109" s="106"/>
      <c r="N109" s="116">
        <f t="shared" ref="N109:N121" si="141">(K109/J109)*100</f>
        <v>0</v>
      </c>
      <c r="O109" s="46">
        <f t="shared" ref="O109:O119" si="142">J109-K109</f>
        <v>22000000</v>
      </c>
      <c r="P109" s="46">
        <f t="shared" ref="P109:P119" si="143">J109-M109</f>
        <v>22000000</v>
      </c>
      <c r="Q109" s="46">
        <v>2.2E7</v>
      </c>
      <c r="R109" s="101"/>
      <c r="S109" s="101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  <c r="AH109" s="99"/>
      <c r="AI109" s="99"/>
      <c r="AJ109" s="99"/>
      <c r="AK109" s="99"/>
      <c r="AL109" s="99"/>
      <c r="AM109" s="99"/>
    </row>
    <row r="110">
      <c r="A110" s="104"/>
      <c r="B110" s="104"/>
      <c r="C110" s="104"/>
      <c r="D110" s="110" t="s">
        <v>24</v>
      </c>
      <c r="E110" s="110" t="s">
        <v>324</v>
      </c>
      <c r="G110" s="136">
        <v>200.0</v>
      </c>
      <c r="H110" s="136" t="s">
        <v>95</v>
      </c>
      <c r="I110" s="137">
        <v>120000.0</v>
      </c>
      <c r="J110" s="46">
        <f t="shared" si="139"/>
        <v>24000000</v>
      </c>
      <c r="K110" s="46"/>
      <c r="L110" s="116">
        <f t="shared" si="140"/>
        <v>0</v>
      </c>
      <c r="M110" s="106"/>
      <c r="N110" s="116">
        <f t="shared" si="141"/>
        <v>0</v>
      </c>
      <c r="O110" s="46">
        <f t="shared" si="142"/>
        <v>24000000</v>
      </c>
      <c r="P110" s="46">
        <f t="shared" si="143"/>
        <v>24000000</v>
      </c>
      <c r="Q110" s="46">
        <v>2.4E7</v>
      </c>
      <c r="R110" s="101"/>
      <c r="S110" s="101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  <c r="AI110" s="99"/>
      <c r="AJ110" s="99"/>
      <c r="AK110" s="99"/>
      <c r="AL110" s="99"/>
      <c r="AM110" s="99"/>
    </row>
    <row r="111">
      <c r="A111" s="104"/>
      <c r="B111" s="104"/>
      <c r="C111" s="104"/>
      <c r="D111" s="110" t="s">
        <v>24</v>
      </c>
      <c r="E111" s="110" t="s">
        <v>325</v>
      </c>
      <c r="G111" s="136">
        <v>200.0</v>
      </c>
      <c r="H111" s="136" t="s">
        <v>95</v>
      </c>
      <c r="I111" s="137">
        <v>150000.0</v>
      </c>
      <c r="J111" s="46">
        <f t="shared" si="139"/>
        <v>30000000</v>
      </c>
      <c r="K111" s="46"/>
      <c r="L111" s="116">
        <f t="shared" si="140"/>
        <v>0</v>
      </c>
      <c r="M111" s="106"/>
      <c r="N111" s="116">
        <f t="shared" si="141"/>
        <v>0</v>
      </c>
      <c r="O111" s="46">
        <f t="shared" si="142"/>
        <v>30000000</v>
      </c>
      <c r="P111" s="46">
        <f t="shared" si="143"/>
        <v>30000000</v>
      </c>
      <c r="Q111" s="46">
        <v>3.0E7</v>
      </c>
      <c r="R111" s="101"/>
      <c r="S111" s="101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G111" s="99"/>
      <c r="AH111" s="99"/>
      <c r="AI111" s="99"/>
      <c r="AJ111" s="99"/>
      <c r="AK111" s="99"/>
      <c r="AL111" s="99"/>
      <c r="AM111" s="99"/>
    </row>
    <row r="112">
      <c r="A112" s="104"/>
      <c r="B112" s="104"/>
      <c r="C112" s="104"/>
      <c r="D112" s="110" t="s">
        <v>24</v>
      </c>
      <c r="E112" s="110" t="s">
        <v>326</v>
      </c>
      <c r="G112" s="136">
        <v>200.0</v>
      </c>
      <c r="H112" s="136" t="s">
        <v>95</v>
      </c>
      <c r="I112" s="137">
        <v>100000.0</v>
      </c>
      <c r="J112" s="46">
        <f t="shared" si="139"/>
        <v>20000000</v>
      </c>
      <c r="K112" s="46"/>
      <c r="L112" s="116">
        <f t="shared" si="140"/>
        <v>0</v>
      </c>
      <c r="M112" s="106"/>
      <c r="N112" s="116">
        <f t="shared" si="141"/>
        <v>0</v>
      </c>
      <c r="O112" s="46">
        <f t="shared" si="142"/>
        <v>20000000</v>
      </c>
      <c r="P112" s="46">
        <f t="shared" si="143"/>
        <v>20000000</v>
      </c>
      <c r="Q112" s="46">
        <v>2.0E7</v>
      </c>
      <c r="R112" s="101"/>
      <c r="S112" s="101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99"/>
      <c r="AH112" s="99"/>
      <c r="AI112" s="99"/>
      <c r="AJ112" s="99"/>
      <c r="AK112" s="99"/>
      <c r="AL112" s="99"/>
      <c r="AM112" s="99"/>
    </row>
    <row r="113">
      <c r="A113" s="104"/>
      <c r="B113" s="104"/>
      <c r="C113" s="104"/>
      <c r="D113" s="110" t="s">
        <v>24</v>
      </c>
      <c r="E113" s="110" t="s">
        <v>327</v>
      </c>
      <c r="G113" s="136">
        <v>200.0</v>
      </c>
      <c r="H113" s="136" t="s">
        <v>95</v>
      </c>
      <c r="I113" s="137">
        <v>350000.0</v>
      </c>
      <c r="J113" s="46">
        <f t="shared" si="139"/>
        <v>70000000</v>
      </c>
      <c r="K113" s="46"/>
      <c r="L113" s="116">
        <f t="shared" si="140"/>
        <v>0</v>
      </c>
      <c r="M113" s="106"/>
      <c r="N113" s="116">
        <f t="shared" si="141"/>
        <v>0</v>
      </c>
      <c r="O113" s="46">
        <f t="shared" si="142"/>
        <v>70000000</v>
      </c>
      <c r="P113" s="46">
        <f t="shared" si="143"/>
        <v>70000000</v>
      </c>
      <c r="Q113" s="46">
        <v>7.0E7</v>
      </c>
      <c r="R113" s="101"/>
      <c r="S113" s="101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  <c r="AD113" s="99"/>
      <c r="AE113" s="99"/>
      <c r="AF113" s="99"/>
      <c r="AG113" s="99"/>
      <c r="AH113" s="99"/>
      <c r="AI113" s="99"/>
      <c r="AJ113" s="99"/>
      <c r="AK113" s="99"/>
      <c r="AL113" s="99"/>
      <c r="AM113" s="99"/>
    </row>
    <row r="114">
      <c r="A114" s="104"/>
      <c r="B114" s="104"/>
      <c r="C114" s="104"/>
      <c r="D114" s="110" t="s">
        <v>24</v>
      </c>
      <c r="E114" s="110" t="s">
        <v>328</v>
      </c>
      <c r="G114" s="136">
        <v>100.0</v>
      </c>
      <c r="H114" s="136" t="s">
        <v>95</v>
      </c>
      <c r="I114" s="137">
        <v>175000.0</v>
      </c>
      <c r="J114" s="46">
        <f t="shared" si="139"/>
        <v>17500000</v>
      </c>
      <c r="K114" s="46"/>
      <c r="L114" s="116">
        <f t="shared" si="140"/>
        <v>0</v>
      </c>
      <c r="M114" s="106"/>
      <c r="N114" s="116">
        <f t="shared" si="141"/>
        <v>0</v>
      </c>
      <c r="O114" s="46">
        <f t="shared" si="142"/>
        <v>17500000</v>
      </c>
      <c r="P114" s="46">
        <f t="shared" si="143"/>
        <v>17500000</v>
      </c>
      <c r="Q114" s="46">
        <v>1.75E7</v>
      </c>
      <c r="R114" s="101"/>
      <c r="S114" s="101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99"/>
      <c r="AH114" s="99"/>
      <c r="AI114" s="99"/>
      <c r="AJ114" s="99"/>
      <c r="AK114" s="99"/>
      <c r="AL114" s="99"/>
      <c r="AM114" s="99"/>
    </row>
    <row r="115">
      <c r="A115" s="104"/>
      <c r="B115" s="104"/>
      <c r="C115" s="104"/>
      <c r="D115" s="110" t="s">
        <v>24</v>
      </c>
      <c r="E115" s="110" t="s">
        <v>329</v>
      </c>
      <c r="G115" s="136">
        <v>700.0</v>
      </c>
      <c r="H115" s="136" t="s">
        <v>95</v>
      </c>
      <c r="I115" s="137">
        <v>150000.0</v>
      </c>
      <c r="J115" s="46">
        <f t="shared" si="139"/>
        <v>105000000</v>
      </c>
      <c r="K115" s="46"/>
      <c r="L115" s="116">
        <f t="shared" si="140"/>
        <v>0</v>
      </c>
      <c r="M115" s="106"/>
      <c r="N115" s="116">
        <f t="shared" si="141"/>
        <v>0</v>
      </c>
      <c r="O115" s="46">
        <f t="shared" si="142"/>
        <v>105000000</v>
      </c>
      <c r="P115" s="46">
        <f t="shared" si="143"/>
        <v>105000000</v>
      </c>
      <c r="Q115" s="46">
        <v>1.05E8</v>
      </c>
      <c r="R115" s="101"/>
      <c r="S115" s="101"/>
      <c r="T115" s="99"/>
      <c r="U115" s="99"/>
      <c r="V115" s="99"/>
      <c r="W115" s="99"/>
      <c r="X115" s="99"/>
      <c r="Y115" s="99"/>
      <c r="Z115" s="99"/>
      <c r="AA115" s="99"/>
      <c r="AB115" s="99"/>
      <c r="AC115" s="99"/>
      <c r="AD115" s="99"/>
      <c r="AE115" s="99"/>
      <c r="AF115" s="99"/>
      <c r="AG115" s="99"/>
      <c r="AH115" s="99"/>
      <c r="AI115" s="99"/>
      <c r="AJ115" s="99"/>
      <c r="AK115" s="99"/>
      <c r="AL115" s="99"/>
      <c r="AM115" s="99"/>
    </row>
    <row r="116">
      <c r="A116" s="104"/>
      <c r="B116" s="104"/>
      <c r="C116" s="104"/>
      <c r="D116" s="110" t="s">
        <v>24</v>
      </c>
      <c r="E116" s="110" t="s">
        <v>330</v>
      </c>
      <c r="G116" s="136">
        <v>700.0</v>
      </c>
      <c r="H116" s="136" t="s">
        <v>95</v>
      </c>
      <c r="I116" s="137">
        <v>200000.0</v>
      </c>
      <c r="J116" s="46">
        <f t="shared" si="139"/>
        <v>140000000</v>
      </c>
      <c r="K116" s="46"/>
      <c r="L116" s="116">
        <f t="shared" si="140"/>
        <v>0</v>
      </c>
      <c r="M116" s="106"/>
      <c r="N116" s="116">
        <f t="shared" si="141"/>
        <v>0</v>
      </c>
      <c r="O116" s="46">
        <f t="shared" si="142"/>
        <v>140000000</v>
      </c>
      <c r="P116" s="46">
        <f t="shared" si="143"/>
        <v>140000000</v>
      </c>
      <c r="Q116" s="46">
        <v>1.4E8</v>
      </c>
      <c r="R116" s="101"/>
      <c r="S116" s="101"/>
      <c r="T116" s="99"/>
      <c r="U116" s="99"/>
      <c r="V116" s="99"/>
      <c r="W116" s="99"/>
      <c r="X116" s="99"/>
      <c r="Y116" s="99"/>
      <c r="Z116" s="99"/>
      <c r="AA116" s="99"/>
      <c r="AB116" s="99"/>
      <c r="AC116" s="99"/>
      <c r="AD116" s="99"/>
      <c r="AE116" s="99"/>
      <c r="AF116" s="99"/>
      <c r="AG116" s="99"/>
      <c r="AH116" s="99"/>
      <c r="AI116" s="99"/>
      <c r="AJ116" s="99"/>
      <c r="AK116" s="99"/>
      <c r="AL116" s="99"/>
      <c r="AM116" s="99"/>
    </row>
    <row r="117">
      <c r="A117" s="104"/>
      <c r="B117" s="104"/>
      <c r="C117" s="104"/>
      <c r="D117" s="110" t="s">
        <v>24</v>
      </c>
      <c r="E117" s="110" t="s">
        <v>331</v>
      </c>
      <c r="G117" s="136">
        <v>1200.0</v>
      </c>
      <c r="H117" s="136" t="s">
        <v>95</v>
      </c>
      <c r="I117" s="137">
        <v>250000.0</v>
      </c>
      <c r="J117" s="46">
        <f t="shared" si="139"/>
        <v>300000000</v>
      </c>
      <c r="K117" s="46"/>
      <c r="L117" s="116">
        <f t="shared" si="140"/>
        <v>0</v>
      </c>
      <c r="M117" s="106"/>
      <c r="N117" s="116">
        <f t="shared" si="141"/>
        <v>0</v>
      </c>
      <c r="O117" s="46">
        <f t="shared" si="142"/>
        <v>300000000</v>
      </c>
      <c r="P117" s="46">
        <f t="shared" si="143"/>
        <v>300000000</v>
      </c>
      <c r="Q117" s="46">
        <v>3.0E8</v>
      </c>
      <c r="R117" s="101"/>
      <c r="S117" s="101"/>
      <c r="T117" s="99"/>
      <c r="U117" s="99"/>
      <c r="V117" s="99"/>
      <c r="W117" s="99"/>
      <c r="X117" s="99"/>
      <c r="Y117" s="99"/>
      <c r="Z117" s="99"/>
      <c r="AA117" s="99"/>
      <c r="AB117" s="99"/>
      <c r="AC117" s="99"/>
      <c r="AD117" s="99"/>
      <c r="AE117" s="99"/>
      <c r="AF117" s="99"/>
      <c r="AG117" s="99"/>
      <c r="AH117" s="99"/>
      <c r="AI117" s="99"/>
      <c r="AJ117" s="99"/>
      <c r="AK117" s="99"/>
      <c r="AL117" s="99"/>
      <c r="AM117" s="99"/>
    </row>
    <row r="118">
      <c r="A118" s="104"/>
      <c r="B118" s="104"/>
      <c r="C118" s="104"/>
      <c r="D118" s="110" t="s">
        <v>24</v>
      </c>
      <c r="E118" s="110" t="s">
        <v>332</v>
      </c>
      <c r="G118" s="136">
        <v>720.0</v>
      </c>
      <c r="H118" s="136" t="s">
        <v>95</v>
      </c>
      <c r="I118" s="137">
        <v>100000.0</v>
      </c>
      <c r="J118" s="46">
        <f t="shared" si="139"/>
        <v>72000000</v>
      </c>
      <c r="K118" s="46"/>
      <c r="L118" s="116">
        <f t="shared" si="140"/>
        <v>0</v>
      </c>
      <c r="M118" s="106"/>
      <c r="N118" s="116">
        <f t="shared" si="141"/>
        <v>0</v>
      </c>
      <c r="O118" s="46">
        <f t="shared" si="142"/>
        <v>72000000</v>
      </c>
      <c r="P118" s="46">
        <f t="shared" si="143"/>
        <v>72000000</v>
      </c>
      <c r="Q118" s="46">
        <v>7.2E7</v>
      </c>
      <c r="R118" s="101"/>
      <c r="S118" s="101"/>
      <c r="T118" s="99"/>
      <c r="U118" s="99"/>
      <c r="V118" s="99"/>
      <c r="W118" s="99"/>
      <c r="X118" s="99"/>
      <c r="Y118" s="99"/>
      <c r="Z118" s="99"/>
      <c r="AA118" s="99"/>
      <c r="AB118" s="99"/>
      <c r="AC118" s="99"/>
      <c r="AD118" s="99"/>
      <c r="AE118" s="99"/>
      <c r="AF118" s="99"/>
      <c r="AG118" s="99"/>
      <c r="AH118" s="99"/>
      <c r="AI118" s="99"/>
      <c r="AJ118" s="99"/>
      <c r="AK118" s="99"/>
      <c r="AL118" s="99"/>
      <c r="AM118" s="99"/>
    </row>
    <row r="119">
      <c r="A119" s="104"/>
      <c r="B119" s="104"/>
      <c r="C119" s="104"/>
      <c r="D119" s="110" t="s">
        <v>24</v>
      </c>
      <c r="E119" s="110" t="s">
        <v>333</v>
      </c>
      <c r="G119" s="136">
        <v>420.0</v>
      </c>
      <c r="H119" s="136" t="s">
        <v>95</v>
      </c>
      <c r="I119" s="137">
        <v>50000.0</v>
      </c>
      <c r="J119" s="46">
        <f t="shared" si="139"/>
        <v>21000000</v>
      </c>
      <c r="K119" s="46"/>
      <c r="L119" s="116">
        <f t="shared" si="140"/>
        <v>0</v>
      </c>
      <c r="M119" s="106"/>
      <c r="N119" s="116">
        <f t="shared" si="141"/>
        <v>0</v>
      </c>
      <c r="O119" s="46">
        <f t="shared" si="142"/>
        <v>21000000</v>
      </c>
      <c r="P119" s="46">
        <f t="shared" si="143"/>
        <v>21000000</v>
      </c>
      <c r="Q119" s="46">
        <v>2.1E7</v>
      </c>
      <c r="R119" s="101"/>
      <c r="S119" s="101"/>
      <c r="T119" s="99"/>
      <c r="U119" s="99"/>
      <c r="V119" s="99"/>
      <c r="W119" s="99"/>
      <c r="X119" s="99"/>
      <c r="Y119" s="99"/>
      <c r="Z119" s="99"/>
      <c r="AA119" s="99"/>
      <c r="AB119" s="99"/>
      <c r="AC119" s="99"/>
      <c r="AD119" s="99"/>
      <c r="AE119" s="99"/>
      <c r="AF119" s="99"/>
      <c r="AG119" s="99"/>
      <c r="AH119" s="99"/>
      <c r="AI119" s="99"/>
      <c r="AJ119" s="99"/>
      <c r="AK119" s="99"/>
      <c r="AL119" s="99"/>
      <c r="AM119" s="99"/>
    </row>
    <row r="120">
      <c r="A120" s="127" t="s">
        <v>126</v>
      </c>
      <c r="B120" s="121"/>
      <c r="C120" s="122"/>
      <c r="D120" s="127" t="s">
        <v>127</v>
      </c>
      <c r="E120" s="121"/>
      <c r="F120" s="122"/>
      <c r="G120" s="128"/>
      <c r="H120" s="128"/>
      <c r="I120" s="128"/>
      <c r="J120" s="129">
        <f t="shared" ref="J120:K120" si="144">J121</f>
        <v>190740000</v>
      </c>
      <c r="K120" s="129">
        <f t="shared" si="144"/>
        <v>0</v>
      </c>
      <c r="L120" s="116">
        <f t="shared" si="140"/>
        <v>0</v>
      </c>
      <c r="M120" s="130">
        <f>M121</f>
        <v>0</v>
      </c>
      <c r="N120" s="116">
        <f t="shared" si="141"/>
        <v>0</v>
      </c>
      <c r="O120" s="43">
        <f t="shared" ref="O120:P120" si="145">O121</f>
        <v>190740000</v>
      </c>
      <c r="P120" s="43">
        <f t="shared" si="145"/>
        <v>190740000</v>
      </c>
      <c r="Q120" s="129">
        <v>1.9074E8</v>
      </c>
      <c r="R120" s="101"/>
      <c r="S120" s="101"/>
      <c r="T120" s="99"/>
      <c r="U120" s="99"/>
      <c r="V120" s="99"/>
      <c r="W120" s="99"/>
      <c r="X120" s="99"/>
      <c r="Y120" s="99"/>
      <c r="Z120" s="99"/>
      <c r="AA120" s="99"/>
      <c r="AB120" s="99"/>
      <c r="AC120" s="99"/>
      <c r="AD120" s="99"/>
      <c r="AE120" s="99"/>
      <c r="AF120" s="99"/>
      <c r="AG120" s="99"/>
      <c r="AH120" s="99"/>
      <c r="AI120" s="99"/>
      <c r="AJ120" s="99"/>
      <c r="AK120" s="99"/>
      <c r="AL120" s="99"/>
      <c r="AM120" s="99"/>
    </row>
    <row r="121">
      <c r="A121" s="131" t="s">
        <v>68</v>
      </c>
      <c r="B121" s="121"/>
      <c r="C121" s="122"/>
      <c r="D121" s="132" t="s">
        <v>69</v>
      </c>
      <c r="E121" s="121"/>
      <c r="F121" s="122"/>
      <c r="G121" s="133"/>
      <c r="H121" s="133"/>
      <c r="I121" s="133"/>
      <c r="J121" s="134">
        <f t="shared" ref="J121:K121" si="146">SUM(J123:J127)</f>
        <v>190740000</v>
      </c>
      <c r="K121" s="134">
        <f t="shared" si="146"/>
        <v>0</v>
      </c>
      <c r="L121" s="116">
        <f t="shared" si="140"/>
        <v>0</v>
      </c>
      <c r="M121" s="135">
        <f>SUM(M123:M127)</f>
        <v>0</v>
      </c>
      <c r="N121" s="116">
        <f t="shared" si="141"/>
        <v>0</v>
      </c>
      <c r="O121" s="46">
        <f t="shared" ref="O121:P121" si="147">SUM(O123:O127)</f>
        <v>190740000</v>
      </c>
      <c r="P121" s="46">
        <f t="shared" si="147"/>
        <v>190740000</v>
      </c>
      <c r="Q121" s="134">
        <v>1.9074E8</v>
      </c>
      <c r="R121" s="101"/>
      <c r="S121" s="101"/>
      <c r="T121" s="99"/>
      <c r="U121" s="99"/>
      <c r="V121" s="99"/>
      <c r="W121" s="99"/>
      <c r="X121" s="99"/>
      <c r="Y121" s="99"/>
      <c r="Z121" s="99"/>
      <c r="AA121" s="99"/>
      <c r="AB121" s="99"/>
      <c r="AC121" s="99"/>
      <c r="AD121" s="99"/>
      <c r="AE121" s="99"/>
      <c r="AF121" s="99"/>
      <c r="AG121" s="99"/>
      <c r="AH121" s="99"/>
      <c r="AI121" s="99"/>
      <c r="AJ121" s="99"/>
      <c r="AK121" s="99"/>
      <c r="AL121" s="99"/>
      <c r="AM121" s="99"/>
    </row>
    <row r="122">
      <c r="A122" s="104"/>
      <c r="B122" s="104"/>
      <c r="C122" s="104"/>
      <c r="D122" s="110" t="s">
        <v>23</v>
      </c>
      <c r="G122" s="104"/>
      <c r="H122" s="104"/>
      <c r="I122" s="104"/>
      <c r="J122" s="111"/>
      <c r="K122" s="111"/>
      <c r="L122" s="116"/>
      <c r="M122" s="106"/>
      <c r="N122" s="116"/>
      <c r="O122" s="111"/>
      <c r="P122" s="111"/>
      <c r="Q122" s="111"/>
      <c r="R122" s="101"/>
      <c r="S122" s="101"/>
      <c r="T122" s="99"/>
      <c r="U122" s="99"/>
      <c r="V122" s="99"/>
      <c r="W122" s="99"/>
      <c r="X122" s="99"/>
      <c r="Y122" s="99"/>
      <c r="Z122" s="99"/>
      <c r="AA122" s="99"/>
      <c r="AB122" s="99"/>
      <c r="AC122" s="99"/>
      <c r="AD122" s="99"/>
      <c r="AE122" s="99"/>
      <c r="AF122" s="99"/>
      <c r="AG122" s="99"/>
      <c r="AH122" s="99"/>
      <c r="AI122" s="99"/>
      <c r="AJ122" s="99"/>
      <c r="AK122" s="99"/>
      <c r="AL122" s="99"/>
      <c r="AM122" s="99"/>
    </row>
    <row r="123">
      <c r="A123" s="104"/>
      <c r="B123" s="104"/>
      <c r="C123" s="104"/>
      <c r="D123" s="110" t="s">
        <v>24</v>
      </c>
      <c r="E123" s="110" t="s">
        <v>128</v>
      </c>
      <c r="G123" s="136">
        <v>88.0</v>
      </c>
      <c r="H123" s="136" t="s">
        <v>233</v>
      </c>
      <c r="I123" s="137">
        <v>110000.0</v>
      </c>
      <c r="J123" s="46">
        <f t="shared" ref="J123:J127" si="148">G123*I123</f>
        <v>9680000</v>
      </c>
      <c r="K123" s="46"/>
      <c r="L123" s="116">
        <f t="shared" ref="L123:L129" si="149">(K123/J123)*100</f>
        <v>0</v>
      </c>
      <c r="M123" s="106"/>
      <c r="N123" s="116">
        <f t="shared" ref="N123:N129" si="150">(K123/J123)*100</f>
        <v>0</v>
      </c>
      <c r="O123" s="46">
        <f t="shared" ref="O123:O127" si="151">J123-K123</f>
        <v>9680000</v>
      </c>
      <c r="P123" s="46">
        <f t="shared" ref="P123:P127" si="152">J123-M123</f>
        <v>9680000</v>
      </c>
      <c r="Q123" s="46">
        <v>9680000.0</v>
      </c>
      <c r="R123" s="101"/>
      <c r="S123" s="101"/>
      <c r="T123" s="99"/>
      <c r="U123" s="99"/>
      <c r="V123" s="99"/>
      <c r="W123" s="99"/>
      <c r="X123" s="99"/>
      <c r="Y123" s="99"/>
      <c r="Z123" s="99"/>
      <c r="AA123" s="99"/>
      <c r="AB123" s="99"/>
      <c r="AC123" s="99"/>
      <c r="AD123" s="99"/>
      <c r="AE123" s="99"/>
      <c r="AF123" s="99"/>
      <c r="AG123" s="99"/>
      <c r="AH123" s="99"/>
      <c r="AI123" s="99"/>
      <c r="AJ123" s="99"/>
      <c r="AK123" s="99"/>
      <c r="AL123" s="99"/>
      <c r="AM123" s="99"/>
    </row>
    <row r="124">
      <c r="A124" s="104"/>
      <c r="B124" s="104"/>
      <c r="C124" s="104"/>
      <c r="D124" s="110" t="s">
        <v>24</v>
      </c>
      <c r="E124" s="110" t="s">
        <v>130</v>
      </c>
      <c r="G124" s="136">
        <v>88.0</v>
      </c>
      <c r="H124" s="136" t="s">
        <v>233</v>
      </c>
      <c r="I124" s="137">
        <v>120000.0</v>
      </c>
      <c r="J124" s="46">
        <f t="shared" si="148"/>
        <v>10560000</v>
      </c>
      <c r="K124" s="46"/>
      <c r="L124" s="116">
        <f t="shared" si="149"/>
        <v>0</v>
      </c>
      <c r="M124" s="106"/>
      <c r="N124" s="116">
        <f t="shared" si="150"/>
        <v>0</v>
      </c>
      <c r="O124" s="46">
        <f t="shared" si="151"/>
        <v>10560000</v>
      </c>
      <c r="P124" s="46">
        <f t="shared" si="152"/>
        <v>10560000</v>
      </c>
      <c r="Q124" s="46">
        <v>1.056E7</v>
      </c>
      <c r="R124" s="101"/>
      <c r="S124" s="101"/>
      <c r="T124" s="99"/>
      <c r="U124" s="99"/>
      <c r="V124" s="99"/>
      <c r="W124" s="99"/>
      <c r="X124" s="99"/>
      <c r="Y124" s="99"/>
      <c r="Z124" s="99"/>
      <c r="AA124" s="99"/>
      <c r="AB124" s="99"/>
      <c r="AC124" s="99"/>
      <c r="AD124" s="99"/>
      <c r="AE124" s="99"/>
      <c r="AF124" s="99"/>
      <c r="AG124" s="99"/>
      <c r="AH124" s="99"/>
      <c r="AI124" s="99"/>
      <c r="AJ124" s="99"/>
      <c r="AK124" s="99"/>
      <c r="AL124" s="99"/>
      <c r="AM124" s="99"/>
    </row>
    <row r="125">
      <c r="A125" s="104"/>
      <c r="B125" s="104"/>
      <c r="C125" s="104"/>
      <c r="D125" s="110" t="s">
        <v>24</v>
      </c>
      <c r="E125" s="110" t="s">
        <v>131</v>
      </c>
      <c r="G125" s="136">
        <v>88.0</v>
      </c>
      <c r="H125" s="136" t="s">
        <v>233</v>
      </c>
      <c r="I125" s="137">
        <v>350000.0</v>
      </c>
      <c r="J125" s="46">
        <f t="shared" si="148"/>
        <v>30800000</v>
      </c>
      <c r="K125" s="46"/>
      <c r="L125" s="116">
        <f t="shared" si="149"/>
        <v>0</v>
      </c>
      <c r="M125" s="106"/>
      <c r="N125" s="116">
        <f t="shared" si="150"/>
        <v>0</v>
      </c>
      <c r="O125" s="46">
        <f t="shared" si="151"/>
        <v>30800000</v>
      </c>
      <c r="P125" s="46">
        <f t="shared" si="152"/>
        <v>30800000</v>
      </c>
      <c r="Q125" s="46">
        <v>3.08E7</v>
      </c>
      <c r="R125" s="101"/>
      <c r="S125" s="101"/>
      <c r="T125" s="99"/>
      <c r="U125" s="99"/>
      <c r="V125" s="99"/>
      <c r="W125" s="99"/>
      <c r="X125" s="99"/>
      <c r="Y125" s="99"/>
      <c r="Z125" s="99"/>
      <c r="AA125" s="99"/>
      <c r="AB125" s="99"/>
      <c r="AC125" s="99"/>
      <c r="AD125" s="99"/>
      <c r="AE125" s="99"/>
      <c r="AF125" s="99"/>
      <c r="AG125" s="99"/>
      <c r="AH125" s="99"/>
      <c r="AI125" s="99"/>
      <c r="AJ125" s="99"/>
      <c r="AK125" s="99"/>
      <c r="AL125" s="99"/>
      <c r="AM125" s="99"/>
    </row>
    <row r="126">
      <c r="A126" s="104"/>
      <c r="B126" s="104"/>
      <c r="C126" s="104"/>
      <c r="D126" s="110" t="s">
        <v>24</v>
      </c>
      <c r="E126" s="110" t="s">
        <v>132</v>
      </c>
      <c r="G126" s="136">
        <v>44.0</v>
      </c>
      <c r="H126" s="136" t="s">
        <v>233</v>
      </c>
      <c r="I126" s="137">
        <v>175000.0</v>
      </c>
      <c r="J126" s="46">
        <f t="shared" si="148"/>
        <v>7700000</v>
      </c>
      <c r="K126" s="46"/>
      <c r="L126" s="116">
        <f t="shared" si="149"/>
        <v>0</v>
      </c>
      <c r="M126" s="106"/>
      <c r="N126" s="116">
        <f t="shared" si="150"/>
        <v>0</v>
      </c>
      <c r="O126" s="46">
        <f t="shared" si="151"/>
        <v>7700000</v>
      </c>
      <c r="P126" s="46">
        <f t="shared" si="152"/>
        <v>7700000</v>
      </c>
      <c r="Q126" s="46">
        <v>7700000.0</v>
      </c>
      <c r="R126" s="101"/>
      <c r="S126" s="101"/>
      <c r="T126" s="99"/>
      <c r="U126" s="99"/>
      <c r="V126" s="99"/>
      <c r="W126" s="99"/>
      <c r="X126" s="99"/>
      <c r="Y126" s="99"/>
      <c r="Z126" s="99"/>
      <c r="AA126" s="99"/>
      <c r="AB126" s="99"/>
      <c r="AC126" s="99"/>
      <c r="AD126" s="99"/>
      <c r="AE126" s="99"/>
      <c r="AF126" s="99"/>
      <c r="AG126" s="99"/>
      <c r="AH126" s="99"/>
      <c r="AI126" s="99"/>
      <c r="AJ126" s="99"/>
      <c r="AK126" s="99"/>
      <c r="AL126" s="99"/>
      <c r="AM126" s="99"/>
    </row>
    <row r="127">
      <c r="A127" s="104"/>
      <c r="B127" s="104"/>
      <c r="C127" s="104"/>
      <c r="D127" s="110" t="s">
        <v>24</v>
      </c>
      <c r="E127" s="110" t="s">
        <v>133</v>
      </c>
      <c r="G127" s="136">
        <v>528.0</v>
      </c>
      <c r="H127" s="136" t="s">
        <v>233</v>
      </c>
      <c r="I127" s="137">
        <v>250000.0</v>
      </c>
      <c r="J127" s="46">
        <f t="shared" si="148"/>
        <v>132000000</v>
      </c>
      <c r="K127" s="46"/>
      <c r="L127" s="116">
        <f t="shared" si="149"/>
        <v>0</v>
      </c>
      <c r="M127" s="106"/>
      <c r="N127" s="116">
        <f t="shared" si="150"/>
        <v>0</v>
      </c>
      <c r="O127" s="46">
        <f t="shared" si="151"/>
        <v>132000000</v>
      </c>
      <c r="P127" s="46">
        <f t="shared" si="152"/>
        <v>132000000</v>
      </c>
      <c r="Q127" s="46">
        <v>1.32E8</v>
      </c>
      <c r="R127" s="101"/>
      <c r="S127" s="101"/>
      <c r="T127" s="99"/>
      <c r="U127" s="99"/>
      <c r="V127" s="99"/>
      <c r="W127" s="99"/>
      <c r="X127" s="99"/>
      <c r="Y127" s="99"/>
      <c r="Z127" s="99"/>
      <c r="AA127" s="99"/>
      <c r="AB127" s="99"/>
      <c r="AC127" s="99"/>
      <c r="AD127" s="99"/>
      <c r="AE127" s="99"/>
      <c r="AF127" s="99"/>
      <c r="AG127" s="99"/>
      <c r="AH127" s="99"/>
      <c r="AI127" s="99"/>
      <c r="AJ127" s="99"/>
      <c r="AK127" s="99"/>
      <c r="AL127" s="99"/>
      <c r="AM127" s="99"/>
    </row>
    <row r="128">
      <c r="A128" s="127" t="s">
        <v>134</v>
      </c>
      <c r="B128" s="121"/>
      <c r="C128" s="122"/>
      <c r="D128" s="127" t="s">
        <v>135</v>
      </c>
      <c r="E128" s="121"/>
      <c r="F128" s="122"/>
      <c r="G128" s="128"/>
      <c r="H128" s="128"/>
      <c r="I128" s="128"/>
      <c r="J128" s="129">
        <f t="shared" ref="J128:K128" si="153">J129</f>
        <v>39320000</v>
      </c>
      <c r="K128" s="129">
        <f t="shared" si="153"/>
        <v>0</v>
      </c>
      <c r="L128" s="116">
        <f t="shared" si="149"/>
        <v>0</v>
      </c>
      <c r="M128" s="130">
        <f>M129</f>
        <v>0</v>
      </c>
      <c r="N128" s="116">
        <f t="shared" si="150"/>
        <v>0</v>
      </c>
      <c r="O128" s="43">
        <f t="shared" ref="O128:P128" si="154">O129</f>
        <v>39320000</v>
      </c>
      <c r="P128" s="43">
        <f t="shared" si="154"/>
        <v>39320000</v>
      </c>
      <c r="Q128" s="129">
        <v>3.932E7</v>
      </c>
      <c r="R128" s="101"/>
      <c r="S128" s="101"/>
      <c r="T128" s="99"/>
      <c r="U128" s="99"/>
      <c r="V128" s="99"/>
      <c r="W128" s="99"/>
      <c r="X128" s="99"/>
      <c r="Y128" s="99"/>
      <c r="Z128" s="99"/>
      <c r="AA128" s="99"/>
      <c r="AB128" s="99"/>
      <c r="AC128" s="99"/>
      <c r="AD128" s="99"/>
      <c r="AE128" s="99"/>
      <c r="AF128" s="99"/>
      <c r="AG128" s="99"/>
      <c r="AH128" s="99"/>
      <c r="AI128" s="99"/>
      <c r="AJ128" s="99"/>
      <c r="AK128" s="99"/>
      <c r="AL128" s="99"/>
      <c r="AM128" s="99"/>
    </row>
    <row r="129">
      <c r="A129" s="131" t="s">
        <v>68</v>
      </c>
      <c r="B129" s="121"/>
      <c r="C129" s="122"/>
      <c r="D129" s="132" t="s">
        <v>69</v>
      </c>
      <c r="E129" s="121"/>
      <c r="F129" s="122"/>
      <c r="G129" s="133"/>
      <c r="H129" s="133"/>
      <c r="I129" s="133"/>
      <c r="J129" s="134">
        <f t="shared" ref="J129:K129" si="155">SUM(J131:J135)</f>
        <v>39320000</v>
      </c>
      <c r="K129" s="134">
        <f t="shared" si="155"/>
        <v>0</v>
      </c>
      <c r="L129" s="116">
        <f t="shared" si="149"/>
        <v>0</v>
      </c>
      <c r="M129" s="135">
        <f>SUM(M131:M135)</f>
        <v>0</v>
      </c>
      <c r="N129" s="116">
        <f t="shared" si="150"/>
        <v>0</v>
      </c>
      <c r="O129" s="46">
        <f t="shared" ref="O129:P129" si="156">SUM(O131:O135)</f>
        <v>39320000</v>
      </c>
      <c r="P129" s="46">
        <f t="shared" si="156"/>
        <v>39320000</v>
      </c>
      <c r="Q129" s="134">
        <v>3.932E7</v>
      </c>
      <c r="R129" s="101"/>
      <c r="S129" s="101"/>
      <c r="T129" s="99"/>
      <c r="U129" s="99"/>
      <c r="V129" s="99"/>
      <c r="W129" s="99"/>
      <c r="X129" s="99"/>
      <c r="Y129" s="99"/>
      <c r="Z129" s="99"/>
      <c r="AA129" s="99"/>
      <c r="AB129" s="99"/>
      <c r="AC129" s="99"/>
      <c r="AD129" s="99"/>
      <c r="AE129" s="99"/>
      <c r="AF129" s="99"/>
      <c r="AG129" s="99"/>
      <c r="AH129" s="99"/>
      <c r="AI129" s="99"/>
      <c r="AJ129" s="99"/>
      <c r="AK129" s="99"/>
      <c r="AL129" s="99"/>
      <c r="AM129" s="99"/>
    </row>
    <row r="130">
      <c r="A130" s="104"/>
      <c r="B130" s="104"/>
      <c r="C130" s="104"/>
      <c r="D130" s="110" t="s">
        <v>23</v>
      </c>
      <c r="G130" s="104"/>
      <c r="H130" s="104"/>
      <c r="I130" s="104"/>
      <c r="J130" s="111"/>
      <c r="K130" s="111"/>
      <c r="L130" s="116"/>
      <c r="M130" s="106"/>
      <c r="N130" s="116"/>
      <c r="O130" s="111"/>
      <c r="P130" s="111"/>
      <c r="Q130" s="111"/>
      <c r="R130" s="101"/>
      <c r="S130" s="101"/>
      <c r="T130" s="99"/>
      <c r="U130" s="99"/>
      <c r="V130" s="99"/>
      <c r="W130" s="99"/>
      <c r="X130" s="99"/>
      <c r="Y130" s="99"/>
      <c r="Z130" s="99"/>
      <c r="AA130" s="99"/>
      <c r="AB130" s="99"/>
      <c r="AC130" s="99"/>
      <c r="AD130" s="99"/>
      <c r="AE130" s="99"/>
      <c r="AF130" s="99"/>
      <c r="AG130" s="99"/>
      <c r="AH130" s="99"/>
      <c r="AI130" s="99"/>
      <c r="AJ130" s="99"/>
      <c r="AK130" s="99"/>
      <c r="AL130" s="99"/>
      <c r="AM130" s="99"/>
    </row>
    <row r="131">
      <c r="A131" s="104"/>
      <c r="B131" s="104"/>
      <c r="C131" s="104"/>
      <c r="D131" s="110" t="s">
        <v>24</v>
      </c>
      <c r="E131" s="110" t="s">
        <v>334</v>
      </c>
      <c r="G131" s="136">
        <v>300.0</v>
      </c>
      <c r="H131" s="136" t="s">
        <v>95</v>
      </c>
      <c r="I131" s="137">
        <v>75000.0</v>
      </c>
      <c r="J131" s="46">
        <f t="shared" ref="J131:J135" si="157">G131*I131</f>
        <v>22500000</v>
      </c>
      <c r="K131" s="46"/>
      <c r="L131" s="116">
        <f t="shared" ref="L131:L137" si="158">(K131/J131)*100</f>
        <v>0</v>
      </c>
      <c r="M131" s="106"/>
      <c r="N131" s="116">
        <f t="shared" ref="N131:N137" si="159">(K131/J131)*100</f>
        <v>0</v>
      </c>
      <c r="O131" s="46">
        <f t="shared" ref="O131:O135" si="160">J131-K131</f>
        <v>22500000</v>
      </c>
      <c r="P131" s="46">
        <f t="shared" ref="P131:P135" si="161">J131-M131</f>
        <v>22500000</v>
      </c>
      <c r="Q131" s="46">
        <v>2.25E7</v>
      </c>
      <c r="R131" s="101"/>
      <c r="S131" s="101"/>
      <c r="T131" s="99"/>
      <c r="U131" s="99"/>
      <c r="V131" s="99"/>
      <c r="W131" s="99"/>
      <c r="X131" s="99"/>
      <c r="Y131" s="99"/>
      <c r="Z131" s="99"/>
      <c r="AA131" s="99"/>
      <c r="AB131" s="99"/>
      <c r="AC131" s="99"/>
      <c r="AD131" s="99"/>
      <c r="AE131" s="99"/>
      <c r="AF131" s="99"/>
      <c r="AG131" s="99"/>
      <c r="AH131" s="99"/>
      <c r="AI131" s="99"/>
      <c r="AJ131" s="99"/>
      <c r="AK131" s="99"/>
      <c r="AL131" s="99"/>
      <c r="AM131" s="99"/>
    </row>
    <row r="132">
      <c r="A132" s="104"/>
      <c r="B132" s="104"/>
      <c r="C132" s="104"/>
      <c r="D132" s="110" t="s">
        <v>24</v>
      </c>
      <c r="E132" s="110" t="s">
        <v>137</v>
      </c>
      <c r="G132" s="136">
        <v>2.0</v>
      </c>
      <c r="H132" s="136" t="s">
        <v>95</v>
      </c>
      <c r="I132" s="137">
        <v>360000.0</v>
      </c>
      <c r="J132" s="46">
        <f t="shared" si="157"/>
        <v>720000</v>
      </c>
      <c r="K132" s="46"/>
      <c r="L132" s="116">
        <f t="shared" si="158"/>
        <v>0</v>
      </c>
      <c r="M132" s="106"/>
      <c r="N132" s="116">
        <f t="shared" si="159"/>
        <v>0</v>
      </c>
      <c r="O132" s="46">
        <f t="shared" si="160"/>
        <v>720000</v>
      </c>
      <c r="P132" s="46">
        <f t="shared" si="161"/>
        <v>720000</v>
      </c>
      <c r="Q132" s="46">
        <v>720000.0</v>
      </c>
      <c r="R132" s="101"/>
      <c r="S132" s="101"/>
      <c r="T132" s="99"/>
      <c r="U132" s="99"/>
      <c r="V132" s="99"/>
      <c r="W132" s="99"/>
      <c r="X132" s="99"/>
      <c r="Y132" s="99"/>
      <c r="Z132" s="99"/>
      <c r="AA132" s="99"/>
      <c r="AB132" s="99"/>
      <c r="AC132" s="99"/>
      <c r="AD132" s="99"/>
      <c r="AE132" s="99"/>
      <c r="AF132" s="99"/>
      <c r="AG132" s="99"/>
      <c r="AH132" s="99"/>
      <c r="AI132" s="99"/>
      <c r="AJ132" s="99"/>
      <c r="AK132" s="99"/>
      <c r="AL132" s="99"/>
      <c r="AM132" s="99"/>
    </row>
    <row r="133">
      <c r="A133" s="104"/>
      <c r="B133" s="104"/>
      <c r="C133" s="104"/>
      <c r="D133" s="110" t="s">
        <v>24</v>
      </c>
      <c r="E133" s="110" t="s">
        <v>335</v>
      </c>
      <c r="G133" s="136">
        <v>100.0</v>
      </c>
      <c r="H133" s="136" t="s">
        <v>95</v>
      </c>
      <c r="I133" s="137">
        <v>93000.0</v>
      </c>
      <c r="J133" s="46">
        <f t="shared" si="157"/>
        <v>9300000</v>
      </c>
      <c r="K133" s="46"/>
      <c r="L133" s="116">
        <f t="shared" si="158"/>
        <v>0</v>
      </c>
      <c r="M133" s="106"/>
      <c r="N133" s="116">
        <f t="shared" si="159"/>
        <v>0</v>
      </c>
      <c r="O133" s="46">
        <f t="shared" si="160"/>
        <v>9300000</v>
      </c>
      <c r="P133" s="46">
        <f t="shared" si="161"/>
        <v>9300000</v>
      </c>
      <c r="Q133" s="46">
        <v>9300000.0</v>
      </c>
      <c r="R133" s="101"/>
      <c r="S133" s="101"/>
      <c r="T133" s="99"/>
      <c r="U133" s="99"/>
      <c r="V133" s="99"/>
      <c r="W133" s="99"/>
      <c r="X133" s="99"/>
      <c r="Y133" s="99"/>
      <c r="Z133" s="99"/>
      <c r="AA133" s="99"/>
      <c r="AB133" s="99"/>
      <c r="AC133" s="99"/>
      <c r="AD133" s="99"/>
      <c r="AE133" s="99"/>
      <c r="AF133" s="99"/>
      <c r="AG133" s="99"/>
      <c r="AH133" s="99"/>
      <c r="AI133" s="99"/>
      <c r="AJ133" s="99"/>
      <c r="AK133" s="99"/>
      <c r="AL133" s="99"/>
      <c r="AM133" s="99"/>
    </row>
    <row r="134">
      <c r="A134" s="104"/>
      <c r="B134" s="104"/>
      <c r="C134" s="104"/>
      <c r="D134" s="110" t="s">
        <v>24</v>
      </c>
      <c r="E134" s="110" t="s">
        <v>336</v>
      </c>
      <c r="G134" s="136">
        <v>100.0</v>
      </c>
      <c r="H134" s="136" t="s">
        <v>95</v>
      </c>
      <c r="I134" s="137">
        <v>53000.0</v>
      </c>
      <c r="J134" s="46">
        <f t="shared" si="157"/>
        <v>5300000</v>
      </c>
      <c r="K134" s="46"/>
      <c r="L134" s="116">
        <f t="shared" si="158"/>
        <v>0</v>
      </c>
      <c r="M134" s="106"/>
      <c r="N134" s="116">
        <f t="shared" si="159"/>
        <v>0</v>
      </c>
      <c r="O134" s="46">
        <f t="shared" si="160"/>
        <v>5300000</v>
      </c>
      <c r="P134" s="46">
        <f t="shared" si="161"/>
        <v>5300000</v>
      </c>
      <c r="Q134" s="46">
        <v>5300000.0</v>
      </c>
      <c r="R134" s="101"/>
      <c r="S134" s="101"/>
      <c r="T134" s="99"/>
      <c r="U134" s="99"/>
      <c r="V134" s="99"/>
      <c r="W134" s="99"/>
      <c r="X134" s="99"/>
      <c r="Y134" s="99"/>
      <c r="Z134" s="99"/>
      <c r="AA134" s="99"/>
      <c r="AB134" s="99"/>
      <c r="AC134" s="99"/>
      <c r="AD134" s="99"/>
      <c r="AE134" s="99"/>
      <c r="AF134" s="99"/>
      <c r="AG134" s="99"/>
      <c r="AH134" s="99"/>
      <c r="AI134" s="99"/>
      <c r="AJ134" s="99"/>
      <c r="AK134" s="99"/>
      <c r="AL134" s="99"/>
      <c r="AM134" s="99"/>
    </row>
    <row r="135">
      <c r="A135" s="104"/>
      <c r="B135" s="104"/>
      <c r="C135" s="104"/>
      <c r="D135" s="110" t="s">
        <v>24</v>
      </c>
      <c r="E135" s="110" t="s">
        <v>337</v>
      </c>
      <c r="G135" s="136">
        <v>100.0</v>
      </c>
      <c r="H135" s="136" t="s">
        <v>95</v>
      </c>
      <c r="I135" s="137">
        <v>15000.0</v>
      </c>
      <c r="J135" s="46">
        <f t="shared" si="157"/>
        <v>1500000</v>
      </c>
      <c r="K135" s="46"/>
      <c r="L135" s="116">
        <f t="shared" si="158"/>
        <v>0</v>
      </c>
      <c r="M135" s="106"/>
      <c r="N135" s="116">
        <f t="shared" si="159"/>
        <v>0</v>
      </c>
      <c r="O135" s="46">
        <f t="shared" si="160"/>
        <v>1500000</v>
      </c>
      <c r="P135" s="46">
        <f t="shared" si="161"/>
        <v>1500000</v>
      </c>
      <c r="Q135" s="46">
        <v>1500000.0</v>
      </c>
      <c r="R135" s="101"/>
      <c r="S135" s="101"/>
      <c r="T135" s="99"/>
      <c r="U135" s="99"/>
      <c r="V135" s="99"/>
      <c r="W135" s="99"/>
      <c r="X135" s="99"/>
      <c r="Y135" s="99"/>
      <c r="Z135" s="99"/>
      <c r="AA135" s="99"/>
      <c r="AB135" s="99"/>
      <c r="AC135" s="99"/>
      <c r="AD135" s="99"/>
      <c r="AE135" s="99"/>
      <c r="AF135" s="99"/>
      <c r="AG135" s="99"/>
      <c r="AH135" s="99"/>
      <c r="AI135" s="99"/>
      <c r="AJ135" s="99"/>
      <c r="AK135" s="99"/>
      <c r="AL135" s="99"/>
      <c r="AM135" s="99"/>
    </row>
    <row r="136">
      <c r="A136" s="127" t="s">
        <v>141</v>
      </c>
      <c r="B136" s="121"/>
      <c r="C136" s="122"/>
      <c r="D136" s="127" t="s">
        <v>142</v>
      </c>
      <c r="E136" s="121"/>
      <c r="F136" s="122"/>
      <c r="G136" s="128"/>
      <c r="H136" s="128"/>
      <c r="I136" s="128"/>
      <c r="J136" s="129">
        <f t="shared" ref="J136:K136" si="162">J137</f>
        <v>283000000</v>
      </c>
      <c r="K136" s="129">
        <f t="shared" si="162"/>
        <v>0</v>
      </c>
      <c r="L136" s="116">
        <f t="shared" si="158"/>
        <v>0</v>
      </c>
      <c r="M136" s="130">
        <f>M137</f>
        <v>0</v>
      </c>
      <c r="N136" s="116">
        <f t="shared" si="159"/>
        <v>0</v>
      </c>
      <c r="O136" s="43">
        <f t="shared" ref="O136:P136" si="163">O137</f>
        <v>283000000</v>
      </c>
      <c r="P136" s="43">
        <f t="shared" si="163"/>
        <v>283000000</v>
      </c>
      <c r="Q136" s="129">
        <v>2.83E8</v>
      </c>
      <c r="R136" s="101"/>
      <c r="S136" s="101"/>
      <c r="T136" s="99"/>
      <c r="U136" s="99"/>
      <c r="V136" s="99"/>
      <c r="W136" s="99"/>
      <c r="X136" s="99"/>
      <c r="Y136" s="99"/>
      <c r="Z136" s="99"/>
      <c r="AA136" s="99"/>
      <c r="AB136" s="99"/>
      <c r="AC136" s="99"/>
      <c r="AD136" s="99"/>
      <c r="AE136" s="99"/>
      <c r="AF136" s="99"/>
      <c r="AG136" s="99"/>
      <c r="AH136" s="99"/>
      <c r="AI136" s="99"/>
      <c r="AJ136" s="99"/>
      <c r="AK136" s="99"/>
      <c r="AL136" s="99"/>
      <c r="AM136" s="99"/>
    </row>
    <row r="137">
      <c r="A137" s="131" t="s">
        <v>68</v>
      </c>
      <c r="B137" s="121"/>
      <c r="C137" s="122"/>
      <c r="D137" s="132" t="s">
        <v>69</v>
      </c>
      <c r="E137" s="121"/>
      <c r="F137" s="122"/>
      <c r="G137" s="133"/>
      <c r="H137" s="133"/>
      <c r="I137" s="133"/>
      <c r="J137" s="134">
        <f t="shared" ref="J137:K137" si="164">SUM(J139:J141)</f>
        <v>283000000</v>
      </c>
      <c r="K137" s="134">
        <f t="shared" si="164"/>
        <v>0</v>
      </c>
      <c r="L137" s="116">
        <f t="shared" si="158"/>
        <v>0</v>
      </c>
      <c r="M137" s="135">
        <f>SUM(M139:M141)</f>
        <v>0</v>
      </c>
      <c r="N137" s="116">
        <f t="shared" si="159"/>
        <v>0</v>
      </c>
      <c r="O137" s="46">
        <f t="shared" ref="O137:P137" si="165">SUM(O139:O141)</f>
        <v>283000000</v>
      </c>
      <c r="P137" s="46">
        <f t="shared" si="165"/>
        <v>283000000</v>
      </c>
      <c r="Q137" s="134">
        <v>2.83E8</v>
      </c>
      <c r="R137" s="101"/>
      <c r="S137" s="101"/>
      <c r="T137" s="99"/>
      <c r="U137" s="99"/>
      <c r="V137" s="99"/>
      <c r="W137" s="99"/>
      <c r="X137" s="99"/>
      <c r="Y137" s="99"/>
      <c r="Z137" s="99"/>
      <c r="AA137" s="99"/>
      <c r="AB137" s="99"/>
      <c r="AC137" s="99"/>
      <c r="AD137" s="99"/>
      <c r="AE137" s="99"/>
      <c r="AF137" s="99"/>
      <c r="AG137" s="99"/>
      <c r="AH137" s="99"/>
      <c r="AI137" s="99"/>
      <c r="AJ137" s="99"/>
      <c r="AK137" s="99"/>
      <c r="AL137" s="99"/>
      <c r="AM137" s="99"/>
    </row>
    <row r="138">
      <c r="A138" s="104"/>
      <c r="B138" s="104"/>
      <c r="C138" s="104"/>
      <c r="D138" s="110" t="s">
        <v>23</v>
      </c>
      <c r="G138" s="104"/>
      <c r="H138" s="104"/>
      <c r="I138" s="104"/>
      <c r="J138" s="111"/>
      <c r="K138" s="111"/>
      <c r="L138" s="116"/>
      <c r="M138" s="106"/>
      <c r="N138" s="116"/>
      <c r="O138" s="111"/>
      <c r="P138" s="111"/>
      <c r="Q138" s="111"/>
      <c r="R138" s="101"/>
      <c r="S138" s="101"/>
      <c r="T138" s="99"/>
      <c r="U138" s="99"/>
      <c r="V138" s="99"/>
      <c r="W138" s="99"/>
      <c r="X138" s="99"/>
      <c r="Y138" s="99"/>
      <c r="Z138" s="99"/>
      <c r="AA138" s="99"/>
      <c r="AB138" s="99"/>
      <c r="AC138" s="99"/>
      <c r="AD138" s="99"/>
      <c r="AE138" s="99"/>
      <c r="AF138" s="99"/>
      <c r="AG138" s="99"/>
      <c r="AH138" s="99"/>
      <c r="AI138" s="99"/>
      <c r="AJ138" s="99"/>
      <c r="AK138" s="99"/>
      <c r="AL138" s="99"/>
      <c r="AM138" s="99"/>
    </row>
    <row r="139">
      <c r="A139" s="104"/>
      <c r="B139" s="104"/>
      <c r="C139" s="104"/>
      <c r="D139" s="110" t="s">
        <v>24</v>
      </c>
      <c r="E139" s="110" t="s">
        <v>338</v>
      </c>
      <c r="G139" s="136">
        <v>100.0</v>
      </c>
      <c r="H139" s="136" t="s">
        <v>95</v>
      </c>
      <c r="I139" s="137">
        <v>2000000.0</v>
      </c>
      <c r="J139" s="46">
        <f t="shared" ref="J139:J141" si="166">G139*I139</f>
        <v>200000000</v>
      </c>
      <c r="K139" s="46"/>
      <c r="L139" s="116">
        <f t="shared" ref="L139:L143" si="167">(K139/J139)*100</f>
        <v>0</v>
      </c>
      <c r="M139" s="106"/>
      <c r="N139" s="116">
        <f t="shared" ref="N139:N143" si="168">(K139/J139)*100</f>
        <v>0</v>
      </c>
      <c r="O139" s="46">
        <f t="shared" ref="O139:O141" si="169">J139-K139</f>
        <v>200000000</v>
      </c>
      <c r="P139" s="46">
        <f t="shared" ref="P139:P141" si="170">J139-M139</f>
        <v>200000000</v>
      </c>
      <c r="Q139" s="46">
        <v>2.0E8</v>
      </c>
      <c r="R139" s="101"/>
      <c r="S139" s="101"/>
      <c r="T139" s="99"/>
      <c r="U139" s="99"/>
      <c r="V139" s="99"/>
      <c r="W139" s="99"/>
      <c r="X139" s="99"/>
      <c r="Y139" s="99"/>
      <c r="Z139" s="99"/>
      <c r="AA139" s="99"/>
      <c r="AB139" s="99"/>
      <c r="AC139" s="99"/>
      <c r="AD139" s="99"/>
      <c r="AE139" s="99"/>
      <c r="AF139" s="99"/>
      <c r="AG139" s="99"/>
      <c r="AH139" s="99"/>
      <c r="AI139" s="99"/>
      <c r="AJ139" s="99"/>
      <c r="AK139" s="99"/>
      <c r="AL139" s="99"/>
      <c r="AM139" s="99"/>
    </row>
    <row r="140">
      <c r="A140" s="104"/>
      <c r="B140" s="104"/>
      <c r="C140" s="104"/>
      <c r="D140" s="110" t="s">
        <v>24</v>
      </c>
      <c r="E140" s="110" t="s">
        <v>339</v>
      </c>
      <c r="G140" s="136">
        <v>100.0</v>
      </c>
      <c r="H140" s="136" t="s">
        <v>95</v>
      </c>
      <c r="I140" s="137">
        <v>750000.0</v>
      </c>
      <c r="J140" s="46">
        <f t="shared" si="166"/>
        <v>75000000</v>
      </c>
      <c r="K140" s="46"/>
      <c r="L140" s="116">
        <f t="shared" si="167"/>
        <v>0</v>
      </c>
      <c r="M140" s="106"/>
      <c r="N140" s="116">
        <f t="shared" si="168"/>
        <v>0</v>
      </c>
      <c r="O140" s="46">
        <f t="shared" si="169"/>
        <v>75000000</v>
      </c>
      <c r="P140" s="46">
        <f t="shared" si="170"/>
        <v>75000000</v>
      </c>
      <c r="Q140" s="46">
        <v>7.5E7</v>
      </c>
      <c r="R140" s="101"/>
      <c r="S140" s="101"/>
      <c r="T140" s="99"/>
      <c r="U140" s="99"/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  <c r="AI140" s="99"/>
      <c r="AJ140" s="99"/>
      <c r="AK140" s="99"/>
      <c r="AL140" s="99"/>
      <c r="AM140" s="99"/>
    </row>
    <row r="141">
      <c r="A141" s="104"/>
      <c r="B141" s="104"/>
      <c r="C141" s="104"/>
      <c r="D141" s="110" t="s">
        <v>24</v>
      </c>
      <c r="E141" s="110" t="s">
        <v>145</v>
      </c>
      <c r="G141" s="136">
        <v>4.0</v>
      </c>
      <c r="H141" s="136" t="s">
        <v>95</v>
      </c>
      <c r="I141" s="137">
        <v>2000000.0</v>
      </c>
      <c r="J141" s="46">
        <f t="shared" si="166"/>
        <v>8000000</v>
      </c>
      <c r="K141" s="46"/>
      <c r="L141" s="116">
        <f t="shared" si="167"/>
        <v>0</v>
      </c>
      <c r="M141" s="106"/>
      <c r="N141" s="116">
        <f t="shared" si="168"/>
        <v>0</v>
      </c>
      <c r="O141" s="46">
        <f t="shared" si="169"/>
        <v>8000000</v>
      </c>
      <c r="P141" s="46">
        <f t="shared" si="170"/>
        <v>8000000</v>
      </c>
      <c r="Q141" s="46">
        <v>8000000.0</v>
      </c>
      <c r="R141" s="101"/>
      <c r="S141" s="101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</row>
    <row r="142">
      <c r="A142" s="127" t="s">
        <v>146</v>
      </c>
      <c r="B142" s="121"/>
      <c r="C142" s="122"/>
      <c r="D142" s="127" t="s">
        <v>147</v>
      </c>
      <c r="E142" s="121"/>
      <c r="F142" s="122"/>
      <c r="G142" s="128"/>
      <c r="H142" s="128"/>
      <c r="I142" s="128"/>
      <c r="J142" s="129">
        <f t="shared" ref="J142:K142" si="171">J143+J150</f>
        <v>294800000</v>
      </c>
      <c r="K142" s="129">
        <f t="shared" si="171"/>
        <v>0</v>
      </c>
      <c r="L142" s="116">
        <f t="shared" si="167"/>
        <v>0</v>
      </c>
      <c r="M142" s="130">
        <f>M143+M150</f>
        <v>0</v>
      </c>
      <c r="N142" s="116">
        <f t="shared" si="168"/>
        <v>0</v>
      </c>
      <c r="O142" s="43">
        <f t="shared" ref="O142:P142" si="172">O143+O150</f>
        <v>294800000</v>
      </c>
      <c r="P142" s="43">
        <f t="shared" si="172"/>
        <v>294800000</v>
      </c>
      <c r="Q142" s="129">
        <v>2.948E8</v>
      </c>
      <c r="R142" s="101"/>
      <c r="S142" s="101"/>
      <c r="T142" s="99"/>
      <c r="U142" s="99"/>
      <c r="V142" s="99"/>
      <c r="W142" s="99"/>
      <c r="X142" s="99"/>
      <c r="Y142" s="99"/>
      <c r="Z142" s="99"/>
      <c r="AA142" s="99"/>
      <c r="AB142" s="99"/>
      <c r="AC142" s="99"/>
      <c r="AD142" s="99"/>
      <c r="AE142" s="99"/>
      <c r="AF142" s="99"/>
      <c r="AG142" s="99"/>
      <c r="AH142" s="99"/>
      <c r="AI142" s="99"/>
      <c r="AJ142" s="99"/>
      <c r="AK142" s="99"/>
      <c r="AL142" s="99"/>
      <c r="AM142" s="99"/>
    </row>
    <row r="143">
      <c r="A143" s="131" t="s">
        <v>74</v>
      </c>
      <c r="B143" s="121"/>
      <c r="C143" s="122"/>
      <c r="D143" s="132" t="s">
        <v>75</v>
      </c>
      <c r="E143" s="121"/>
      <c r="F143" s="122"/>
      <c r="G143" s="133"/>
      <c r="H143" s="133"/>
      <c r="I143" s="133"/>
      <c r="J143" s="134">
        <f t="shared" ref="J143:K143" si="173">SUM(J145:J149)</f>
        <v>270800000</v>
      </c>
      <c r="K143" s="134">
        <f t="shared" si="173"/>
        <v>0</v>
      </c>
      <c r="L143" s="116">
        <f t="shared" si="167"/>
        <v>0</v>
      </c>
      <c r="M143" s="135">
        <f>SUM(M145:M149)</f>
        <v>0</v>
      </c>
      <c r="N143" s="116">
        <f t="shared" si="168"/>
        <v>0</v>
      </c>
      <c r="O143" s="46">
        <f t="shared" ref="O143:P143" si="174">SUM(O145:O149)</f>
        <v>270800000</v>
      </c>
      <c r="P143" s="46">
        <f t="shared" si="174"/>
        <v>270800000</v>
      </c>
      <c r="Q143" s="134">
        <v>2.708E8</v>
      </c>
      <c r="R143" s="101"/>
      <c r="S143" s="101"/>
      <c r="T143" s="99"/>
      <c r="U143" s="99"/>
      <c r="V143" s="99"/>
      <c r="W143" s="99"/>
      <c r="X143" s="99"/>
      <c r="Y143" s="99"/>
      <c r="Z143" s="99"/>
      <c r="AA143" s="99"/>
      <c r="AB143" s="99"/>
      <c r="AC143" s="99"/>
      <c r="AD143" s="99"/>
      <c r="AE143" s="99"/>
      <c r="AF143" s="99"/>
      <c r="AG143" s="99"/>
      <c r="AH143" s="99"/>
      <c r="AI143" s="99"/>
      <c r="AJ143" s="99"/>
      <c r="AK143" s="99"/>
      <c r="AL143" s="99"/>
      <c r="AM143" s="99"/>
    </row>
    <row r="144">
      <c r="A144" s="104"/>
      <c r="B144" s="104"/>
      <c r="C144" s="104"/>
      <c r="D144" s="110" t="s">
        <v>23</v>
      </c>
      <c r="G144" s="104"/>
      <c r="H144" s="104"/>
      <c r="I144" s="104"/>
      <c r="J144" s="111"/>
      <c r="K144" s="111"/>
      <c r="L144" s="116"/>
      <c r="M144" s="106"/>
      <c r="N144" s="116"/>
      <c r="O144" s="111"/>
      <c r="P144" s="111"/>
      <c r="Q144" s="111"/>
      <c r="R144" s="101"/>
      <c r="S144" s="101"/>
      <c r="T144" s="99"/>
      <c r="U144" s="99"/>
      <c r="V144" s="99"/>
      <c r="W144" s="99"/>
      <c r="X144" s="99"/>
      <c r="Y144" s="99"/>
      <c r="Z144" s="99"/>
      <c r="AA144" s="99"/>
      <c r="AB144" s="99"/>
      <c r="AC144" s="99"/>
      <c r="AD144" s="99"/>
      <c r="AE144" s="99"/>
      <c r="AF144" s="99"/>
      <c r="AG144" s="99"/>
      <c r="AH144" s="99"/>
      <c r="AI144" s="99"/>
      <c r="AJ144" s="99"/>
      <c r="AK144" s="99"/>
      <c r="AL144" s="99"/>
      <c r="AM144" s="99"/>
    </row>
    <row r="145">
      <c r="A145" s="104"/>
      <c r="B145" s="104"/>
      <c r="C145" s="104"/>
      <c r="D145" s="110" t="s">
        <v>24</v>
      </c>
      <c r="E145" s="110" t="s">
        <v>291</v>
      </c>
      <c r="G145" s="136">
        <v>75.0</v>
      </c>
      <c r="H145" s="136" t="s">
        <v>95</v>
      </c>
      <c r="I145" s="137">
        <v>430000.0</v>
      </c>
      <c r="J145" s="46">
        <f t="shared" ref="J145:J149" si="175">G145*I145</f>
        <v>32250000</v>
      </c>
      <c r="K145" s="46"/>
      <c r="L145" s="116">
        <f t="shared" ref="L145:L150" si="176">(K145/J145)*100</f>
        <v>0</v>
      </c>
      <c r="M145" s="106"/>
      <c r="N145" s="116">
        <f t="shared" ref="N145:N150" si="177">(K145/J145)*100</f>
        <v>0</v>
      </c>
      <c r="O145" s="46">
        <f t="shared" ref="O145:O149" si="178">J145-K145</f>
        <v>32250000</v>
      </c>
      <c r="P145" s="46">
        <f t="shared" ref="P145:P149" si="179">J145-M145</f>
        <v>32250000</v>
      </c>
      <c r="Q145" s="46">
        <v>3.225E7</v>
      </c>
      <c r="R145" s="139">
        <v>2.487E7</v>
      </c>
      <c r="S145" s="101"/>
      <c r="T145" s="99"/>
      <c r="U145" s="99"/>
      <c r="V145" s="99"/>
      <c r="W145" s="99"/>
      <c r="X145" s="99"/>
      <c r="Y145" s="99"/>
      <c r="Z145" s="99"/>
      <c r="AA145" s="99"/>
      <c r="AB145" s="99"/>
      <c r="AC145" s="99"/>
      <c r="AD145" s="99"/>
      <c r="AE145" s="99"/>
      <c r="AF145" s="99"/>
      <c r="AG145" s="99"/>
      <c r="AH145" s="99"/>
      <c r="AI145" s="99"/>
      <c r="AJ145" s="99"/>
      <c r="AK145" s="99"/>
      <c r="AL145" s="99"/>
      <c r="AM145" s="99"/>
    </row>
    <row r="146">
      <c r="A146" s="104"/>
      <c r="B146" s="104"/>
      <c r="C146" s="104"/>
      <c r="D146" s="110" t="s">
        <v>24</v>
      </c>
      <c r="E146" s="110" t="s">
        <v>292</v>
      </c>
      <c r="G146" s="136">
        <v>50.0</v>
      </c>
      <c r="H146" s="136" t="s">
        <v>95</v>
      </c>
      <c r="I146" s="137">
        <v>550000.0</v>
      </c>
      <c r="J146" s="46">
        <f t="shared" si="175"/>
        <v>27500000</v>
      </c>
      <c r="K146" s="46"/>
      <c r="L146" s="116">
        <f t="shared" si="176"/>
        <v>0</v>
      </c>
      <c r="M146" s="106"/>
      <c r="N146" s="116">
        <f t="shared" si="177"/>
        <v>0</v>
      </c>
      <c r="O146" s="46">
        <f t="shared" si="178"/>
        <v>27500000</v>
      </c>
      <c r="P146" s="46">
        <f t="shared" si="179"/>
        <v>27500000</v>
      </c>
      <c r="Q146" s="46">
        <v>2.75E7</v>
      </c>
      <c r="R146" s="101"/>
      <c r="S146" s="101"/>
      <c r="T146" s="99"/>
      <c r="U146" s="99"/>
      <c r="V146" s="99"/>
      <c r="W146" s="99"/>
      <c r="X146" s="99"/>
      <c r="Y146" s="99"/>
      <c r="Z146" s="99"/>
      <c r="AA146" s="99"/>
      <c r="AB146" s="99"/>
      <c r="AC146" s="99"/>
      <c r="AD146" s="99"/>
      <c r="AE146" s="99"/>
      <c r="AF146" s="99"/>
      <c r="AG146" s="99"/>
      <c r="AH146" s="99"/>
      <c r="AI146" s="99"/>
      <c r="AJ146" s="99"/>
      <c r="AK146" s="99"/>
      <c r="AL146" s="99"/>
      <c r="AM146" s="99"/>
    </row>
    <row r="147">
      <c r="A147" s="104"/>
      <c r="B147" s="104"/>
      <c r="C147" s="104"/>
      <c r="D147" s="110" t="s">
        <v>24</v>
      </c>
      <c r="E147" s="110" t="s">
        <v>293</v>
      </c>
      <c r="G147" s="136">
        <v>25.0</v>
      </c>
      <c r="H147" s="136" t="s">
        <v>95</v>
      </c>
      <c r="I147" s="137">
        <v>602000.0</v>
      </c>
      <c r="J147" s="46">
        <f t="shared" si="175"/>
        <v>15050000</v>
      </c>
      <c r="K147" s="46"/>
      <c r="L147" s="116">
        <f t="shared" si="176"/>
        <v>0</v>
      </c>
      <c r="M147" s="106"/>
      <c r="N147" s="116">
        <f t="shared" si="177"/>
        <v>0</v>
      </c>
      <c r="O147" s="46">
        <f t="shared" si="178"/>
        <v>15050000</v>
      </c>
      <c r="P147" s="46">
        <f t="shared" si="179"/>
        <v>15050000</v>
      </c>
      <c r="Q147" s="46">
        <v>1.505E7</v>
      </c>
      <c r="R147" s="139">
        <v>1.7914E7</v>
      </c>
      <c r="S147" s="101"/>
      <c r="T147" s="99"/>
      <c r="U147" s="99"/>
      <c r="V147" s="99"/>
      <c r="W147" s="99"/>
      <c r="X147" s="99"/>
      <c r="Y147" s="99"/>
      <c r="Z147" s="99"/>
      <c r="AA147" s="99"/>
      <c r="AB147" s="99"/>
      <c r="AC147" s="99"/>
      <c r="AD147" s="99"/>
      <c r="AE147" s="99"/>
      <c r="AF147" s="99"/>
      <c r="AG147" s="99"/>
      <c r="AH147" s="99"/>
      <c r="AI147" s="99"/>
      <c r="AJ147" s="99"/>
      <c r="AK147" s="99"/>
      <c r="AL147" s="99"/>
      <c r="AM147" s="99"/>
    </row>
    <row r="148">
      <c r="A148" s="104"/>
      <c r="B148" s="104"/>
      <c r="C148" s="104"/>
      <c r="D148" s="110" t="s">
        <v>24</v>
      </c>
      <c r="E148" s="110" t="s">
        <v>340</v>
      </c>
      <c r="G148" s="136">
        <v>200.0</v>
      </c>
      <c r="H148" s="136" t="s">
        <v>95</v>
      </c>
      <c r="I148" s="137">
        <v>500000.0</v>
      </c>
      <c r="J148" s="46">
        <f t="shared" si="175"/>
        <v>100000000</v>
      </c>
      <c r="K148" s="46"/>
      <c r="L148" s="116">
        <f t="shared" si="176"/>
        <v>0</v>
      </c>
      <c r="M148" s="106"/>
      <c r="N148" s="116">
        <f t="shared" si="177"/>
        <v>0</v>
      </c>
      <c r="O148" s="46">
        <f t="shared" si="178"/>
        <v>100000000</v>
      </c>
      <c r="P148" s="46">
        <f t="shared" si="179"/>
        <v>100000000</v>
      </c>
      <c r="Q148" s="46">
        <v>1.0E8</v>
      </c>
      <c r="R148" s="139" t="s">
        <v>306</v>
      </c>
      <c r="S148" s="101"/>
      <c r="T148" s="99"/>
      <c r="U148" s="99"/>
      <c r="V148" s="99"/>
      <c r="W148" s="99"/>
      <c r="X148" s="99"/>
      <c r="Y148" s="99"/>
      <c r="Z148" s="99"/>
      <c r="AA148" s="99"/>
      <c r="AB148" s="99"/>
      <c r="AC148" s="99"/>
      <c r="AD148" s="99"/>
      <c r="AE148" s="99"/>
      <c r="AF148" s="99"/>
      <c r="AG148" s="99"/>
      <c r="AH148" s="99"/>
      <c r="AI148" s="99"/>
      <c r="AJ148" s="99"/>
      <c r="AK148" s="99"/>
      <c r="AL148" s="99"/>
      <c r="AM148" s="99"/>
    </row>
    <row r="149">
      <c r="A149" s="104"/>
      <c r="B149" s="104"/>
      <c r="C149" s="104"/>
      <c r="D149" s="110" t="s">
        <v>24</v>
      </c>
      <c r="E149" s="110" t="s">
        <v>341</v>
      </c>
      <c r="G149" s="136">
        <v>300.0</v>
      </c>
      <c r="H149" s="136" t="s">
        <v>95</v>
      </c>
      <c r="I149" s="137">
        <v>320000.0</v>
      </c>
      <c r="J149" s="46">
        <f t="shared" si="175"/>
        <v>96000000</v>
      </c>
      <c r="K149" s="46"/>
      <c r="L149" s="116">
        <f t="shared" si="176"/>
        <v>0</v>
      </c>
      <c r="M149" s="106"/>
      <c r="N149" s="116">
        <f t="shared" si="177"/>
        <v>0</v>
      </c>
      <c r="O149" s="46">
        <f t="shared" si="178"/>
        <v>96000000</v>
      </c>
      <c r="P149" s="46">
        <f t="shared" si="179"/>
        <v>96000000</v>
      </c>
      <c r="Q149" s="46">
        <v>9.6E7</v>
      </c>
      <c r="R149" s="101"/>
      <c r="S149" s="101"/>
      <c r="T149" s="99"/>
      <c r="U149" s="99"/>
      <c r="V149" s="99"/>
      <c r="W149" s="99"/>
      <c r="X149" s="99"/>
      <c r="Y149" s="99"/>
      <c r="Z149" s="99"/>
      <c r="AA149" s="99"/>
      <c r="AB149" s="99"/>
      <c r="AC149" s="99"/>
      <c r="AD149" s="99"/>
      <c r="AE149" s="99"/>
      <c r="AF149" s="99"/>
      <c r="AG149" s="99"/>
      <c r="AH149" s="99"/>
      <c r="AI149" s="99"/>
      <c r="AJ149" s="99"/>
      <c r="AK149" s="99"/>
      <c r="AL149" s="99"/>
      <c r="AM149" s="99"/>
    </row>
    <row r="150">
      <c r="A150" s="131" t="s">
        <v>79</v>
      </c>
      <c r="B150" s="121"/>
      <c r="C150" s="122"/>
      <c r="D150" s="132" t="s">
        <v>80</v>
      </c>
      <c r="E150" s="121"/>
      <c r="F150" s="122"/>
      <c r="G150" s="133"/>
      <c r="H150" s="133"/>
      <c r="I150" s="133"/>
      <c r="J150" s="134">
        <f t="shared" ref="J150:K150" si="180">J152</f>
        <v>24000000</v>
      </c>
      <c r="K150" s="134" t="str">
        <f t="shared" si="180"/>
        <v/>
      </c>
      <c r="L150" s="116">
        <f t="shared" si="176"/>
        <v>0</v>
      </c>
      <c r="M150" s="135" t="str">
        <f>M152</f>
        <v/>
      </c>
      <c r="N150" s="116">
        <f t="shared" si="177"/>
        <v>0</v>
      </c>
      <c r="O150" s="46">
        <f t="shared" ref="O150:P150" si="181">O152</f>
        <v>24000000</v>
      </c>
      <c r="P150" s="46">
        <f t="shared" si="181"/>
        <v>24000000</v>
      </c>
      <c r="Q150" s="134">
        <v>2.4E7</v>
      </c>
      <c r="R150" s="101"/>
      <c r="S150" s="101"/>
      <c r="T150" s="99"/>
      <c r="U150" s="99"/>
      <c r="V150" s="99"/>
      <c r="W150" s="99"/>
      <c r="X150" s="99"/>
      <c r="Y150" s="99"/>
      <c r="Z150" s="99"/>
      <c r="AA150" s="99"/>
      <c r="AB150" s="99"/>
      <c r="AC150" s="99"/>
      <c r="AD150" s="99"/>
      <c r="AE150" s="99"/>
      <c r="AF150" s="99"/>
      <c r="AG150" s="99"/>
      <c r="AH150" s="99"/>
      <c r="AI150" s="99"/>
      <c r="AJ150" s="99"/>
      <c r="AK150" s="99"/>
      <c r="AL150" s="99"/>
      <c r="AM150" s="99"/>
    </row>
    <row r="151">
      <c r="A151" s="104"/>
      <c r="B151" s="104"/>
      <c r="C151" s="104"/>
      <c r="D151" s="110" t="s">
        <v>23</v>
      </c>
      <c r="G151" s="104"/>
      <c r="H151" s="104"/>
      <c r="I151" s="104"/>
      <c r="J151" s="111"/>
      <c r="K151" s="111"/>
      <c r="L151" s="116"/>
      <c r="M151" s="106"/>
      <c r="N151" s="116"/>
      <c r="O151" s="111"/>
      <c r="P151" s="111"/>
      <c r="Q151" s="111"/>
      <c r="R151" s="101"/>
      <c r="S151" s="101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99"/>
      <c r="AG151" s="99"/>
      <c r="AH151" s="99"/>
      <c r="AI151" s="99"/>
      <c r="AJ151" s="99"/>
      <c r="AK151" s="99"/>
      <c r="AL151" s="99"/>
      <c r="AM151" s="99"/>
    </row>
    <row r="152">
      <c r="A152" s="104"/>
      <c r="B152" s="104"/>
      <c r="C152" s="104"/>
      <c r="D152" s="110" t="s">
        <v>24</v>
      </c>
      <c r="E152" s="110" t="s">
        <v>296</v>
      </c>
      <c r="G152" s="136">
        <v>160.0</v>
      </c>
      <c r="H152" s="136" t="s">
        <v>95</v>
      </c>
      <c r="I152" s="137">
        <v>150000.0</v>
      </c>
      <c r="J152" s="46">
        <f>G152*I152</f>
        <v>24000000</v>
      </c>
      <c r="K152" s="46"/>
      <c r="L152" s="116">
        <f t="shared" ref="L152:L155" si="183">(K152/J152)*100</f>
        <v>0</v>
      </c>
      <c r="M152" s="106"/>
      <c r="N152" s="116">
        <f t="shared" ref="N152:N155" si="184">(K152/J152)*100</f>
        <v>0</v>
      </c>
      <c r="O152" s="46">
        <f>J152-K152</f>
        <v>24000000</v>
      </c>
      <c r="P152" s="46">
        <f>J152-M152</f>
        <v>24000000</v>
      </c>
      <c r="Q152" s="46">
        <v>2.4E7</v>
      </c>
      <c r="R152" s="139">
        <v>1.08E7</v>
      </c>
      <c r="S152" s="101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9"/>
      <c r="AG152" s="99"/>
      <c r="AH152" s="99"/>
      <c r="AI152" s="99"/>
      <c r="AJ152" s="99"/>
      <c r="AK152" s="99"/>
      <c r="AL152" s="99"/>
      <c r="AM152" s="99"/>
    </row>
    <row r="153" ht="12.75" customHeight="1">
      <c r="A153" s="140" t="s">
        <v>342</v>
      </c>
      <c r="B153" s="121"/>
      <c r="C153" s="122"/>
      <c r="D153" s="140" t="s">
        <v>343</v>
      </c>
      <c r="E153" s="121"/>
      <c r="F153" s="122"/>
      <c r="G153" s="141" t="s">
        <v>306</v>
      </c>
      <c r="H153" s="141" t="s">
        <v>306</v>
      </c>
      <c r="I153" s="142"/>
      <c r="J153" s="125">
        <f t="shared" ref="J153:K153" si="182">J154+J168+J180+J193+J210+J219+J229+J234+J250+J264+J272+J280+J286</f>
        <v>5073246000</v>
      </c>
      <c r="K153" s="84">
        <f t="shared" si="182"/>
        <v>190117500</v>
      </c>
      <c r="L153" s="116">
        <f t="shared" si="183"/>
        <v>3.747452814</v>
      </c>
      <c r="M153" s="106"/>
      <c r="N153" s="116">
        <f t="shared" si="184"/>
        <v>3.747452814</v>
      </c>
      <c r="O153" s="84">
        <f t="shared" ref="O153:P153" si="185">O154+O168+O180+O193+O210+O219+O229+O234+O250+O264+O272+O280+O286</f>
        <v>4883128500</v>
      </c>
      <c r="P153" s="84">
        <f t="shared" si="185"/>
        <v>5073246000</v>
      </c>
      <c r="Q153" s="143">
        <v>5.073246E9</v>
      </c>
      <c r="R153" s="101">
        <v>4.07082953E8</v>
      </c>
      <c r="S153" s="101" t="s">
        <v>344</v>
      </c>
      <c r="T153" s="99"/>
      <c r="U153" s="99"/>
      <c r="V153" s="99"/>
      <c r="W153" s="99"/>
      <c r="X153" s="99"/>
      <c r="Y153" s="99"/>
      <c r="Z153" s="99"/>
      <c r="AA153" s="99"/>
      <c r="AB153" s="99"/>
      <c r="AC153" s="99"/>
      <c r="AD153" s="99"/>
      <c r="AE153" s="99"/>
      <c r="AF153" s="99"/>
      <c r="AG153" s="99"/>
      <c r="AH153" s="99"/>
      <c r="AI153" s="99"/>
      <c r="AJ153" s="99"/>
      <c r="AK153" s="99"/>
      <c r="AL153" s="99"/>
      <c r="AM153" s="99"/>
    </row>
    <row r="154" ht="12.75" customHeight="1">
      <c r="A154" s="144" t="s">
        <v>20</v>
      </c>
      <c r="D154" s="144" t="s">
        <v>21</v>
      </c>
      <c r="G154" s="104"/>
      <c r="H154" s="104"/>
      <c r="I154" s="104"/>
      <c r="J154" s="129">
        <f t="shared" ref="J154:K154" si="186">J155+J164</f>
        <v>247640000</v>
      </c>
      <c r="K154" s="43">
        <f t="shared" si="186"/>
        <v>0</v>
      </c>
      <c r="L154" s="116">
        <f t="shared" si="183"/>
        <v>0</v>
      </c>
      <c r="M154" s="106"/>
      <c r="N154" s="116">
        <f t="shared" si="184"/>
        <v>0</v>
      </c>
      <c r="O154" s="43">
        <f t="shared" ref="O154:P154" si="187">O155+O164</f>
        <v>247640000</v>
      </c>
      <c r="P154" s="43">
        <f t="shared" si="187"/>
        <v>247640000</v>
      </c>
      <c r="Q154" s="43">
        <v>2.4764E8</v>
      </c>
      <c r="R154" s="101"/>
      <c r="S154" s="101"/>
      <c r="T154" s="99"/>
      <c r="U154" s="99"/>
      <c r="V154" s="99"/>
      <c r="W154" s="99"/>
      <c r="X154" s="99"/>
      <c r="Y154" s="99"/>
      <c r="Z154" s="99"/>
      <c r="AA154" s="99"/>
      <c r="AB154" s="99"/>
      <c r="AC154" s="99"/>
      <c r="AD154" s="99"/>
      <c r="AE154" s="99"/>
      <c r="AF154" s="99"/>
      <c r="AG154" s="99"/>
      <c r="AH154" s="99"/>
      <c r="AI154" s="99"/>
      <c r="AJ154" s="99"/>
      <c r="AK154" s="99"/>
      <c r="AL154" s="99"/>
      <c r="AM154" s="99"/>
    </row>
    <row r="155" ht="12.75" customHeight="1">
      <c r="A155" s="110" t="s">
        <v>40</v>
      </c>
      <c r="D155" s="145" t="s">
        <v>22</v>
      </c>
      <c r="G155" s="104"/>
      <c r="H155" s="104"/>
      <c r="I155" s="104"/>
      <c r="J155" s="134">
        <f t="shared" ref="J155:K155" si="188">SUM(J157:J163)</f>
        <v>227640000</v>
      </c>
      <c r="K155" s="46">
        <f t="shared" si="188"/>
        <v>0</v>
      </c>
      <c r="L155" s="116">
        <f t="shared" si="183"/>
        <v>0</v>
      </c>
      <c r="M155" s="106"/>
      <c r="N155" s="116">
        <f t="shared" si="184"/>
        <v>0</v>
      </c>
      <c r="O155" s="46">
        <f t="shared" ref="O155:P155" si="189">SUM(O157:O163)</f>
        <v>227640000</v>
      </c>
      <c r="P155" s="46">
        <f t="shared" si="189"/>
        <v>227640000</v>
      </c>
      <c r="Q155" s="46">
        <v>2.2764E8</v>
      </c>
      <c r="R155" s="101"/>
      <c r="S155" s="101"/>
      <c r="T155" s="99"/>
      <c r="U155" s="99"/>
      <c r="V155" s="99"/>
      <c r="W155" s="99"/>
      <c r="X155" s="99"/>
      <c r="Y155" s="99"/>
      <c r="Z155" s="99"/>
      <c r="AA155" s="99"/>
      <c r="AB155" s="99"/>
      <c r="AC155" s="99"/>
      <c r="AD155" s="99"/>
      <c r="AE155" s="99"/>
      <c r="AF155" s="99"/>
      <c r="AG155" s="99"/>
      <c r="AH155" s="99"/>
      <c r="AI155" s="99"/>
      <c r="AJ155" s="99"/>
      <c r="AK155" s="99"/>
      <c r="AL155" s="99"/>
      <c r="AM155" s="99"/>
    </row>
    <row r="156" ht="12.75" customHeight="1">
      <c r="A156" s="104"/>
      <c r="B156" s="104"/>
      <c r="C156" s="104"/>
      <c r="D156" s="110" t="s">
        <v>23</v>
      </c>
      <c r="G156" s="104"/>
      <c r="H156" s="104"/>
      <c r="I156" s="104"/>
      <c r="J156" s="111"/>
      <c r="K156" s="111"/>
      <c r="L156" s="116"/>
      <c r="M156" s="106"/>
      <c r="N156" s="116"/>
      <c r="O156" s="111"/>
      <c r="P156" s="111"/>
      <c r="Q156" s="111"/>
      <c r="R156" s="101"/>
      <c r="S156" s="101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99"/>
      <c r="AH156" s="99"/>
      <c r="AI156" s="99"/>
      <c r="AJ156" s="99"/>
      <c r="AK156" s="99"/>
      <c r="AL156" s="99"/>
      <c r="AM156" s="99"/>
    </row>
    <row r="157" ht="12.75" customHeight="1">
      <c r="A157" s="104"/>
      <c r="B157" s="104"/>
      <c r="C157" s="104"/>
      <c r="D157" s="110" t="s">
        <v>24</v>
      </c>
      <c r="E157" s="110" t="s">
        <v>308</v>
      </c>
      <c r="G157" s="136">
        <v>48.0</v>
      </c>
      <c r="H157" s="136" t="s">
        <v>26</v>
      </c>
      <c r="I157" s="137">
        <v>500000.0</v>
      </c>
      <c r="J157" s="46">
        <f t="shared" ref="J157:J163" si="190">G157*I157</f>
        <v>24000000</v>
      </c>
      <c r="K157" s="46"/>
      <c r="L157" s="116">
        <f t="shared" ref="L157:L164" si="191">(K157/J157)*100</f>
        <v>0</v>
      </c>
      <c r="M157" s="106"/>
      <c r="N157" s="116">
        <f t="shared" ref="N157:N164" si="192">(K157/J157)*100</f>
        <v>0</v>
      </c>
      <c r="O157" s="46">
        <f t="shared" ref="O157:O163" si="193">J157-K157</f>
        <v>24000000</v>
      </c>
      <c r="P157" s="46">
        <f t="shared" ref="P157:P163" si="194">J157-M157</f>
        <v>24000000</v>
      </c>
      <c r="Q157" s="46">
        <v>2.4E7</v>
      </c>
      <c r="R157" s="101"/>
      <c r="S157" s="101"/>
      <c r="T157" s="99"/>
      <c r="U157" s="99"/>
      <c r="V157" s="99"/>
      <c r="W157" s="99"/>
      <c r="X157" s="99"/>
      <c r="Y157" s="99"/>
      <c r="Z157" s="99"/>
      <c r="AA157" s="99"/>
      <c r="AB157" s="99"/>
      <c r="AC157" s="99"/>
      <c r="AD157" s="99"/>
      <c r="AE157" s="99"/>
      <c r="AF157" s="99"/>
      <c r="AG157" s="99"/>
      <c r="AH157" s="99"/>
      <c r="AI157" s="99"/>
      <c r="AJ157" s="99"/>
      <c r="AK157" s="99"/>
      <c r="AL157" s="99"/>
      <c r="AM157" s="99"/>
    </row>
    <row r="158" ht="12.75" customHeight="1">
      <c r="A158" s="104"/>
      <c r="B158" s="104"/>
      <c r="C158" s="104"/>
      <c r="D158" s="110" t="s">
        <v>24</v>
      </c>
      <c r="E158" s="110" t="s">
        <v>27</v>
      </c>
      <c r="G158" s="136">
        <v>2.0</v>
      </c>
      <c r="H158" s="136" t="s">
        <v>26</v>
      </c>
      <c r="I158" s="137">
        <v>2000000.0</v>
      </c>
      <c r="J158" s="46">
        <f t="shared" si="190"/>
        <v>4000000</v>
      </c>
      <c r="K158" s="46"/>
      <c r="L158" s="116">
        <f t="shared" si="191"/>
        <v>0</v>
      </c>
      <c r="M158" s="106"/>
      <c r="N158" s="116">
        <f t="shared" si="192"/>
        <v>0</v>
      </c>
      <c r="O158" s="46">
        <f t="shared" si="193"/>
        <v>4000000</v>
      </c>
      <c r="P158" s="46">
        <f t="shared" si="194"/>
        <v>4000000</v>
      </c>
      <c r="Q158" s="46">
        <v>4000000.0</v>
      </c>
      <c r="R158" s="101"/>
      <c r="S158" s="101"/>
      <c r="T158" s="99"/>
      <c r="U158" s="99"/>
      <c r="V158" s="99"/>
      <c r="W158" s="99"/>
      <c r="X158" s="99"/>
      <c r="Y158" s="99"/>
      <c r="Z158" s="99"/>
      <c r="AA158" s="99"/>
      <c r="AB158" s="99"/>
      <c r="AC158" s="99"/>
      <c r="AD158" s="99"/>
      <c r="AE158" s="99"/>
      <c r="AF158" s="99"/>
      <c r="AG158" s="99"/>
      <c r="AH158" s="99"/>
      <c r="AI158" s="99"/>
      <c r="AJ158" s="99"/>
      <c r="AK158" s="99"/>
      <c r="AL158" s="99"/>
      <c r="AM158" s="99"/>
    </row>
    <row r="159" ht="15.75" customHeight="1">
      <c r="A159" s="104"/>
      <c r="B159" s="104"/>
      <c r="C159" s="104"/>
      <c r="D159" s="110" t="s">
        <v>24</v>
      </c>
      <c r="E159" s="110" t="s">
        <v>28</v>
      </c>
      <c r="G159" s="136">
        <v>10.0</v>
      </c>
      <c r="H159" s="136" t="s">
        <v>26</v>
      </c>
      <c r="I159" s="137">
        <v>500000.0</v>
      </c>
      <c r="J159" s="46">
        <f t="shared" si="190"/>
        <v>5000000</v>
      </c>
      <c r="K159" s="46"/>
      <c r="L159" s="116">
        <f t="shared" si="191"/>
        <v>0</v>
      </c>
      <c r="M159" s="106"/>
      <c r="N159" s="116">
        <f t="shared" si="192"/>
        <v>0</v>
      </c>
      <c r="O159" s="46">
        <f t="shared" si="193"/>
        <v>5000000</v>
      </c>
      <c r="P159" s="46">
        <f t="shared" si="194"/>
        <v>5000000</v>
      </c>
      <c r="Q159" s="46">
        <v>5000000.0</v>
      </c>
      <c r="R159" s="101"/>
      <c r="S159" s="101"/>
      <c r="T159" s="99"/>
      <c r="U159" s="99"/>
      <c r="V159" s="99"/>
      <c r="W159" s="99"/>
      <c r="X159" s="99"/>
      <c r="Y159" s="99"/>
      <c r="Z159" s="99"/>
      <c r="AA159" s="99"/>
      <c r="AB159" s="99"/>
      <c r="AC159" s="99"/>
      <c r="AD159" s="99"/>
      <c r="AE159" s="99"/>
      <c r="AF159" s="99"/>
      <c r="AG159" s="99"/>
      <c r="AH159" s="99"/>
      <c r="AI159" s="99"/>
      <c r="AJ159" s="99"/>
      <c r="AK159" s="99"/>
      <c r="AL159" s="99"/>
      <c r="AM159" s="99"/>
    </row>
    <row r="160" ht="12.75" customHeight="1">
      <c r="A160" s="104"/>
      <c r="B160" s="104"/>
      <c r="C160" s="104"/>
      <c r="D160" s="110" t="s">
        <v>24</v>
      </c>
      <c r="E160" s="110" t="s">
        <v>309</v>
      </c>
      <c r="G160" s="136">
        <v>400.0</v>
      </c>
      <c r="H160" s="136" t="s">
        <v>26</v>
      </c>
      <c r="I160" s="137">
        <v>25000.0</v>
      </c>
      <c r="J160" s="46">
        <f t="shared" si="190"/>
        <v>10000000</v>
      </c>
      <c r="K160" s="46"/>
      <c r="L160" s="116">
        <f t="shared" si="191"/>
        <v>0</v>
      </c>
      <c r="M160" s="106"/>
      <c r="N160" s="116">
        <f t="shared" si="192"/>
        <v>0</v>
      </c>
      <c r="O160" s="46">
        <f t="shared" si="193"/>
        <v>10000000</v>
      </c>
      <c r="P160" s="46">
        <f t="shared" si="194"/>
        <v>10000000</v>
      </c>
      <c r="Q160" s="46">
        <v>1.0E7</v>
      </c>
      <c r="R160" s="101"/>
      <c r="S160" s="101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9"/>
      <c r="AG160" s="99"/>
      <c r="AH160" s="99"/>
      <c r="AI160" s="99"/>
      <c r="AJ160" s="99"/>
      <c r="AK160" s="99"/>
      <c r="AL160" s="99"/>
      <c r="AM160" s="99"/>
    </row>
    <row r="161" ht="15.75" customHeight="1">
      <c r="A161" s="104"/>
      <c r="B161" s="104"/>
      <c r="C161" s="104"/>
      <c r="D161" s="110" t="s">
        <v>24</v>
      </c>
      <c r="E161" s="110" t="s">
        <v>31</v>
      </c>
      <c r="G161" s="136">
        <v>320.0</v>
      </c>
      <c r="H161" s="136" t="s">
        <v>26</v>
      </c>
      <c r="I161" s="137">
        <v>53000.0</v>
      </c>
      <c r="J161" s="46">
        <f t="shared" si="190"/>
        <v>16960000</v>
      </c>
      <c r="K161" s="46"/>
      <c r="L161" s="116">
        <f t="shared" si="191"/>
        <v>0</v>
      </c>
      <c r="M161" s="106"/>
      <c r="N161" s="116">
        <f t="shared" si="192"/>
        <v>0</v>
      </c>
      <c r="O161" s="46">
        <f t="shared" si="193"/>
        <v>16960000</v>
      </c>
      <c r="P161" s="46">
        <f t="shared" si="194"/>
        <v>16960000</v>
      </c>
      <c r="Q161" s="46">
        <v>1.696E7</v>
      </c>
      <c r="R161" s="101"/>
      <c r="S161" s="101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99"/>
      <c r="AG161" s="99"/>
      <c r="AH161" s="99"/>
      <c r="AI161" s="99"/>
      <c r="AJ161" s="99"/>
      <c r="AK161" s="99"/>
      <c r="AL161" s="99"/>
      <c r="AM161" s="99"/>
    </row>
    <row r="162" ht="15.75" customHeight="1">
      <c r="A162" s="104"/>
      <c r="B162" s="104"/>
      <c r="C162" s="104"/>
      <c r="D162" s="110" t="s">
        <v>24</v>
      </c>
      <c r="E162" s="110" t="s">
        <v>32</v>
      </c>
      <c r="G162" s="136">
        <v>320.0</v>
      </c>
      <c r="H162" s="136" t="s">
        <v>26</v>
      </c>
      <c r="I162" s="137">
        <v>24000.0</v>
      </c>
      <c r="J162" s="46">
        <f t="shared" si="190"/>
        <v>7680000</v>
      </c>
      <c r="K162" s="46"/>
      <c r="L162" s="116">
        <f t="shared" si="191"/>
        <v>0</v>
      </c>
      <c r="M162" s="106"/>
      <c r="N162" s="116">
        <f t="shared" si="192"/>
        <v>0</v>
      </c>
      <c r="O162" s="46">
        <f t="shared" si="193"/>
        <v>7680000</v>
      </c>
      <c r="P162" s="46">
        <f t="shared" si="194"/>
        <v>7680000</v>
      </c>
      <c r="Q162" s="46">
        <v>7680000.0</v>
      </c>
      <c r="R162" s="101"/>
      <c r="S162" s="101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  <c r="AD162" s="99"/>
      <c r="AE162" s="99"/>
      <c r="AF162" s="99"/>
      <c r="AG162" s="99"/>
      <c r="AH162" s="99"/>
      <c r="AI162" s="99"/>
      <c r="AJ162" s="99"/>
      <c r="AK162" s="99"/>
      <c r="AL162" s="99"/>
      <c r="AM162" s="99"/>
    </row>
    <row r="163" ht="15.75" customHeight="1">
      <c r="A163" s="104"/>
      <c r="B163" s="104"/>
      <c r="C163" s="104"/>
      <c r="D163" s="110" t="s">
        <v>24</v>
      </c>
      <c r="E163" s="110" t="s">
        <v>310</v>
      </c>
      <c r="G163" s="136">
        <v>200.0</v>
      </c>
      <c r="H163" s="136" t="s">
        <v>26</v>
      </c>
      <c r="I163" s="137">
        <v>800000.0</v>
      </c>
      <c r="J163" s="46">
        <f t="shared" si="190"/>
        <v>160000000</v>
      </c>
      <c r="K163" s="46"/>
      <c r="L163" s="116">
        <f t="shared" si="191"/>
        <v>0</v>
      </c>
      <c r="M163" s="106"/>
      <c r="N163" s="116">
        <f t="shared" si="192"/>
        <v>0</v>
      </c>
      <c r="O163" s="46">
        <f t="shared" si="193"/>
        <v>160000000</v>
      </c>
      <c r="P163" s="46">
        <f t="shared" si="194"/>
        <v>160000000</v>
      </c>
      <c r="Q163" s="46">
        <v>1.6E8</v>
      </c>
      <c r="R163" s="101"/>
      <c r="S163" s="101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9"/>
      <c r="AG163" s="99"/>
      <c r="AH163" s="99"/>
      <c r="AI163" s="99"/>
      <c r="AJ163" s="99"/>
      <c r="AK163" s="99"/>
      <c r="AL163" s="99"/>
      <c r="AM163" s="99"/>
    </row>
    <row r="164" ht="12.75" customHeight="1">
      <c r="A164" s="110" t="s">
        <v>58</v>
      </c>
      <c r="D164" s="145" t="s">
        <v>34</v>
      </c>
      <c r="G164" s="104"/>
      <c r="H164" s="133"/>
      <c r="I164" s="104"/>
      <c r="J164" s="134">
        <f t="shared" ref="J164:K164" si="195">SUM(J166:J167)</f>
        <v>20000000</v>
      </c>
      <c r="K164" s="46">
        <f t="shared" si="195"/>
        <v>0</v>
      </c>
      <c r="L164" s="116">
        <f t="shared" si="191"/>
        <v>0</v>
      </c>
      <c r="M164" s="106"/>
      <c r="N164" s="116">
        <f t="shared" si="192"/>
        <v>0</v>
      </c>
      <c r="O164" s="46">
        <f t="shared" ref="O164:P164" si="196">SUM(O166:O167)</f>
        <v>20000000</v>
      </c>
      <c r="P164" s="46">
        <f t="shared" si="196"/>
        <v>20000000</v>
      </c>
      <c r="Q164" s="46">
        <v>2.0E7</v>
      </c>
      <c r="R164" s="101"/>
      <c r="S164" s="101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9"/>
      <c r="AG164" s="99"/>
      <c r="AH164" s="99"/>
      <c r="AI164" s="99"/>
      <c r="AJ164" s="99"/>
      <c r="AK164" s="99"/>
      <c r="AL164" s="99"/>
      <c r="AM164" s="99"/>
    </row>
    <row r="165" ht="12.75" customHeight="1">
      <c r="A165" s="104"/>
      <c r="B165" s="104"/>
      <c r="C165" s="104"/>
      <c r="D165" s="110" t="s">
        <v>23</v>
      </c>
      <c r="G165" s="104"/>
      <c r="H165" s="104"/>
      <c r="I165" s="104"/>
      <c r="J165" s="111"/>
      <c r="K165" s="111"/>
      <c r="L165" s="116"/>
      <c r="M165" s="106"/>
      <c r="N165" s="116"/>
      <c r="O165" s="111"/>
      <c r="P165" s="111"/>
      <c r="Q165" s="111"/>
      <c r="R165" s="101"/>
      <c r="S165" s="101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9"/>
      <c r="AG165" s="99"/>
      <c r="AH165" s="99"/>
      <c r="AI165" s="99"/>
      <c r="AJ165" s="99"/>
      <c r="AK165" s="99"/>
      <c r="AL165" s="99"/>
      <c r="AM165" s="99"/>
    </row>
    <row r="166" ht="12.75" customHeight="1">
      <c r="A166" s="104"/>
      <c r="B166" s="104"/>
      <c r="C166" s="104"/>
      <c r="D166" s="110" t="s">
        <v>24</v>
      </c>
      <c r="E166" s="110" t="s">
        <v>311</v>
      </c>
      <c r="G166" s="136">
        <v>32.0</v>
      </c>
      <c r="H166" s="136" t="s">
        <v>26</v>
      </c>
      <c r="I166" s="137">
        <v>500000.0</v>
      </c>
      <c r="J166" s="46">
        <f t="shared" ref="J166:J167" si="197">G166*I166</f>
        <v>16000000</v>
      </c>
      <c r="K166" s="46"/>
      <c r="L166" s="116">
        <f t="shared" ref="L166:L169" si="198">(K166/J166)*100</f>
        <v>0</v>
      </c>
      <c r="M166" s="106"/>
      <c r="N166" s="116">
        <f t="shared" ref="N166:N169" si="199">(K166/J166)*100</f>
        <v>0</v>
      </c>
      <c r="O166" s="46">
        <f t="shared" ref="O166:O167" si="200">J166-K166</f>
        <v>16000000</v>
      </c>
      <c r="P166" s="46">
        <f t="shared" ref="P166:P167" si="201">J166-M166</f>
        <v>16000000</v>
      </c>
      <c r="Q166" s="46">
        <v>1.6E7</v>
      </c>
      <c r="R166" s="101"/>
      <c r="S166" s="101"/>
      <c r="T166" s="99"/>
      <c r="U166" s="99"/>
      <c r="V166" s="99"/>
      <c r="W166" s="99"/>
      <c r="X166" s="99"/>
      <c r="Y166" s="99"/>
      <c r="Z166" s="99"/>
      <c r="AA166" s="99"/>
      <c r="AB166" s="99"/>
      <c r="AC166" s="99"/>
      <c r="AD166" s="99"/>
      <c r="AE166" s="99"/>
      <c r="AF166" s="99"/>
      <c r="AG166" s="99"/>
      <c r="AH166" s="99"/>
      <c r="AI166" s="99"/>
      <c r="AJ166" s="99"/>
      <c r="AK166" s="99"/>
      <c r="AL166" s="99"/>
      <c r="AM166" s="99"/>
    </row>
    <row r="167" ht="12.75" customHeight="1">
      <c r="A167" s="104"/>
      <c r="B167" s="104"/>
      <c r="C167" s="104"/>
      <c r="D167" s="110" t="s">
        <v>24</v>
      </c>
      <c r="E167" s="110" t="s">
        <v>312</v>
      </c>
      <c r="G167" s="136">
        <v>8.0</v>
      </c>
      <c r="H167" s="136" t="s">
        <v>26</v>
      </c>
      <c r="I167" s="137">
        <v>500000.0</v>
      </c>
      <c r="J167" s="46">
        <f t="shared" si="197"/>
        <v>4000000</v>
      </c>
      <c r="K167" s="46"/>
      <c r="L167" s="116">
        <f t="shared" si="198"/>
        <v>0</v>
      </c>
      <c r="M167" s="106"/>
      <c r="N167" s="116">
        <f t="shared" si="199"/>
        <v>0</v>
      </c>
      <c r="O167" s="46">
        <f t="shared" si="200"/>
        <v>4000000</v>
      </c>
      <c r="P167" s="46">
        <f t="shared" si="201"/>
        <v>4000000</v>
      </c>
      <c r="Q167" s="46">
        <v>4000000.0</v>
      </c>
      <c r="R167" s="101"/>
      <c r="S167" s="101"/>
      <c r="T167" s="99"/>
      <c r="U167" s="99"/>
      <c r="V167" s="99"/>
      <c r="W167" s="99"/>
      <c r="X167" s="99"/>
      <c r="Y167" s="99"/>
      <c r="Z167" s="99"/>
      <c r="AA167" s="99"/>
      <c r="AB167" s="99"/>
      <c r="AC167" s="99"/>
      <c r="AD167" s="99"/>
      <c r="AE167" s="99"/>
      <c r="AF167" s="99"/>
      <c r="AG167" s="99"/>
      <c r="AH167" s="99"/>
      <c r="AI167" s="99"/>
      <c r="AJ167" s="99"/>
      <c r="AK167" s="99"/>
      <c r="AL167" s="99"/>
      <c r="AM167" s="99"/>
    </row>
    <row r="168" ht="12.75" customHeight="1">
      <c r="A168" s="144" t="s">
        <v>37</v>
      </c>
      <c r="D168" s="144" t="s">
        <v>38</v>
      </c>
      <c r="G168" s="104"/>
      <c r="H168" s="128"/>
      <c r="I168" s="104"/>
      <c r="J168" s="129">
        <f t="shared" ref="J168:K168" si="202">J169+J174+J177</f>
        <v>45700000</v>
      </c>
      <c r="K168" s="43">
        <f t="shared" si="202"/>
        <v>0</v>
      </c>
      <c r="L168" s="116">
        <f t="shared" si="198"/>
        <v>0</v>
      </c>
      <c r="M168" s="106"/>
      <c r="N168" s="116">
        <f t="shared" si="199"/>
        <v>0</v>
      </c>
      <c r="O168" s="43">
        <f t="shared" ref="O168:P168" si="203">O169+O174+O177</f>
        <v>45700000</v>
      </c>
      <c r="P168" s="43">
        <f t="shared" si="203"/>
        <v>45700000</v>
      </c>
      <c r="Q168" s="43">
        <v>4.57E7</v>
      </c>
      <c r="R168" s="101"/>
      <c r="S168" s="101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9"/>
      <c r="AG168" s="99"/>
      <c r="AH168" s="99"/>
      <c r="AI168" s="99"/>
      <c r="AJ168" s="99"/>
      <c r="AK168" s="99"/>
      <c r="AL168" s="99"/>
      <c r="AM168" s="99"/>
    </row>
    <row r="169" ht="12.75" customHeight="1">
      <c r="A169" s="110" t="s">
        <v>40</v>
      </c>
      <c r="D169" s="145" t="s">
        <v>22</v>
      </c>
      <c r="G169" s="104"/>
      <c r="H169" s="133"/>
      <c r="I169" s="104"/>
      <c r="J169" s="134">
        <f t="shared" ref="J169:K169" si="204">SUM(J171:J173)</f>
        <v>11700000</v>
      </c>
      <c r="K169" s="46">
        <f t="shared" si="204"/>
        <v>0</v>
      </c>
      <c r="L169" s="116">
        <f t="shared" si="198"/>
        <v>0</v>
      </c>
      <c r="M169" s="106"/>
      <c r="N169" s="116">
        <f t="shared" si="199"/>
        <v>0</v>
      </c>
      <c r="O169" s="46">
        <f t="shared" ref="O169:P169" si="205">SUM(O171:O173)</f>
        <v>11700000</v>
      </c>
      <c r="P169" s="46">
        <f t="shared" si="205"/>
        <v>11700000</v>
      </c>
      <c r="Q169" s="46">
        <v>1.17E7</v>
      </c>
      <c r="R169" s="101"/>
      <c r="S169" s="101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9"/>
      <c r="AG169" s="99"/>
      <c r="AH169" s="99"/>
      <c r="AI169" s="99"/>
      <c r="AJ169" s="99"/>
      <c r="AK169" s="99"/>
      <c r="AL169" s="99"/>
      <c r="AM169" s="99"/>
    </row>
    <row r="170" ht="12.75" customHeight="1">
      <c r="A170" s="104"/>
      <c r="B170" s="104"/>
      <c r="C170" s="104"/>
      <c r="D170" s="110" t="s">
        <v>23</v>
      </c>
      <c r="G170" s="104"/>
      <c r="H170" s="104"/>
      <c r="I170" s="104"/>
      <c r="J170" s="111"/>
      <c r="K170" s="111"/>
      <c r="L170" s="116"/>
      <c r="M170" s="106"/>
      <c r="N170" s="116"/>
      <c r="O170" s="111"/>
      <c r="P170" s="111"/>
      <c r="Q170" s="111"/>
      <c r="R170" s="101"/>
      <c r="S170" s="101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9"/>
      <c r="AG170" s="99"/>
      <c r="AH170" s="99"/>
      <c r="AI170" s="99"/>
      <c r="AJ170" s="99"/>
      <c r="AK170" s="99"/>
      <c r="AL170" s="99"/>
      <c r="AM170" s="99"/>
    </row>
    <row r="171" ht="12.75" customHeight="1">
      <c r="A171" s="104"/>
      <c r="B171" s="104"/>
      <c r="C171" s="104"/>
      <c r="D171" s="110" t="s">
        <v>24</v>
      </c>
      <c r="E171" s="110" t="s">
        <v>313</v>
      </c>
      <c r="G171" s="136">
        <v>200.0</v>
      </c>
      <c r="H171" s="136" t="s">
        <v>26</v>
      </c>
      <c r="I171" s="137">
        <v>53000.0</v>
      </c>
      <c r="J171" s="46">
        <f t="shared" ref="J171:J173" si="206">G171*I171</f>
        <v>10600000</v>
      </c>
      <c r="K171" s="46"/>
      <c r="L171" s="116">
        <f t="shared" ref="L171:L174" si="207">(K171/J171)*100</f>
        <v>0</v>
      </c>
      <c r="M171" s="106"/>
      <c r="N171" s="116">
        <f t="shared" ref="N171:N174" si="208">(K171/J171)*100</f>
        <v>0</v>
      </c>
      <c r="O171" s="46">
        <f t="shared" ref="O171:O173" si="209">J171-K171</f>
        <v>10600000</v>
      </c>
      <c r="P171" s="46">
        <f t="shared" ref="P171:P173" si="210">J171-M171</f>
        <v>10600000</v>
      </c>
      <c r="Q171" s="46">
        <v>1.06E7</v>
      </c>
      <c r="R171" s="101"/>
      <c r="S171" s="101"/>
      <c r="T171" s="99"/>
      <c r="U171" s="99"/>
      <c r="V171" s="99"/>
      <c r="W171" s="99"/>
      <c r="X171" s="99"/>
      <c r="Y171" s="99"/>
      <c r="Z171" s="99"/>
      <c r="AA171" s="99"/>
      <c r="AB171" s="99"/>
      <c r="AC171" s="99"/>
      <c r="AD171" s="99"/>
      <c r="AE171" s="99"/>
      <c r="AF171" s="99"/>
      <c r="AG171" s="99"/>
      <c r="AH171" s="99"/>
      <c r="AI171" s="99"/>
      <c r="AJ171" s="99"/>
      <c r="AK171" s="99"/>
      <c r="AL171" s="99"/>
      <c r="AM171" s="99"/>
    </row>
    <row r="172" ht="12.75" customHeight="1">
      <c r="A172" s="104"/>
      <c r="B172" s="104"/>
      <c r="C172" s="104"/>
      <c r="D172" s="110" t="s">
        <v>24</v>
      </c>
      <c r="E172" s="110" t="s">
        <v>42</v>
      </c>
      <c r="G172" s="136">
        <v>2.0</v>
      </c>
      <c r="H172" s="136" t="s">
        <v>26</v>
      </c>
      <c r="I172" s="137">
        <v>250000.0</v>
      </c>
      <c r="J172" s="46">
        <f t="shared" si="206"/>
        <v>500000</v>
      </c>
      <c r="K172" s="46"/>
      <c r="L172" s="116">
        <f t="shared" si="207"/>
        <v>0</v>
      </c>
      <c r="M172" s="106"/>
      <c r="N172" s="116">
        <f t="shared" si="208"/>
        <v>0</v>
      </c>
      <c r="O172" s="46">
        <f t="shared" si="209"/>
        <v>500000</v>
      </c>
      <c r="P172" s="46">
        <f t="shared" si="210"/>
        <v>500000</v>
      </c>
      <c r="Q172" s="46">
        <v>500000.0</v>
      </c>
      <c r="R172" s="101"/>
      <c r="S172" s="101"/>
      <c r="T172" s="99"/>
      <c r="U172" s="99"/>
      <c r="V172" s="99"/>
      <c r="W172" s="99"/>
      <c r="X172" s="99"/>
      <c r="Y172" s="99"/>
      <c r="Z172" s="99"/>
      <c r="AA172" s="99"/>
      <c r="AB172" s="99"/>
      <c r="AC172" s="99"/>
      <c r="AD172" s="99"/>
      <c r="AE172" s="99"/>
      <c r="AF172" s="99"/>
      <c r="AG172" s="99"/>
      <c r="AH172" s="99"/>
      <c r="AI172" s="99"/>
      <c r="AJ172" s="99"/>
      <c r="AK172" s="99"/>
      <c r="AL172" s="99"/>
      <c r="AM172" s="99"/>
    </row>
    <row r="173" ht="12.75" customHeight="1">
      <c r="A173" s="104"/>
      <c r="B173" s="104"/>
      <c r="C173" s="104"/>
      <c r="D173" s="110" t="s">
        <v>24</v>
      </c>
      <c r="E173" s="110" t="s">
        <v>43</v>
      </c>
      <c r="G173" s="136">
        <v>2.0</v>
      </c>
      <c r="H173" s="136" t="s">
        <v>26</v>
      </c>
      <c r="I173" s="137">
        <v>300000.0</v>
      </c>
      <c r="J173" s="46">
        <f t="shared" si="206"/>
        <v>600000</v>
      </c>
      <c r="K173" s="46"/>
      <c r="L173" s="116">
        <f t="shared" si="207"/>
        <v>0</v>
      </c>
      <c r="M173" s="106"/>
      <c r="N173" s="116">
        <f t="shared" si="208"/>
        <v>0</v>
      </c>
      <c r="O173" s="46">
        <f t="shared" si="209"/>
        <v>600000</v>
      </c>
      <c r="P173" s="46">
        <f t="shared" si="210"/>
        <v>600000</v>
      </c>
      <c r="Q173" s="46">
        <v>600000.0</v>
      </c>
      <c r="R173" s="101"/>
      <c r="S173" s="101"/>
      <c r="T173" s="99"/>
      <c r="U173" s="99"/>
      <c r="V173" s="99"/>
      <c r="W173" s="99"/>
      <c r="X173" s="99"/>
      <c r="Y173" s="99"/>
      <c r="Z173" s="99"/>
      <c r="AA173" s="99"/>
      <c r="AB173" s="99"/>
      <c r="AC173" s="99"/>
      <c r="AD173" s="99"/>
      <c r="AE173" s="99"/>
      <c r="AF173" s="99"/>
      <c r="AG173" s="99"/>
      <c r="AH173" s="99"/>
      <c r="AI173" s="99"/>
      <c r="AJ173" s="99"/>
      <c r="AK173" s="99"/>
      <c r="AL173" s="99"/>
      <c r="AM173" s="99"/>
    </row>
    <row r="174" ht="12.75" customHeight="1">
      <c r="A174" s="110" t="s">
        <v>44</v>
      </c>
      <c r="D174" s="145" t="s">
        <v>45</v>
      </c>
      <c r="G174" s="104"/>
      <c r="H174" s="133"/>
      <c r="I174" s="104"/>
      <c r="J174" s="134">
        <f t="shared" ref="J174:K174" si="211">J176</f>
        <v>2000000</v>
      </c>
      <c r="K174" s="46" t="str">
        <f t="shared" si="211"/>
        <v/>
      </c>
      <c r="L174" s="116">
        <f t="shared" si="207"/>
        <v>0</v>
      </c>
      <c r="M174" s="106"/>
      <c r="N174" s="116">
        <f t="shared" si="208"/>
        <v>0</v>
      </c>
      <c r="O174" s="46">
        <f t="shared" ref="O174:P174" si="212">O176</f>
        <v>2000000</v>
      </c>
      <c r="P174" s="46">
        <f t="shared" si="212"/>
        <v>2000000</v>
      </c>
      <c r="Q174" s="46">
        <v>2000000.0</v>
      </c>
      <c r="R174" s="101"/>
      <c r="S174" s="101"/>
      <c r="T174" s="99"/>
      <c r="U174" s="99"/>
      <c r="V174" s="99"/>
      <c r="W174" s="99"/>
      <c r="X174" s="99"/>
      <c r="Y174" s="99"/>
      <c r="Z174" s="99"/>
      <c r="AA174" s="99"/>
      <c r="AB174" s="99"/>
      <c r="AC174" s="99"/>
      <c r="AD174" s="99"/>
      <c r="AE174" s="99"/>
      <c r="AF174" s="99"/>
      <c r="AG174" s="99"/>
      <c r="AH174" s="99"/>
      <c r="AI174" s="99"/>
      <c r="AJ174" s="99"/>
      <c r="AK174" s="99"/>
      <c r="AL174" s="99"/>
      <c r="AM174" s="99"/>
    </row>
    <row r="175" ht="12.75" customHeight="1">
      <c r="A175" s="104"/>
      <c r="B175" s="104"/>
      <c r="C175" s="104"/>
      <c r="D175" s="110" t="s">
        <v>23</v>
      </c>
      <c r="G175" s="104"/>
      <c r="H175" s="104"/>
      <c r="I175" s="104"/>
      <c r="J175" s="111"/>
      <c r="K175" s="111"/>
      <c r="L175" s="116"/>
      <c r="M175" s="106"/>
      <c r="N175" s="116"/>
      <c r="O175" s="111"/>
      <c r="P175" s="111"/>
      <c r="Q175" s="111"/>
      <c r="R175" s="101"/>
      <c r="S175" s="101"/>
      <c r="T175" s="99"/>
      <c r="U175" s="99"/>
      <c r="V175" s="99"/>
      <c r="W175" s="99"/>
      <c r="X175" s="99"/>
      <c r="Y175" s="99"/>
      <c r="Z175" s="99"/>
      <c r="AA175" s="99"/>
      <c r="AB175" s="99"/>
      <c r="AC175" s="99"/>
      <c r="AD175" s="99"/>
      <c r="AE175" s="99"/>
      <c r="AF175" s="99"/>
      <c r="AG175" s="99"/>
      <c r="AH175" s="99"/>
      <c r="AI175" s="99"/>
      <c r="AJ175" s="99"/>
      <c r="AK175" s="99"/>
      <c r="AL175" s="99"/>
      <c r="AM175" s="99"/>
    </row>
    <row r="176" ht="12.75" customHeight="1">
      <c r="A176" s="104"/>
      <c r="B176" s="104"/>
      <c r="C176" s="104"/>
      <c r="D176" s="110" t="s">
        <v>24</v>
      </c>
      <c r="E176" s="110" t="s">
        <v>161</v>
      </c>
      <c r="G176" s="136">
        <v>4.0</v>
      </c>
      <c r="H176" s="136" t="s">
        <v>26</v>
      </c>
      <c r="I176" s="137">
        <v>500000.0</v>
      </c>
      <c r="J176" s="46">
        <f>G176*I176</f>
        <v>2000000</v>
      </c>
      <c r="K176" s="46"/>
      <c r="L176" s="116">
        <f t="shared" ref="L176:L177" si="214">(K176/J176)*100</f>
        <v>0</v>
      </c>
      <c r="M176" s="106"/>
      <c r="N176" s="116">
        <f t="shared" ref="N176:N177" si="215">(K176/J176)*100</f>
        <v>0</v>
      </c>
      <c r="O176" s="46">
        <f>J176-K176</f>
        <v>2000000</v>
      </c>
      <c r="P176" s="46">
        <f>J176-M176</f>
        <v>2000000</v>
      </c>
      <c r="Q176" s="46">
        <v>2000000.0</v>
      </c>
      <c r="R176" s="101"/>
      <c r="S176" s="101"/>
      <c r="T176" s="99"/>
      <c r="U176" s="99"/>
      <c r="V176" s="99"/>
      <c r="W176" s="99"/>
      <c r="X176" s="99"/>
      <c r="Y176" s="99"/>
      <c r="Z176" s="99"/>
      <c r="AA176" s="99"/>
      <c r="AB176" s="99"/>
      <c r="AC176" s="99"/>
      <c r="AD176" s="99"/>
      <c r="AE176" s="99"/>
      <c r="AF176" s="99"/>
      <c r="AG176" s="99"/>
      <c r="AH176" s="99"/>
      <c r="AI176" s="99"/>
      <c r="AJ176" s="99"/>
      <c r="AK176" s="99"/>
      <c r="AL176" s="99"/>
      <c r="AM176" s="99"/>
    </row>
    <row r="177" ht="12.75" customHeight="1">
      <c r="A177" s="110" t="s">
        <v>47</v>
      </c>
      <c r="D177" s="145" t="s">
        <v>48</v>
      </c>
      <c r="G177" s="104"/>
      <c r="H177" s="133"/>
      <c r="I177" s="104"/>
      <c r="J177" s="134">
        <f t="shared" ref="J177:K177" si="213">J179</f>
        <v>32000000</v>
      </c>
      <c r="K177" s="46" t="str">
        <f t="shared" si="213"/>
        <v/>
      </c>
      <c r="L177" s="116">
        <f t="shared" si="214"/>
        <v>0</v>
      </c>
      <c r="M177" s="106"/>
      <c r="N177" s="116">
        <f t="shared" si="215"/>
        <v>0</v>
      </c>
      <c r="O177" s="46">
        <f t="shared" ref="O177:P177" si="216">O179</f>
        <v>32000000</v>
      </c>
      <c r="P177" s="46">
        <f t="shared" si="216"/>
        <v>32000000</v>
      </c>
      <c r="Q177" s="46">
        <v>3.2E7</v>
      </c>
      <c r="R177" s="101"/>
      <c r="S177" s="101"/>
      <c r="T177" s="99"/>
      <c r="U177" s="99"/>
      <c r="V177" s="99"/>
      <c r="W177" s="99"/>
      <c r="X177" s="99"/>
      <c r="Y177" s="99"/>
      <c r="Z177" s="99"/>
      <c r="AA177" s="99"/>
      <c r="AB177" s="99"/>
      <c r="AC177" s="99"/>
      <c r="AD177" s="99"/>
      <c r="AE177" s="99"/>
      <c r="AF177" s="99"/>
      <c r="AG177" s="99"/>
      <c r="AH177" s="99"/>
      <c r="AI177" s="99"/>
      <c r="AJ177" s="99"/>
      <c r="AK177" s="99"/>
      <c r="AL177" s="99"/>
      <c r="AM177" s="99"/>
    </row>
    <row r="178" ht="12.75" customHeight="1">
      <c r="A178" s="104"/>
      <c r="B178" s="104"/>
      <c r="C178" s="104"/>
      <c r="D178" s="110" t="s">
        <v>23</v>
      </c>
      <c r="G178" s="104"/>
      <c r="H178" s="104"/>
      <c r="I178" s="104"/>
      <c r="J178" s="111"/>
      <c r="K178" s="111"/>
      <c r="L178" s="116"/>
      <c r="M178" s="106"/>
      <c r="N178" s="116"/>
      <c r="O178" s="111"/>
      <c r="P178" s="111"/>
      <c r="Q178" s="111"/>
      <c r="R178" s="101"/>
      <c r="S178" s="101"/>
      <c r="T178" s="99"/>
      <c r="U178" s="99"/>
      <c r="V178" s="99"/>
      <c r="W178" s="99"/>
      <c r="X178" s="99"/>
      <c r="Y178" s="99"/>
      <c r="Z178" s="99"/>
      <c r="AA178" s="99"/>
      <c r="AB178" s="99"/>
      <c r="AC178" s="99"/>
      <c r="AD178" s="99"/>
      <c r="AE178" s="99"/>
      <c r="AF178" s="99"/>
      <c r="AG178" s="99"/>
      <c r="AH178" s="99"/>
      <c r="AI178" s="99"/>
      <c r="AJ178" s="99"/>
      <c r="AK178" s="99"/>
      <c r="AL178" s="99"/>
      <c r="AM178" s="99"/>
    </row>
    <row r="179" ht="12.75" customHeight="1">
      <c r="A179" s="104"/>
      <c r="B179" s="104"/>
      <c r="C179" s="104"/>
      <c r="D179" s="110" t="s">
        <v>24</v>
      </c>
      <c r="E179" s="110" t="s">
        <v>314</v>
      </c>
      <c r="G179" s="136">
        <v>8.0</v>
      </c>
      <c r="H179" s="136" t="s">
        <v>26</v>
      </c>
      <c r="I179" s="137">
        <v>4000000.0</v>
      </c>
      <c r="J179" s="46">
        <f>G179*I179</f>
        <v>32000000</v>
      </c>
      <c r="K179" s="46"/>
      <c r="L179" s="116">
        <f t="shared" ref="L179:L181" si="218">(K179/J179)*100</f>
        <v>0</v>
      </c>
      <c r="M179" s="106"/>
      <c r="N179" s="116">
        <f t="shared" ref="N179:N181" si="219">(K179/J179)*100</f>
        <v>0</v>
      </c>
      <c r="O179" s="46">
        <f>J179-K179</f>
        <v>32000000</v>
      </c>
      <c r="P179" s="46">
        <f>J179-M179</f>
        <v>32000000</v>
      </c>
      <c r="Q179" s="46">
        <v>3.2E7</v>
      </c>
      <c r="R179" s="101"/>
      <c r="S179" s="101"/>
      <c r="T179" s="99"/>
      <c r="U179" s="99"/>
      <c r="V179" s="99"/>
      <c r="W179" s="99"/>
      <c r="X179" s="99"/>
      <c r="Y179" s="99"/>
      <c r="Z179" s="99"/>
      <c r="AA179" s="99"/>
      <c r="AB179" s="99"/>
      <c r="AC179" s="99"/>
      <c r="AD179" s="99"/>
      <c r="AE179" s="99"/>
      <c r="AF179" s="99"/>
      <c r="AG179" s="99"/>
      <c r="AH179" s="99"/>
      <c r="AI179" s="99"/>
      <c r="AJ179" s="99"/>
      <c r="AK179" s="99"/>
      <c r="AL179" s="99"/>
      <c r="AM179" s="99"/>
    </row>
    <row r="180" ht="12.75" customHeight="1">
      <c r="A180" s="144" t="s">
        <v>50</v>
      </c>
      <c r="D180" s="144" t="s">
        <v>51</v>
      </c>
      <c r="G180" s="104"/>
      <c r="H180" s="128"/>
      <c r="I180" s="104"/>
      <c r="J180" s="129">
        <f t="shared" ref="J180:K180" si="217">J181+J187+J190</f>
        <v>107350000</v>
      </c>
      <c r="K180" s="43">
        <f t="shared" si="217"/>
        <v>0</v>
      </c>
      <c r="L180" s="116">
        <f t="shared" si="218"/>
        <v>0</v>
      </c>
      <c r="M180" s="106"/>
      <c r="N180" s="116">
        <f t="shared" si="219"/>
        <v>0</v>
      </c>
      <c r="O180" s="43">
        <f t="shared" ref="O180:P180" si="220">O181+O187+O190</f>
        <v>107350000</v>
      </c>
      <c r="P180" s="43">
        <f t="shared" si="220"/>
        <v>107350000</v>
      </c>
      <c r="Q180" s="43">
        <v>1.0735E8</v>
      </c>
      <c r="R180" s="101"/>
      <c r="S180" s="101"/>
      <c r="T180" s="99"/>
      <c r="U180" s="99"/>
      <c r="V180" s="99"/>
      <c r="W180" s="99"/>
      <c r="X180" s="99"/>
      <c r="Y180" s="99"/>
      <c r="Z180" s="99"/>
      <c r="AA180" s="99"/>
      <c r="AB180" s="99"/>
      <c r="AC180" s="99"/>
      <c r="AD180" s="99"/>
      <c r="AE180" s="99"/>
      <c r="AF180" s="99"/>
      <c r="AG180" s="99"/>
      <c r="AH180" s="99"/>
      <c r="AI180" s="99"/>
      <c r="AJ180" s="99"/>
      <c r="AK180" s="99"/>
      <c r="AL180" s="99"/>
      <c r="AM180" s="99"/>
    </row>
    <row r="181" ht="12.75" customHeight="1">
      <c r="A181" s="110" t="s">
        <v>40</v>
      </c>
      <c r="D181" s="145" t="s">
        <v>22</v>
      </c>
      <c r="G181" s="104"/>
      <c r="H181" s="133"/>
      <c r="I181" s="104"/>
      <c r="J181" s="134">
        <f t="shared" ref="J181:K181" si="221">SUM(J183:J186)</f>
        <v>73350000</v>
      </c>
      <c r="K181" s="46">
        <f t="shared" si="221"/>
        <v>0</v>
      </c>
      <c r="L181" s="116">
        <f t="shared" si="218"/>
        <v>0</v>
      </c>
      <c r="M181" s="106"/>
      <c r="N181" s="116">
        <f t="shared" si="219"/>
        <v>0</v>
      </c>
      <c r="O181" s="46">
        <f t="shared" ref="O181:P181" si="222">SUM(O183:O186)</f>
        <v>73350000</v>
      </c>
      <c r="P181" s="46">
        <f t="shared" si="222"/>
        <v>73350000</v>
      </c>
      <c r="Q181" s="46">
        <v>7.335E7</v>
      </c>
      <c r="R181" s="101"/>
      <c r="S181" s="101"/>
      <c r="T181" s="99"/>
      <c r="U181" s="99"/>
      <c r="V181" s="99"/>
      <c r="W181" s="99"/>
      <c r="X181" s="99"/>
      <c r="Y181" s="99"/>
      <c r="Z181" s="99"/>
      <c r="AA181" s="99"/>
      <c r="AB181" s="99"/>
      <c r="AC181" s="99"/>
      <c r="AD181" s="99"/>
      <c r="AE181" s="99"/>
      <c r="AF181" s="99"/>
      <c r="AG181" s="99"/>
      <c r="AH181" s="99"/>
      <c r="AI181" s="99"/>
      <c r="AJ181" s="99"/>
      <c r="AK181" s="99"/>
      <c r="AL181" s="99"/>
      <c r="AM181" s="99"/>
    </row>
    <row r="182" ht="12.75" customHeight="1">
      <c r="A182" s="104"/>
      <c r="B182" s="104"/>
      <c r="C182" s="104"/>
      <c r="D182" s="110" t="s">
        <v>23</v>
      </c>
      <c r="G182" s="104"/>
      <c r="H182" s="104"/>
      <c r="I182" s="104"/>
      <c r="J182" s="111"/>
      <c r="K182" s="111"/>
      <c r="L182" s="116"/>
      <c r="M182" s="106"/>
      <c r="N182" s="116"/>
      <c r="O182" s="111"/>
      <c r="P182" s="111"/>
      <c r="Q182" s="111"/>
      <c r="R182" s="101"/>
      <c r="S182" s="101"/>
      <c r="T182" s="99"/>
      <c r="U182" s="99"/>
      <c r="V182" s="99"/>
      <c r="W182" s="99"/>
      <c r="X182" s="99"/>
      <c r="Y182" s="99"/>
      <c r="Z182" s="99"/>
      <c r="AA182" s="99"/>
      <c r="AB182" s="99"/>
      <c r="AC182" s="99"/>
      <c r="AD182" s="99"/>
      <c r="AE182" s="99"/>
      <c r="AF182" s="99"/>
      <c r="AG182" s="99"/>
      <c r="AH182" s="99"/>
      <c r="AI182" s="99"/>
      <c r="AJ182" s="99"/>
      <c r="AK182" s="99"/>
      <c r="AL182" s="99"/>
      <c r="AM182" s="99"/>
    </row>
    <row r="183" ht="12.75" customHeight="1">
      <c r="A183" s="104"/>
      <c r="B183" s="104"/>
      <c r="C183" s="104"/>
      <c r="D183" s="110" t="s">
        <v>24</v>
      </c>
      <c r="E183" s="110" t="s">
        <v>315</v>
      </c>
      <c r="G183" s="136">
        <v>200.0</v>
      </c>
      <c r="H183" s="136" t="s">
        <v>26</v>
      </c>
      <c r="I183" s="137">
        <v>53000.0</v>
      </c>
      <c r="J183" s="46">
        <f t="shared" ref="J183:J186" si="223">G183*I183</f>
        <v>10600000</v>
      </c>
      <c r="K183" s="46"/>
      <c r="L183" s="116">
        <f t="shared" ref="L183:L187" si="224">(K183/J183)*100</f>
        <v>0</v>
      </c>
      <c r="M183" s="106"/>
      <c r="N183" s="116">
        <f t="shared" ref="N183:N187" si="225">(K183/J183)*100</f>
        <v>0</v>
      </c>
      <c r="O183" s="46">
        <f t="shared" ref="O183:O186" si="226">J183-K183</f>
        <v>10600000</v>
      </c>
      <c r="P183" s="46">
        <f t="shared" ref="P183:P186" si="227">J183-M183</f>
        <v>10600000</v>
      </c>
      <c r="Q183" s="46">
        <v>1.06E7</v>
      </c>
      <c r="R183" s="101"/>
      <c r="S183" s="101"/>
      <c r="T183" s="99"/>
      <c r="U183" s="99"/>
      <c r="V183" s="99"/>
      <c r="W183" s="99"/>
      <c r="X183" s="99"/>
      <c r="Y183" s="99"/>
      <c r="Z183" s="99"/>
      <c r="AA183" s="99"/>
      <c r="AB183" s="99"/>
      <c r="AC183" s="99"/>
      <c r="AD183" s="99"/>
      <c r="AE183" s="99"/>
      <c r="AF183" s="99"/>
      <c r="AG183" s="99"/>
      <c r="AH183" s="99"/>
      <c r="AI183" s="99"/>
      <c r="AJ183" s="99"/>
      <c r="AK183" s="99"/>
      <c r="AL183" s="99"/>
      <c r="AM183" s="99"/>
    </row>
    <row r="184" ht="12.75" customHeight="1">
      <c r="A184" s="104"/>
      <c r="B184" s="104"/>
      <c r="C184" s="104"/>
      <c r="D184" s="110" t="s">
        <v>24</v>
      </c>
      <c r="E184" s="110" t="s">
        <v>53</v>
      </c>
      <c r="G184" s="136">
        <v>5.0</v>
      </c>
      <c r="H184" s="136" t="s">
        <v>26</v>
      </c>
      <c r="I184" s="137">
        <v>500000.0</v>
      </c>
      <c r="J184" s="46">
        <f t="shared" si="223"/>
        <v>2500000</v>
      </c>
      <c r="K184" s="46"/>
      <c r="L184" s="116">
        <f t="shared" si="224"/>
        <v>0</v>
      </c>
      <c r="M184" s="106"/>
      <c r="N184" s="116">
        <f t="shared" si="225"/>
        <v>0</v>
      </c>
      <c r="O184" s="46">
        <f t="shared" si="226"/>
        <v>2500000</v>
      </c>
      <c r="P184" s="46">
        <f t="shared" si="227"/>
        <v>2500000</v>
      </c>
      <c r="Q184" s="46">
        <v>2500000.0</v>
      </c>
      <c r="R184" s="101"/>
      <c r="S184" s="101"/>
      <c r="T184" s="99"/>
      <c r="U184" s="99"/>
      <c r="V184" s="99"/>
      <c r="W184" s="99"/>
      <c r="X184" s="99"/>
      <c r="Y184" s="99"/>
      <c r="Z184" s="99"/>
      <c r="AA184" s="99"/>
      <c r="AB184" s="99"/>
      <c r="AC184" s="99"/>
      <c r="AD184" s="99"/>
      <c r="AE184" s="99"/>
      <c r="AF184" s="99"/>
      <c r="AG184" s="99"/>
      <c r="AH184" s="99"/>
      <c r="AI184" s="99"/>
      <c r="AJ184" s="99"/>
      <c r="AK184" s="99"/>
      <c r="AL184" s="99"/>
      <c r="AM184" s="99"/>
    </row>
    <row r="185" ht="12.75" customHeight="1">
      <c r="A185" s="104"/>
      <c r="B185" s="104"/>
      <c r="C185" s="104"/>
      <c r="D185" s="110" t="s">
        <v>24</v>
      </c>
      <c r="E185" s="110" t="s">
        <v>54</v>
      </c>
      <c r="G185" s="136">
        <v>1.0</v>
      </c>
      <c r="H185" s="136" t="s">
        <v>55</v>
      </c>
      <c r="I185" s="137">
        <v>250000.0</v>
      </c>
      <c r="J185" s="46">
        <f t="shared" si="223"/>
        <v>250000</v>
      </c>
      <c r="K185" s="46"/>
      <c r="L185" s="116">
        <f t="shared" si="224"/>
        <v>0</v>
      </c>
      <c r="M185" s="106"/>
      <c r="N185" s="116">
        <f t="shared" si="225"/>
        <v>0</v>
      </c>
      <c r="O185" s="46">
        <f t="shared" si="226"/>
        <v>250000</v>
      </c>
      <c r="P185" s="46">
        <f t="shared" si="227"/>
        <v>250000</v>
      </c>
      <c r="Q185" s="46">
        <v>250000.0</v>
      </c>
      <c r="R185" s="101"/>
      <c r="S185" s="101"/>
      <c r="T185" s="99"/>
      <c r="U185" s="99"/>
      <c r="V185" s="99"/>
      <c r="W185" s="99"/>
      <c r="X185" s="99"/>
      <c r="Y185" s="99"/>
      <c r="Z185" s="99"/>
      <c r="AA185" s="99"/>
      <c r="AB185" s="99"/>
      <c r="AC185" s="99"/>
      <c r="AD185" s="99"/>
      <c r="AE185" s="99"/>
      <c r="AF185" s="99"/>
      <c r="AG185" s="99"/>
      <c r="AH185" s="99"/>
      <c r="AI185" s="99"/>
      <c r="AJ185" s="99"/>
      <c r="AK185" s="99"/>
      <c r="AL185" s="99"/>
      <c r="AM185" s="99"/>
    </row>
    <row r="186" ht="12.75" customHeight="1">
      <c r="A186" s="104"/>
      <c r="B186" s="104"/>
      <c r="C186" s="104"/>
      <c r="D186" s="110" t="s">
        <v>24</v>
      </c>
      <c r="E186" s="110" t="s">
        <v>316</v>
      </c>
      <c r="G186" s="136">
        <v>200.0</v>
      </c>
      <c r="H186" s="136" t="s">
        <v>26</v>
      </c>
      <c r="I186" s="137">
        <v>300000.0</v>
      </c>
      <c r="J186" s="46">
        <f t="shared" si="223"/>
        <v>60000000</v>
      </c>
      <c r="K186" s="46"/>
      <c r="L186" s="116">
        <f t="shared" si="224"/>
        <v>0</v>
      </c>
      <c r="M186" s="106"/>
      <c r="N186" s="116">
        <f t="shared" si="225"/>
        <v>0</v>
      </c>
      <c r="O186" s="46">
        <f t="shared" si="226"/>
        <v>60000000</v>
      </c>
      <c r="P186" s="46">
        <f t="shared" si="227"/>
        <v>60000000</v>
      </c>
      <c r="Q186" s="46">
        <v>6.0E7</v>
      </c>
      <c r="R186" s="101"/>
      <c r="S186" s="101"/>
      <c r="T186" s="99"/>
      <c r="U186" s="99"/>
      <c r="V186" s="99"/>
      <c r="W186" s="99"/>
      <c r="X186" s="99"/>
      <c r="Y186" s="99"/>
      <c r="Z186" s="99"/>
      <c r="AA186" s="99"/>
      <c r="AB186" s="99"/>
      <c r="AC186" s="99"/>
      <c r="AD186" s="99"/>
      <c r="AE186" s="99"/>
      <c r="AF186" s="99"/>
      <c r="AG186" s="99"/>
      <c r="AH186" s="99"/>
      <c r="AI186" s="99"/>
      <c r="AJ186" s="99"/>
      <c r="AK186" s="99"/>
      <c r="AL186" s="99"/>
      <c r="AM186" s="99"/>
    </row>
    <row r="187" ht="12.75" customHeight="1">
      <c r="A187" s="110" t="s">
        <v>47</v>
      </c>
      <c r="D187" s="145" t="s">
        <v>48</v>
      </c>
      <c r="G187" s="104"/>
      <c r="H187" s="133"/>
      <c r="I187" s="104"/>
      <c r="J187" s="134">
        <f t="shared" ref="J187:K187" si="228">J189</f>
        <v>32000000</v>
      </c>
      <c r="K187" s="46" t="str">
        <f t="shared" si="228"/>
        <v/>
      </c>
      <c r="L187" s="116">
        <f t="shared" si="224"/>
        <v>0</v>
      </c>
      <c r="M187" s="106"/>
      <c r="N187" s="116">
        <f t="shared" si="225"/>
        <v>0</v>
      </c>
      <c r="O187" s="46">
        <f t="shared" ref="O187:P187" si="229">O189</f>
        <v>32000000</v>
      </c>
      <c r="P187" s="46">
        <f t="shared" si="229"/>
        <v>32000000</v>
      </c>
      <c r="Q187" s="46">
        <v>3.2E7</v>
      </c>
      <c r="R187" s="101"/>
      <c r="S187" s="101"/>
      <c r="T187" s="99"/>
      <c r="U187" s="99"/>
      <c r="V187" s="99"/>
      <c r="W187" s="99"/>
      <c r="X187" s="99"/>
      <c r="Y187" s="99"/>
      <c r="Z187" s="99"/>
      <c r="AA187" s="99"/>
      <c r="AB187" s="99"/>
      <c r="AC187" s="99"/>
      <c r="AD187" s="99"/>
      <c r="AE187" s="99"/>
      <c r="AF187" s="99"/>
      <c r="AG187" s="99"/>
      <c r="AH187" s="99"/>
      <c r="AI187" s="99"/>
      <c r="AJ187" s="99"/>
      <c r="AK187" s="99"/>
      <c r="AL187" s="99"/>
      <c r="AM187" s="99"/>
    </row>
    <row r="188" ht="12.75" customHeight="1">
      <c r="A188" s="104"/>
      <c r="B188" s="104"/>
      <c r="C188" s="104"/>
      <c r="D188" s="110" t="s">
        <v>23</v>
      </c>
      <c r="G188" s="104"/>
      <c r="H188" s="104"/>
      <c r="I188" s="104"/>
      <c r="J188" s="111"/>
      <c r="K188" s="111"/>
      <c r="L188" s="116"/>
      <c r="M188" s="106"/>
      <c r="N188" s="116"/>
      <c r="O188" s="111"/>
      <c r="P188" s="111"/>
      <c r="Q188" s="111"/>
      <c r="R188" s="101"/>
      <c r="S188" s="101"/>
      <c r="T188" s="99"/>
      <c r="U188" s="99"/>
      <c r="V188" s="99"/>
      <c r="W188" s="99"/>
      <c r="X188" s="99"/>
      <c r="Y188" s="99"/>
      <c r="Z188" s="99"/>
      <c r="AA188" s="99"/>
      <c r="AB188" s="99"/>
      <c r="AC188" s="99"/>
      <c r="AD188" s="99"/>
      <c r="AE188" s="99"/>
      <c r="AF188" s="99"/>
      <c r="AG188" s="99"/>
      <c r="AH188" s="99"/>
      <c r="AI188" s="99"/>
      <c r="AJ188" s="99"/>
      <c r="AK188" s="99"/>
      <c r="AL188" s="99"/>
      <c r="AM188" s="99"/>
    </row>
    <row r="189" ht="12.75" customHeight="1">
      <c r="A189" s="104"/>
      <c r="B189" s="104"/>
      <c r="C189" s="104"/>
      <c r="D189" s="110" t="s">
        <v>24</v>
      </c>
      <c r="E189" s="110" t="s">
        <v>317</v>
      </c>
      <c r="G189" s="136">
        <v>8.0</v>
      </c>
      <c r="H189" s="136" t="s">
        <v>26</v>
      </c>
      <c r="I189" s="137">
        <v>4000000.0</v>
      </c>
      <c r="J189" s="46">
        <f>G189*I189</f>
        <v>32000000</v>
      </c>
      <c r="K189" s="46"/>
      <c r="L189" s="116">
        <f t="shared" ref="L189:L190" si="231">(K189/J189)*100</f>
        <v>0</v>
      </c>
      <c r="M189" s="106"/>
      <c r="N189" s="116">
        <f t="shared" ref="N189:N190" si="232">(K189/J189)*100</f>
        <v>0</v>
      </c>
      <c r="O189" s="46">
        <f>J189-K189</f>
        <v>32000000</v>
      </c>
      <c r="P189" s="46">
        <f>J189-M189</f>
        <v>32000000</v>
      </c>
      <c r="Q189" s="46">
        <v>3.2E7</v>
      </c>
      <c r="R189" s="101"/>
      <c r="S189" s="101"/>
      <c r="T189" s="99"/>
      <c r="U189" s="99"/>
      <c r="V189" s="99"/>
      <c r="W189" s="99"/>
      <c r="X189" s="99"/>
      <c r="Y189" s="99"/>
      <c r="Z189" s="99"/>
      <c r="AA189" s="99"/>
      <c r="AB189" s="99"/>
      <c r="AC189" s="99"/>
      <c r="AD189" s="99"/>
      <c r="AE189" s="99"/>
      <c r="AF189" s="99"/>
      <c r="AG189" s="99"/>
      <c r="AH189" s="99"/>
      <c r="AI189" s="99"/>
      <c r="AJ189" s="99"/>
      <c r="AK189" s="99"/>
      <c r="AL189" s="99"/>
      <c r="AM189" s="99"/>
    </row>
    <row r="190" ht="12.75" customHeight="1">
      <c r="A190" s="110" t="s">
        <v>58</v>
      </c>
      <c r="D190" s="145" t="s">
        <v>34</v>
      </c>
      <c r="G190" s="104"/>
      <c r="H190" s="133"/>
      <c r="I190" s="104"/>
      <c r="J190" s="134">
        <f t="shared" ref="J190:K190" si="230">J192</f>
        <v>2000000</v>
      </c>
      <c r="K190" s="46" t="str">
        <f t="shared" si="230"/>
        <v/>
      </c>
      <c r="L190" s="116">
        <f t="shared" si="231"/>
        <v>0</v>
      </c>
      <c r="M190" s="106"/>
      <c r="N190" s="116">
        <f t="shared" si="232"/>
        <v>0</v>
      </c>
      <c r="O190" s="46">
        <f t="shared" ref="O190:P190" si="233">O192</f>
        <v>2000000</v>
      </c>
      <c r="P190" s="46">
        <f t="shared" si="233"/>
        <v>2000000</v>
      </c>
      <c r="Q190" s="46">
        <v>2000000.0</v>
      </c>
      <c r="R190" s="101"/>
      <c r="S190" s="101"/>
      <c r="T190" s="99"/>
      <c r="U190" s="99"/>
      <c r="V190" s="99"/>
      <c r="W190" s="99"/>
      <c r="X190" s="99"/>
      <c r="Y190" s="99"/>
      <c r="Z190" s="99"/>
      <c r="AA190" s="99"/>
      <c r="AB190" s="99"/>
      <c r="AC190" s="99"/>
      <c r="AD190" s="99"/>
      <c r="AE190" s="99"/>
      <c r="AF190" s="99"/>
      <c r="AG190" s="99"/>
      <c r="AH190" s="99"/>
      <c r="AI190" s="99"/>
      <c r="AJ190" s="99"/>
      <c r="AK190" s="99"/>
      <c r="AL190" s="99"/>
      <c r="AM190" s="99"/>
    </row>
    <row r="191" ht="12.75" customHeight="1">
      <c r="A191" s="104"/>
      <c r="B191" s="104"/>
      <c r="C191" s="104"/>
      <c r="D191" s="110" t="s">
        <v>23</v>
      </c>
      <c r="G191" s="104"/>
      <c r="H191" s="104"/>
      <c r="I191" s="104"/>
      <c r="J191" s="111"/>
      <c r="K191" s="111"/>
      <c r="L191" s="116"/>
      <c r="M191" s="106"/>
      <c r="N191" s="116"/>
      <c r="O191" s="111"/>
      <c r="P191" s="111"/>
      <c r="Q191" s="111"/>
      <c r="R191" s="101"/>
      <c r="S191" s="101"/>
      <c r="T191" s="99"/>
      <c r="U191" s="99"/>
      <c r="V191" s="99"/>
      <c r="W191" s="99"/>
      <c r="X191" s="99"/>
      <c r="Y191" s="99"/>
      <c r="Z191" s="99"/>
      <c r="AA191" s="99"/>
      <c r="AB191" s="99"/>
      <c r="AC191" s="99"/>
      <c r="AD191" s="99"/>
      <c r="AE191" s="99"/>
      <c r="AF191" s="99"/>
      <c r="AG191" s="99"/>
      <c r="AH191" s="99"/>
      <c r="AI191" s="99"/>
      <c r="AJ191" s="99"/>
      <c r="AK191" s="99"/>
      <c r="AL191" s="99"/>
      <c r="AM191" s="99"/>
    </row>
    <row r="192" ht="12.75" customHeight="1">
      <c r="A192" s="104"/>
      <c r="B192" s="104"/>
      <c r="C192" s="104"/>
      <c r="D192" s="110" t="s">
        <v>24</v>
      </c>
      <c r="E192" s="110" t="s">
        <v>59</v>
      </c>
      <c r="G192" s="136">
        <v>4.0</v>
      </c>
      <c r="H192" s="136" t="s">
        <v>26</v>
      </c>
      <c r="I192" s="137">
        <v>500000.0</v>
      </c>
      <c r="J192" s="46">
        <f>G192*I192</f>
        <v>2000000</v>
      </c>
      <c r="K192" s="46"/>
      <c r="L192" s="116">
        <f t="shared" ref="L192:L194" si="235">(K192/J192)*100</f>
        <v>0</v>
      </c>
      <c r="M192" s="106"/>
      <c r="N192" s="116">
        <f t="shared" ref="N192:N194" si="236">(K192/J192)*100</f>
        <v>0</v>
      </c>
      <c r="O192" s="46">
        <f>J192-K192</f>
        <v>2000000</v>
      </c>
      <c r="P192" s="46">
        <f>J192-M192</f>
        <v>2000000</v>
      </c>
      <c r="Q192" s="46">
        <v>2000000.0</v>
      </c>
      <c r="R192" s="101"/>
      <c r="S192" s="101"/>
      <c r="T192" s="99"/>
      <c r="U192" s="99"/>
      <c r="V192" s="99"/>
      <c r="W192" s="99"/>
      <c r="X192" s="99"/>
      <c r="Y192" s="99"/>
      <c r="Z192" s="99"/>
      <c r="AA192" s="99"/>
      <c r="AB192" s="99"/>
      <c r="AC192" s="99"/>
      <c r="AD192" s="99"/>
      <c r="AE192" s="99"/>
      <c r="AF192" s="99"/>
      <c r="AG192" s="99"/>
      <c r="AH192" s="99"/>
      <c r="AI192" s="99"/>
      <c r="AJ192" s="99"/>
      <c r="AK192" s="99"/>
      <c r="AL192" s="99"/>
      <c r="AM192" s="99"/>
    </row>
    <row r="193" ht="12.75" customHeight="1">
      <c r="A193" s="144" t="s">
        <v>60</v>
      </c>
      <c r="D193" s="144" t="s">
        <v>61</v>
      </c>
      <c r="G193" s="104"/>
      <c r="H193" s="128"/>
      <c r="I193" s="104"/>
      <c r="J193" s="129">
        <f t="shared" ref="J193:K193" si="234">J194+J197+J201+J204+J207</f>
        <v>288600000</v>
      </c>
      <c r="K193" s="43">
        <f t="shared" si="234"/>
        <v>0</v>
      </c>
      <c r="L193" s="116">
        <f t="shared" si="235"/>
        <v>0</v>
      </c>
      <c r="M193" s="106"/>
      <c r="N193" s="116">
        <f t="shared" si="236"/>
        <v>0</v>
      </c>
      <c r="O193" s="43">
        <f t="shared" ref="O193:P193" si="237">O194+O197+O201+O204+O207</f>
        <v>288600000</v>
      </c>
      <c r="P193" s="43">
        <f t="shared" si="237"/>
        <v>288600000</v>
      </c>
      <c r="Q193" s="43">
        <v>2.886E8</v>
      </c>
      <c r="R193" s="101"/>
      <c r="S193" s="101"/>
      <c r="T193" s="99"/>
      <c r="U193" s="99"/>
      <c r="V193" s="99"/>
      <c r="W193" s="99"/>
      <c r="X193" s="99"/>
      <c r="Y193" s="99"/>
      <c r="Z193" s="99"/>
      <c r="AA193" s="99"/>
      <c r="AB193" s="99"/>
      <c r="AC193" s="99"/>
      <c r="AD193" s="99"/>
      <c r="AE193" s="99"/>
      <c r="AF193" s="99"/>
      <c r="AG193" s="99"/>
      <c r="AH193" s="99"/>
      <c r="AI193" s="99"/>
      <c r="AJ193" s="99"/>
      <c r="AK193" s="99"/>
      <c r="AL193" s="99"/>
      <c r="AM193" s="99"/>
    </row>
    <row r="194" ht="12.75" customHeight="1">
      <c r="A194" s="110" t="s">
        <v>40</v>
      </c>
      <c r="D194" s="145" t="s">
        <v>22</v>
      </c>
      <c r="G194" s="104"/>
      <c r="H194" s="133"/>
      <c r="I194" s="104"/>
      <c r="J194" s="134">
        <f t="shared" ref="J194:K194" si="238">J196</f>
        <v>63600000</v>
      </c>
      <c r="K194" s="46" t="str">
        <f t="shared" si="238"/>
        <v/>
      </c>
      <c r="L194" s="116">
        <f t="shared" si="235"/>
        <v>0</v>
      </c>
      <c r="M194" s="106"/>
      <c r="N194" s="116">
        <f t="shared" si="236"/>
        <v>0</v>
      </c>
      <c r="O194" s="46">
        <f t="shared" ref="O194:P194" si="239">O196</f>
        <v>63600000</v>
      </c>
      <c r="P194" s="46">
        <f t="shared" si="239"/>
        <v>63600000</v>
      </c>
      <c r="Q194" s="46">
        <v>6.36E7</v>
      </c>
      <c r="R194" s="101"/>
      <c r="S194" s="101"/>
      <c r="T194" s="99"/>
      <c r="U194" s="99"/>
      <c r="V194" s="99"/>
      <c r="W194" s="99"/>
      <c r="X194" s="99"/>
      <c r="Y194" s="99"/>
      <c r="Z194" s="99"/>
      <c r="AA194" s="99"/>
      <c r="AB194" s="99"/>
      <c r="AC194" s="99"/>
      <c r="AD194" s="99"/>
      <c r="AE194" s="99"/>
      <c r="AF194" s="99"/>
      <c r="AG194" s="99"/>
      <c r="AH194" s="99"/>
      <c r="AI194" s="99"/>
      <c r="AJ194" s="99"/>
      <c r="AK194" s="99"/>
      <c r="AL194" s="99"/>
      <c r="AM194" s="99"/>
    </row>
    <row r="195" ht="12.75" customHeight="1">
      <c r="A195" s="104"/>
      <c r="B195" s="104"/>
      <c r="C195" s="104"/>
      <c r="D195" s="110" t="s">
        <v>23</v>
      </c>
      <c r="G195" s="104"/>
      <c r="H195" s="104"/>
      <c r="I195" s="104"/>
      <c r="J195" s="111"/>
      <c r="K195" s="111"/>
      <c r="L195" s="116"/>
      <c r="M195" s="106"/>
      <c r="N195" s="116"/>
      <c r="O195" s="111"/>
      <c r="P195" s="111"/>
      <c r="Q195" s="111"/>
      <c r="R195" s="101"/>
      <c r="S195" s="101"/>
      <c r="T195" s="99"/>
      <c r="U195" s="99"/>
      <c r="V195" s="99"/>
      <c r="W195" s="99"/>
      <c r="X195" s="99"/>
      <c r="Y195" s="99"/>
      <c r="Z195" s="99"/>
      <c r="AA195" s="99"/>
      <c r="AB195" s="99"/>
      <c r="AC195" s="99"/>
      <c r="AD195" s="99"/>
      <c r="AE195" s="99"/>
      <c r="AF195" s="99"/>
      <c r="AG195" s="99"/>
      <c r="AH195" s="99"/>
      <c r="AI195" s="99"/>
      <c r="AJ195" s="99"/>
      <c r="AK195" s="99"/>
      <c r="AL195" s="99"/>
      <c r="AM195" s="99"/>
    </row>
    <row r="196" ht="15.75" customHeight="1">
      <c r="A196" s="104"/>
      <c r="B196" s="104"/>
      <c r="C196" s="104"/>
      <c r="D196" s="110" t="s">
        <v>24</v>
      </c>
      <c r="E196" s="110" t="s">
        <v>318</v>
      </c>
      <c r="G196" s="136">
        <v>1200.0</v>
      </c>
      <c r="H196" s="136" t="s">
        <v>26</v>
      </c>
      <c r="I196" s="137">
        <v>53000.0</v>
      </c>
      <c r="J196" s="46">
        <f>G196*I196</f>
        <v>63600000</v>
      </c>
      <c r="K196" s="46"/>
      <c r="L196" s="116">
        <f t="shared" ref="L196:L197" si="241">(K196/J196)*100</f>
        <v>0</v>
      </c>
      <c r="M196" s="106"/>
      <c r="N196" s="116">
        <f t="shared" ref="N196:N197" si="242">(K196/J196)*100</f>
        <v>0</v>
      </c>
      <c r="O196" s="46">
        <f>J196-K196</f>
        <v>63600000</v>
      </c>
      <c r="P196" s="46">
        <f>J196-M196</f>
        <v>63600000</v>
      </c>
      <c r="Q196" s="46">
        <v>6.36E7</v>
      </c>
      <c r="R196" s="101"/>
      <c r="S196" s="101"/>
      <c r="T196" s="99"/>
      <c r="U196" s="99"/>
      <c r="V196" s="99"/>
      <c r="W196" s="99"/>
      <c r="X196" s="99"/>
      <c r="Y196" s="99"/>
      <c r="Z196" s="99"/>
      <c r="AA196" s="99"/>
      <c r="AB196" s="99"/>
      <c r="AC196" s="99"/>
      <c r="AD196" s="99"/>
      <c r="AE196" s="99"/>
      <c r="AF196" s="99"/>
      <c r="AG196" s="99"/>
      <c r="AH196" s="99"/>
      <c r="AI196" s="99"/>
      <c r="AJ196" s="99"/>
      <c r="AK196" s="99"/>
      <c r="AL196" s="99"/>
      <c r="AM196" s="99"/>
    </row>
    <row r="197" ht="12.75" customHeight="1">
      <c r="A197" s="110" t="s">
        <v>63</v>
      </c>
      <c r="D197" s="145" t="s">
        <v>64</v>
      </c>
      <c r="G197" s="104"/>
      <c r="H197" s="133"/>
      <c r="I197" s="104"/>
      <c r="J197" s="134">
        <f t="shared" ref="J197:K197" si="240">SUM(J199:J200)</f>
        <v>135000000</v>
      </c>
      <c r="K197" s="46">
        <f t="shared" si="240"/>
        <v>0</v>
      </c>
      <c r="L197" s="116">
        <f t="shared" si="241"/>
        <v>0</v>
      </c>
      <c r="M197" s="106"/>
      <c r="N197" s="116">
        <f t="shared" si="242"/>
        <v>0</v>
      </c>
      <c r="O197" s="46">
        <f t="shared" ref="O197:P197" si="243">SUM(O199:O200)</f>
        <v>135000000</v>
      </c>
      <c r="P197" s="46">
        <f t="shared" si="243"/>
        <v>135000000</v>
      </c>
      <c r="Q197" s="46">
        <v>1.35E8</v>
      </c>
      <c r="R197" s="101"/>
      <c r="S197" s="101"/>
      <c r="T197" s="99"/>
      <c r="U197" s="99"/>
      <c r="V197" s="99"/>
      <c r="W197" s="99"/>
      <c r="X197" s="99"/>
      <c r="Y197" s="99"/>
      <c r="Z197" s="99"/>
      <c r="AA197" s="99"/>
      <c r="AB197" s="99"/>
      <c r="AC197" s="99"/>
      <c r="AD197" s="99"/>
      <c r="AE197" s="99"/>
      <c r="AF197" s="99"/>
      <c r="AG197" s="99"/>
      <c r="AH197" s="99"/>
      <c r="AI197" s="99"/>
      <c r="AJ197" s="99"/>
      <c r="AK197" s="99"/>
      <c r="AL197" s="99"/>
      <c r="AM197" s="99"/>
    </row>
    <row r="198" ht="12.75" customHeight="1">
      <c r="A198" s="104"/>
      <c r="B198" s="104"/>
      <c r="C198" s="104"/>
      <c r="D198" s="110" t="s">
        <v>23</v>
      </c>
      <c r="G198" s="104"/>
      <c r="H198" s="104"/>
      <c r="I198" s="104"/>
      <c r="J198" s="111"/>
      <c r="K198" s="111"/>
      <c r="L198" s="116"/>
      <c r="M198" s="106"/>
      <c r="N198" s="116"/>
      <c r="O198" s="111"/>
      <c r="P198" s="111"/>
      <c r="Q198" s="111"/>
      <c r="R198" s="101"/>
      <c r="S198" s="101"/>
      <c r="T198" s="99"/>
      <c r="U198" s="99"/>
      <c r="V198" s="99"/>
      <c r="W198" s="99"/>
      <c r="X198" s="99"/>
      <c r="Y198" s="99"/>
      <c r="Z198" s="99"/>
      <c r="AA198" s="99"/>
      <c r="AB198" s="99"/>
      <c r="AC198" s="99"/>
      <c r="AD198" s="99"/>
      <c r="AE198" s="99"/>
      <c r="AF198" s="99"/>
      <c r="AG198" s="99"/>
      <c r="AH198" s="99"/>
      <c r="AI198" s="99"/>
      <c r="AJ198" s="99"/>
      <c r="AK198" s="99"/>
      <c r="AL198" s="99"/>
      <c r="AM198" s="99"/>
    </row>
    <row r="199" ht="15.75" customHeight="1">
      <c r="A199" s="104"/>
      <c r="B199" s="104"/>
      <c r="C199" s="104"/>
      <c r="D199" s="110" t="s">
        <v>24</v>
      </c>
      <c r="E199" s="110" t="s">
        <v>289</v>
      </c>
      <c r="G199" s="136">
        <v>1.0</v>
      </c>
      <c r="H199" s="136" t="s">
        <v>97</v>
      </c>
      <c r="I199" s="137">
        <v>9.5E7</v>
      </c>
      <c r="J199" s="46">
        <f t="shared" ref="J199:J200" si="244">G199*I199</f>
        <v>95000000</v>
      </c>
      <c r="K199" s="46"/>
      <c r="L199" s="116">
        <f t="shared" ref="L199:L201" si="245">(K199/J199)*100</f>
        <v>0</v>
      </c>
      <c r="M199" s="106"/>
      <c r="N199" s="116">
        <f t="shared" ref="N199:N201" si="246">(K199/J199)*100</f>
        <v>0</v>
      </c>
      <c r="O199" s="46">
        <f t="shared" ref="O199:O200" si="247">J199-K199</f>
        <v>95000000</v>
      </c>
      <c r="P199" s="46">
        <f t="shared" ref="P199:P200" si="248">J199-M199</f>
        <v>95000000</v>
      </c>
      <c r="Q199" s="46">
        <v>9.5E7</v>
      </c>
      <c r="R199" s="101"/>
      <c r="S199" s="101"/>
      <c r="T199" s="99"/>
      <c r="U199" s="99"/>
      <c r="V199" s="99"/>
      <c r="W199" s="99"/>
      <c r="X199" s="99"/>
      <c r="Y199" s="99"/>
      <c r="Z199" s="99"/>
      <c r="AA199" s="99"/>
      <c r="AB199" s="99"/>
      <c r="AC199" s="99"/>
      <c r="AD199" s="99"/>
      <c r="AE199" s="99"/>
      <c r="AF199" s="99"/>
      <c r="AG199" s="99"/>
      <c r="AH199" s="99"/>
      <c r="AI199" s="99"/>
      <c r="AJ199" s="99"/>
      <c r="AK199" s="99"/>
      <c r="AL199" s="99"/>
      <c r="AM199" s="99"/>
    </row>
    <row r="200" ht="12.75" customHeight="1">
      <c r="A200" s="104"/>
      <c r="B200" s="104"/>
      <c r="C200" s="104"/>
      <c r="D200" s="110" t="s">
        <v>24</v>
      </c>
      <c r="E200" s="110" t="s">
        <v>319</v>
      </c>
      <c r="G200" s="136">
        <v>200.0</v>
      </c>
      <c r="H200" s="136" t="s">
        <v>26</v>
      </c>
      <c r="I200" s="137">
        <v>200000.0</v>
      </c>
      <c r="J200" s="46">
        <f t="shared" si="244"/>
        <v>40000000</v>
      </c>
      <c r="K200" s="46"/>
      <c r="L200" s="116">
        <f t="shared" si="245"/>
        <v>0</v>
      </c>
      <c r="M200" s="106"/>
      <c r="N200" s="116">
        <f t="shared" si="246"/>
        <v>0</v>
      </c>
      <c r="O200" s="46">
        <f t="shared" si="247"/>
        <v>40000000</v>
      </c>
      <c r="P200" s="46">
        <f t="shared" si="248"/>
        <v>40000000</v>
      </c>
      <c r="Q200" s="46">
        <v>4.0E7</v>
      </c>
      <c r="R200" s="101"/>
      <c r="S200" s="101"/>
      <c r="T200" s="99"/>
      <c r="U200" s="99"/>
      <c r="V200" s="99"/>
      <c r="W200" s="99"/>
      <c r="X200" s="99"/>
      <c r="Y200" s="99"/>
      <c r="Z200" s="99"/>
      <c r="AA200" s="99"/>
      <c r="AB200" s="99"/>
      <c r="AC200" s="99"/>
      <c r="AD200" s="99"/>
      <c r="AE200" s="99"/>
      <c r="AF200" s="99"/>
      <c r="AG200" s="99"/>
      <c r="AH200" s="99"/>
      <c r="AI200" s="99"/>
      <c r="AJ200" s="99"/>
      <c r="AK200" s="99"/>
      <c r="AL200" s="99"/>
      <c r="AM200" s="99"/>
    </row>
    <row r="201" ht="12.75" customHeight="1">
      <c r="A201" s="110" t="s">
        <v>68</v>
      </c>
      <c r="D201" s="145" t="s">
        <v>69</v>
      </c>
      <c r="G201" s="104"/>
      <c r="H201" s="133"/>
      <c r="I201" s="104"/>
      <c r="J201" s="134">
        <f t="shared" ref="J201:K201" si="249">J203</f>
        <v>10000000</v>
      </c>
      <c r="K201" s="46" t="str">
        <f t="shared" si="249"/>
        <v/>
      </c>
      <c r="L201" s="116">
        <f t="shared" si="245"/>
        <v>0</v>
      </c>
      <c r="M201" s="106"/>
      <c r="N201" s="116">
        <f t="shared" si="246"/>
        <v>0</v>
      </c>
      <c r="O201" s="46">
        <f t="shared" ref="O201:P201" si="250">O203</f>
        <v>10000000</v>
      </c>
      <c r="P201" s="46">
        <f t="shared" si="250"/>
        <v>10000000</v>
      </c>
      <c r="Q201" s="46">
        <v>1.0E7</v>
      </c>
      <c r="R201" s="101"/>
      <c r="S201" s="101"/>
      <c r="T201" s="99"/>
      <c r="U201" s="99"/>
      <c r="V201" s="99"/>
      <c r="W201" s="99"/>
      <c r="X201" s="99"/>
      <c r="Y201" s="99"/>
      <c r="Z201" s="99"/>
      <c r="AA201" s="99"/>
      <c r="AB201" s="99"/>
      <c r="AC201" s="99"/>
      <c r="AD201" s="99"/>
      <c r="AE201" s="99"/>
      <c r="AF201" s="99"/>
      <c r="AG201" s="99"/>
      <c r="AH201" s="99"/>
      <c r="AI201" s="99"/>
      <c r="AJ201" s="99"/>
      <c r="AK201" s="99"/>
      <c r="AL201" s="99"/>
      <c r="AM201" s="99"/>
    </row>
    <row r="202" ht="12.75" customHeight="1">
      <c r="A202" s="104"/>
      <c r="B202" s="104"/>
      <c r="C202" s="104"/>
      <c r="D202" s="110" t="s">
        <v>23</v>
      </c>
      <c r="G202" s="104"/>
      <c r="H202" s="104"/>
      <c r="I202" s="104"/>
      <c r="J202" s="111"/>
      <c r="K202" s="111"/>
      <c r="L202" s="116"/>
      <c r="M202" s="106"/>
      <c r="N202" s="116"/>
      <c r="O202" s="111"/>
      <c r="P202" s="111"/>
      <c r="Q202" s="111"/>
      <c r="R202" s="101"/>
      <c r="S202" s="101"/>
      <c r="T202" s="99"/>
      <c r="U202" s="99"/>
      <c r="V202" s="99"/>
      <c r="W202" s="99"/>
      <c r="X202" s="99"/>
      <c r="Y202" s="99"/>
      <c r="Z202" s="99"/>
      <c r="AA202" s="99"/>
      <c r="AB202" s="99"/>
      <c r="AC202" s="99"/>
      <c r="AD202" s="99"/>
      <c r="AE202" s="99"/>
      <c r="AF202" s="99"/>
      <c r="AG202" s="99"/>
      <c r="AH202" s="99"/>
      <c r="AI202" s="99"/>
      <c r="AJ202" s="99"/>
      <c r="AK202" s="99"/>
      <c r="AL202" s="99"/>
      <c r="AM202" s="99"/>
    </row>
    <row r="203" ht="12.75" customHeight="1">
      <c r="A203" s="104"/>
      <c r="B203" s="104"/>
      <c r="C203" s="104"/>
      <c r="D203" s="110" t="s">
        <v>24</v>
      </c>
      <c r="E203" s="110" t="s">
        <v>70</v>
      </c>
      <c r="G203" s="136">
        <v>20.0</v>
      </c>
      <c r="H203" s="136" t="s">
        <v>26</v>
      </c>
      <c r="I203" s="137">
        <v>500000.0</v>
      </c>
      <c r="J203" s="46">
        <f>G203*I203</f>
        <v>10000000</v>
      </c>
      <c r="K203" s="46"/>
      <c r="L203" s="116">
        <f t="shared" ref="L203:L204" si="252">(K203/J203)*100</f>
        <v>0</v>
      </c>
      <c r="M203" s="106"/>
      <c r="N203" s="116">
        <f t="shared" ref="N203:N204" si="253">(K203/J203)*100</f>
        <v>0</v>
      </c>
      <c r="O203" s="46">
        <f>J203-K203</f>
        <v>10000000</v>
      </c>
      <c r="P203" s="46">
        <f>J203-M203</f>
        <v>10000000</v>
      </c>
      <c r="Q203" s="46">
        <v>1.0E7</v>
      </c>
      <c r="R203" s="101"/>
      <c r="S203" s="101"/>
      <c r="T203" s="99"/>
      <c r="U203" s="99"/>
      <c r="V203" s="99"/>
      <c r="W203" s="99"/>
      <c r="X203" s="99"/>
      <c r="Y203" s="99"/>
      <c r="Z203" s="99"/>
      <c r="AA203" s="99"/>
      <c r="AB203" s="99"/>
      <c r="AC203" s="99"/>
      <c r="AD203" s="99"/>
      <c r="AE203" s="99"/>
      <c r="AF203" s="99"/>
      <c r="AG203" s="99"/>
      <c r="AH203" s="99"/>
      <c r="AI203" s="99"/>
      <c r="AJ203" s="99"/>
      <c r="AK203" s="99"/>
      <c r="AL203" s="99"/>
      <c r="AM203" s="99"/>
    </row>
    <row r="204" ht="12.75" customHeight="1">
      <c r="A204" s="110" t="s">
        <v>47</v>
      </c>
      <c r="D204" s="145" t="s">
        <v>48</v>
      </c>
      <c r="G204" s="104"/>
      <c r="H204" s="133"/>
      <c r="I204" s="104"/>
      <c r="J204" s="134">
        <f t="shared" ref="J204:K204" si="251">J206</f>
        <v>32000000</v>
      </c>
      <c r="K204" s="46" t="str">
        <f t="shared" si="251"/>
        <v/>
      </c>
      <c r="L204" s="116">
        <f t="shared" si="252"/>
        <v>0</v>
      </c>
      <c r="M204" s="106"/>
      <c r="N204" s="116">
        <f t="shared" si="253"/>
        <v>0</v>
      </c>
      <c r="O204" s="46">
        <f t="shared" ref="O204:P204" si="254">O206</f>
        <v>32000000</v>
      </c>
      <c r="P204" s="46">
        <f t="shared" si="254"/>
        <v>32000000</v>
      </c>
      <c r="Q204" s="46">
        <v>3.2E7</v>
      </c>
      <c r="R204" s="101"/>
      <c r="S204" s="101"/>
      <c r="T204" s="99"/>
      <c r="U204" s="99"/>
      <c r="V204" s="99"/>
      <c r="W204" s="99"/>
      <c r="X204" s="99"/>
      <c r="Y204" s="99"/>
      <c r="Z204" s="99"/>
      <c r="AA204" s="99"/>
      <c r="AB204" s="99"/>
      <c r="AC204" s="99"/>
      <c r="AD204" s="99"/>
      <c r="AE204" s="99"/>
      <c r="AF204" s="99"/>
      <c r="AG204" s="99"/>
      <c r="AH204" s="99"/>
      <c r="AI204" s="99"/>
      <c r="AJ204" s="99"/>
      <c r="AK204" s="99"/>
      <c r="AL204" s="99"/>
      <c r="AM204" s="99"/>
    </row>
    <row r="205" ht="12.75" customHeight="1">
      <c r="A205" s="104"/>
      <c r="B205" s="104"/>
      <c r="C205" s="104"/>
      <c r="D205" s="110" t="s">
        <v>23</v>
      </c>
      <c r="G205" s="104"/>
      <c r="H205" s="104"/>
      <c r="I205" s="104"/>
      <c r="J205" s="111"/>
      <c r="K205" s="111"/>
      <c r="L205" s="116"/>
      <c r="M205" s="106"/>
      <c r="N205" s="116"/>
      <c r="O205" s="111"/>
      <c r="P205" s="111"/>
      <c r="Q205" s="111"/>
      <c r="R205" s="101"/>
      <c r="S205" s="101"/>
      <c r="T205" s="99"/>
      <c r="U205" s="99"/>
      <c r="V205" s="99"/>
      <c r="W205" s="99"/>
      <c r="X205" s="99"/>
      <c r="Y205" s="99"/>
      <c r="Z205" s="99"/>
      <c r="AA205" s="99"/>
      <c r="AB205" s="99"/>
      <c r="AC205" s="99"/>
      <c r="AD205" s="99"/>
      <c r="AE205" s="99"/>
      <c r="AF205" s="99"/>
      <c r="AG205" s="99"/>
      <c r="AH205" s="99"/>
      <c r="AI205" s="99"/>
      <c r="AJ205" s="99"/>
      <c r="AK205" s="99"/>
      <c r="AL205" s="99"/>
      <c r="AM205" s="99"/>
    </row>
    <row r="206" ht="12.75" customHeight="1">
      <c r="A206" s="104"/>
      <c r="B206" s="104"/>
      <c r="C206" s="104"/>
      <c r="D206" s="110" t="s">
        <v>24</v>
      </c>
      <c r="E206" s="110" t="s">
        <v>317</v>
      </c>
      <c r="G206" s="136">
        <v>8.0</v>
      </c>
      <c r="H206" s="136" t="s">
        <v>26</v>
      </c>
      <c r="I206" s="137">
        <v>4000000.0</v>
      </c>
      <c r="J206" s="46">
        <f>G206*I206</f>
        <v>32000000</v>
      </c>
      <c r="K206" s="46"/>
      <c r="L206" s="116">
        <f t="shared" ref="L206:L207" si="256">(K206/J206)*100</f>
        <v>0</v>
      </c>
      <c r="M206" s="106"/>
      <c r="N206" s="116">
        <f t="shared" ref="N206:N207" si="257">(K206/J206)*100</f>
        <v>0</v>
      </c>
      <c r="O206" s="46">
        <f>J206-K206</f>
        <v>32000000</v>
      </c>
      <c r="P206" s="46">
        <f>J206-M206</f>
        <v>32000000</v>
      </c>
      <c r="Q206" s="46">
        <v>3.2E7</v>
      </c>
      <c r="R206" s="101"/>
      <c r="S206" s="101"/>
      <c r="T206" s="99"/>
      <c r="U206" s="99"/>
      <c r="V206" s="99"/>
      <c r="W206" s="99"/>
      <c r="X206" s="99"/>
      <c r="Y206" s="99"/>
      <c r="Z206" s="99"/>
      <c r="AA206" s="99"/>
      <c r="AB206" s="99"/>
      <c r="AC206" s="99"/>
      <c r="AD206" s="99"/>
      <c r="AE206" s="99"/>
      <c r="AF206" s="99"/>
      <c r="AG206" s="99"/>
      <c r="AH206" s="99"/>
      <c r="AI206" s="99"/>
      <c r="AJ206" s="99"/>
      <c r="AK206" s="99"/>
      <c r="AL206" s="99"/>
      <c r="AM206" s="99"/>
    </row>
    <row r="207" ht="12.75" customHeight="1">
      <c r="A207" s="110" t="s">
        <v>58</v>
      </c>
      <c r="D207" s="145" t="s">
        <v>34</v>
      </c>
      <c r="G207" s="104"/>
      <c r="H207" s="133"/>
      <c r="I207" s="104"/>
      <c r="J207" s="134">
        <f t="shared" ref="J207:K207" si="255">J209</f>
        <v>48000000</v>
      </c>
      <c r="K207" s="46" t="str">
        <f t="shared" si="255"/>
        <v/>
      </c>
      <c r="L207" s="116">
        <f t="shared" si="256"/>
        <v>0</v>
      </c>
      <c r="M207" s="106"/>
      <c r="N207" s="116">
        <f t="shared" si="257"/>
        <v>0</v>
      </c>
      <c r="O207" s="46">
        <f t="shared" ref="O207:P207" si="258">O209</f>
        <v>48000000</v>
      </c>
      <c r="P207" s="46">
        <f t="shared" si="258"/>
        <v>48000000</v>
      </c>
      <c r="Q207" s="46">
        <v>4.8E7</v>
      </c>
      <c r="R207" s="101"/>
      <c r="S207" s="101"/>
      <c r="T207" s="99"/>
      <c r="U207" s="99"/>
      <c r="V207" s="99"/>
      <c r="W207" s="99"/>
      <c r="X207" s="99"/>
      <c r="Y207" s="99"/>
      <c r="Z207" s="99"/>
      <c r="AA207" s="99"/>
      <c r="AB207" s="99"/>
      <c r="AC207" s="99"/>
      <c r="AD207" s="99"/>
      <c r="AE207" s="99"/>
      <c r="AF207" s="99"/>
      <c r="AG207" s="99"/>
      <c r="AH207" s="99"/>
      <c r="AI207" s="99"/>
      <c r="AJ207" s="99"/>
      <c r="AK207" s="99"/>
      <c r="AL207" s="99"/>
      <c r="AM207" s="99"/>
    </row>
    <row r="208" ht="12.75" customHeight="1">
      <c r="A208" s="104"/>
      <c r="B208" s="104"/>
      <c r="C208" s="104"/>
      <c r="D208" s="110" t="s">
        <v>23</v>
      </c>
      <c r="G208" s="104"/>
      <c r="H208" s="104"/>
      <c r="I208" s="104"/>
      <c r="J208" s="111"/>
      <c r="K208" s="111"/>
      <c r="L208" s="116"/>
      <c r="M208" s="106"/>
      <c r="N208" s="116"/>
      <c r="O208" s="111"/>
      <c r="P208" s="111"/>
      <c r="Q208" s="111"/>
      <c r="R208" s="101"/>
      <c r="S208" s="101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99"/>
      <c r="AH208" s="99"/>
      <c r="AI208" s="99"/>
      <c r="AJ208" s="99"/>
      <c r="AK208" s="99"/>
      <c r="AL208" s="99"/>
      <c r="AM208" s="99"/>
    </row>
    <row r="209" ht="15.75" customHeight="1">
      <c r="A209" s="104"/>
      <c r="B209" s="104"/>
      <c r="C209" s="104"/>
      <c r="D209" s="110" t="s">
        <v>24</v>
      </c>
      <c r="E209" s="110" t="s">
        <v>71</v>
      </c>
      <c r="G209" s="136">
        <v>96.0</v>
      </c>
      <c r="H209" s="136" t="s">
        <v>26</v>
      </c>
      <c r="I209" s="137">
        <v>500000.0</v>
      </c>
      <c r="J209" s="46">
        <f>G209*I209</f>
        <v>48000000</v>
      </c>
      <c r="K209" s="46"/>
      <c r="L209" s="116">
        <f t="shared" ref="L209:L211" si="260">(K209/J209)*100</f>
        <v>0</v>
      </c>
      <c r="M209" s="106"/>
      <c r="N209" s="116">
        <f t="shared" ref="N209:N211" si="261">(K209/J209)*100</f>
        <v>0</v>
      </c>
      <c r="O209" s="46">
        <f>J209-K209</f>
        <v>48000000</v>
      </c>
      <c r="P209" s="46">
        <f>J209-M209</f>
        <v>48000000</v>
      </c>
      <c r="Q209" s="46">
        <v>4.8E7</v>
      </c>
      <c r="R209" s="101"/>
      <c r="S209" s="101"/>
      <c r="T209" s="99"/>
      <c r="U209" s="99"/>
      <c r="V209" s="99"/>
      <c r="W209" s="99"/>
      <c r="X209" s="99"/>
      <c r="Y209" s="99"/>
      <c r="Z209" s="99"/>
      <c r="AA209" s="99"/>
      <c r="AB209" s="99"/>
      <c r="AC209" s="99"/>
      <c r="AD209" s="99"/>
      <c r="AE209" s="99"/>
      <c r="AF209" s="99"/>
      <c r="AG209" s="99"/>
      <c r="AH209" s="99"/>
      <c r="AI209" s="99"/>
      <c r="AJ209" s="99"/>
      <c r="AK209" s="99"/>
      <c r="AL209" s="99"/>
      <c r="AM209" s="99"/>
    </row>
    <row r="210" ht="12.75" customHeight="1">
      <c r="A210" s="144" t="s">
        <v>72</v>
      </c>
      <c r="D210" s="144" t="s">
        <v>73</v>
      </c>
      <c r="G210" s="104"/>
      <c r="H210" s="128"/>
      <c r="I210" s="104"/>
      <c r="J210" s="129">
        <f t="shared" ref="J210:K210" si="259">J211+J216</f>
        <v>151200000</v>
      </c>
      <c r="K210" s="43">
        <f t="shared" si="259"/>
        <v>0</v>
      </c>
      <c r="L210" s="116">
        <f t="shared" si="260"/>
        <v>0</v>
      </c>
      <c r="M210" s="106"/>
      <c r="N210" s="116">
        <f t="shared" si="261"/>
        <v>0</v>
      </c>
      <c r="O210" s="43">
        <f t="shared" ref="O210:P210" si="262">O211+O216</f>
        <v>151200000</v>
      </c>
      <c r="P210" s="43">
        <f t="shared" si="262"/>
        <v>151200000</v>
      </c>
      <c r="Q210" s="43">
        <v>1.512E8</v>
      </c>
      <c r="R210" s="101"/>
      <c r="S210" s="101"/>
      <c r="T210" s="99"/>
      <c r="U210" s="99"/>
      <c r="V210" s="99"/>
      <c r="W210" s="99"/>
      <c r="X210" s="99"/>
      <c r="Y210" s="99"/>
      <c r="Z210" s="99"/>
      <c r="AA210" s="99"/>
      <c r="AB210" s="99"/>
      <c r="AC210" s="99"/>
      <c r="AD210" s="99"/>
      <c r="AE210" s="99"/>
      <c r="AF210" s="99"/>
      <c r="AG210" s="99"/>
      <c r="AH210" s="99"/>
      <c r="AI210" s="99"/>
      <c r="AJ210" s="99"/>
      <c r="AK210" s="99"/>
      <c r="AL210" s="99"/>
      <c r="AM210" s="99"/>
    </row>
    <row r="211" ht="12.75" customHeight="1">
      <c r="A211" s="110" t="s">
        <v>74</v>
      </c>
      <c r="D211" s="145" t="s">
        <v>75</v>
      </c>
      <c r="G211" s="104"/>
      <c r="H211" s="133"/>
      <c r="I211" s="104"/>
      <c r="J211" s="134">
        <f t="shared" ref="J211:K211" si="263">SUM(J213:J215)</f>
        <v>142700000</v>
      </c>
      <c r="K211" s="46">
        <f t="shared" si="263"/>
        <v>0</v>
      </c>
      <c r="L211" s="116">
        <f t="shared" si="260"/>
        <v>0</v>
      </c>
      <c r="M211" s="106"/>
      <c r="N211" s="116">
        <f t="shared" si="261"/>
        <v>0</v>
      </c>
      <c r="O211" s="46">
        <f t="shared" ref="O211:P211" si="264">SUM(O213:O215)</f>
        <v>142700000</v>
      </c>
      <c r="P211" s="46">
        <f t="shared" si="264"/>
        <v>142700000</v>
      </c>
      <c r="Q211" s="46">
        <v>1.427E8</v>
      </c>
      <c r="R211" s="101"/>
      <c r="S211" s="101"/>
      <c r="T211" s="99"/>
      <c r="U211" s="99"/>
      <c r="V211" s="99"/>
      <c r="W211" s="99"/>
      <c r="X211" s="99"/>
      <c r="Y211" s="99"/>
      <c r="Z211" s="99"/>
      <c r="AA211" s="99"/>
      <c r="AB211" s="99"/>
      <c r="AC211" s="99"/>
      <c r="AD211" s="99"/>
      <c r="AE211" s="99"/>
      <c r="AF211" s="99"/>
      <c r="AG211" s="99"/>
      <c r="AH211" s="99"/>
      <c r="AI211" s="99"/>
      <c r="AJ211" s="99"/>
      <c r="AK211" s="99"/>
      <c r="AL211" s="99"/>
      <c r="AM211" s="99"/>
    </row>
    <row r="212" ht="12.75" customHeight="1">
      <c r="A212" s="104"/>
      <c r="B212" s="104"/>
      <c r="C212" s="104"/>
      <c r="D212" s="110" t="s">
        <v>23</v>
      </c>
      <c r="G212" s="104"/>
      <c r="H212" s="104"/>
      <c r="I212" s="104"/>
      <c r="J212" s="111"/>
      <c r="K212" s="111"/>
      <c r="L212" s="116"/>
      <c r="M212" s="106"/>
      <c r="N212" s="116"/>
      <c r="O212" s="111"/>
      <c r="P212" s="111"/>
      <c r="Q212" s="111"/>
      <c r="R212" s="101"/>
      <c r="S212" s="101"/>
      <c r="T212" s="99"/>
      <c r="U212" s="99"/>
      <c r="V212" s="99"/>
      <c r="W212" s="99"/>
      <c r="X212" s="99"/>
      <c r="Y212" s="99"/>
      <c r="Z212" s="99"/>
      <c r="AA212" s="99"/>
      <c r="AB212" s="99"/>
      <c r="AC212" s="99"/>
      <c r="AD212" s="99"/>
      <c r="AE212" s="99"/>
      <c r="AF212" s="99"/>
      <c r="AG212" s="99"/>
      <c r="AH212" s="99"/>
      <c r="AI212" s="99"/>
      <c r="AJ212" s="99"/>
      <c r="AK212" s="99"/>
      <c r="AL212" s="99"/>
      <c r="AM212" s="99"/>
    </row>
    <row r="213" ht="12.75" customHeight="1">
      <c r="A213" s="104"/>
      <c r="B213" s="104"/>
      <c r="C213" s="104"/>
      <c r="D213" s="110" t="s">
        <v>24</v>
      </c>
      <c r="E213" s="110" t="s">
        <v>76</v>
      </c>
      <c r="G213" s="136">
        <v>20.0</v>
      </c>
      <c r="H213" s="136" t="s">
        <v>26</v>
      </c>
      <c r="I213" s="137">
        <v>5000000.0</v>
      </c>
      <c r="J213" s="46">
        <f t="shared" ref="J213:J215" si="265">G213*I213</f>
        <v>100000000</v>
      </c>
      <c r="K213" s="46"/>
      <c r="L213" s="116">
        <f t="shared" ref="L213:L216" si="266">(K213/J213)*100</f>
        <v>0</v>
      </c>
      <c r="M213" s="106"/>
      <c r="N213" s="116">
        <f t="shared" ref="N213:N216" si="267">(K213/J213)*100</f>
        <v>0</v>
      </c>
      <c r="O213" s="46">
        <f t="shared" ref="O213:O215" si="268">J213-K213</f>
        <v>100000000</v>
      </c>
      <c r="P213" s="46">
        <f t="shared" ref="P213:P215" si="269">J213-M213</f>
        <v>100000000</v>
      </c>
      <c r="Q213" s="46">
        <v>1.0E8</v>
      </c>
      <c r="R213" s="101"/>
      <c r="S213" s="101"/>
      <c r="T213" s="99"/>
      <c r="U213" s="99"/>
      <c r="V213" s="99"/>
      <c r="W213" s="99"/>
      <c r="X213" s="99"/>
      <c r="Y213" s="99"/>
      <c r="Z213" s="99"/>
      <c r="AA213" s="99"/>
      <c r="AB213" s="99"/>
      <c r="AC213" s="99"/>
      <c r="AD213" s="99"/>
      <c r="AE213" s="99"/>
      <c r="AF213" s="99"/>
      <c r="AG213" s="99"/>
      <c r="AH213" s="99"/>
      <c r="AI213" s="99"/>
      <c r="AJ213" s="99"/>
      <c r="AK213" s="99"/>
      <c r="AL213" s="99"/>
      <c r="AM213" s="99"/>
    </row>
    <row r="214" ht="15.75" customHeight="1">
      <c r="A214" s="104"/>
      <c r="B214" s="104"/>
      <c r="C214" s="104"/>
      <c r="D214" s="110" t="s">
        <v>24</v>
      </c>
      <c r="E214" s="110" t="s">
        <v>77</v>
      </c>
      <c r="G214" s="136">
        <v>30.0</v>
      </c>
      <c r="H214" s="136" t="s">
        <v>26</v>
      </c>
      <c r="I214" s="137">
        <v>850000.0</v>
      </c>
      <c r="J214" s="46">
        <f t="shared" si="265"/>
        <v>25500000</v>
      </c>
      <c r="K214" s="46"/>
      <c r="L214" s="116">
        <f t="shared" si="266"/>
        <v>0</v>
      </c>
      <c r="M214" s="106"/>
      <c r="N214" s="116">
        <f t="shared" si="267"/>
        <v>0</v>
      </c>
      <c r="O214" s="46">
        <f t="shared" si="268"/>
        <v>25500000</v>
      </c>
      <c r="P214" s="46">
        <f t="shared" si="269"/>
        <v>25500000</v>
      </c>
      <c r="Q214" s="46">
        <v>2.55E7</v>
      </c>
      <c r="R214" s="101"/>
      <c r="S214" s="101"/>
      <c r="T214" s="99"/>
      <c r="U214" s="99"/>
      <c r="V214" s="99"/>
      <c r="W214" s="99"/>
      <c r="X214" s="99"/>
      <c r="Y214" s="99"/>
      <c r="Z214" s="99"/>
      <c r="AA214" s="99"/>
      <c r="AB214" s="99"/>
      <c r="AC214" s="99"/>
      <c r="AD214" s="99"/>
      <c r="AE214" s="99"/>
      <c r="AF214" s="99"/>
      <c r="AG214" s="99"/>
      <c r="AH214" s="99"/>
      <c r="AI214" s="99"/>
      <c r="AJ214" s="99"/>
      <c r="AK214" s="99"/>
      <c r="AL214" s="99"/>
      <c r="AM214" s="99"/>
    </row>
    <row r="215" ht="12.75" customHeight="1">
      <c r="A215" s="104"/>
      <c r="B215" s="104"/>
      <c r="C215" s="104"/>
      <c r="D215" s="110" t="s">
        <v>24</v>
      </c>
      <c r="E215" s="110" t="s">
        <v>78</v>
      </c>
      <c r="G215" s="136">
        <v>40.0</v>
      </c>
      <c r="H215" s="136" t="s">
        <v>26</v>
      </c>
      <c r="I215" s="137">
        <v>430000.0</v>
      </c>
      <c r="J215" s="46">
        <f t="shared" si="265"/>
        <v>17200000</v>
      </c>
      <c r="K215" s="46"/>
      <c r="L215" s="116">
        <f t="shared" si="266"/>
        <v>0</v>
      </c>
      <c r="M215" s="106"/>
      <c r="N215" s="116">
        <f t="shared" si="267"/>
        <v>0</v>
      </c>
      <c r="O215" s="46">
        <f t="shared" si="268"/>
        <v>17200000</v>
      </c>
      <c r="P215" s="46">
        <f t="shared" si="269"/>
        <v>17200000</v>
      </c>
      <c r="Q215" s="46">
        <v>1.72E7</v>
      </c>
      <c r="R215" s="101"/>
      <c r="S215" s="101"/>
      <c r="T215" s="99"/>
      <c r="U215" s="99"/>
      <c r="V215" s="99"/>
      <c r="W215" s="99"/>
      <c r="X215" s="99"/>
      <c r="Y215" s="99"/>
      <c r="Z215" s="99"/>
      <c r="AA215" s="99"/>
      <c r="AB215" s="99"/>
      <c r="AC215" s="99"/>
      <c r="AD215" s="99"/>
      <c r="AE215" s="99"/>
      <c r="AF215" s="99"/>
      <c r="AG215" s="99"/>
      <c r="AH215" s="99"/>
      <c r="AI215" s="99"/>
      <c r="AJ215" s="99"/>
      <c r="AK215" s="99"/>
      <c r="AL215" s="99"/>
      <c r="AM215" s="99"/>
    </row>
    <row r="216" ht="12.75" customHeight="1">
      <c r="A216" s="110" t="s">
        <v>79</v>
      </c>
      <c r="D216" s="145" t="s">
        <v>80</v>
      </c>
      <c r="G216" s="104"/>
      <c r="H216" s="133"/>
      <c r="I216" s="104"/>
      <c r="J216" s="134">
        <f t="shared" ref="J216:K216" si="270">J218</f>
        <v>8500000</v>
      </c>
      <c r="K216" s="46" t="str">
        <f t="shared" si="270"/>
        <v/>
      </c>
      <c r="L216" s="116">
        <f t="shared" si="266"/>
        <v>0</v>
      </c>
      <c r="M216" s="106"/>
      <c r="N216" s="116">
        <f t="shared" si="267"/>
        <v>0</v>
      </c>
      <c r="O216" s="46">
        <f t="shared" ref="O216:P216" si="271">O218</f>
        <v>8500000</v>
      </c>
      <c r="P216" s="46">
        <f t="shared" si="271"/>
        <v>8500000</v>
      </c>
      <c r="Q216" s="46">
        <v>8500000.0</v>
      </c>
      <c r="R216" s="101"/>
      <c r="S216" s="101"/>
      <c r="T216" s="99"/>
      <c r="U216" s="99"/>
      <c r="V216" s="99"/>
      <c r="W216" s="99"/>
      <c r="X216" s="99"/>
      <c r="Y216" s="99"/>
      <c r="Z216" s="99"/>
      <c r="AA216" s="99"/>
      <c r="AB216" s="99"/>
      <c r="AC216" s="99"/>
      <c r="AD216" s="99"/>
      <c r="AE216" s="99"/>
      <c r="AF216" s="99"/>
      <c r="AG216" s="99"/>
      <c r="AH216" s="99"/>
      <c r="AI216" s="99"/>
      <c r="AJ216" s="99"/>
      <c r="AK216" s="99"/>
      <c r="AL216" s="99"/>
      <c r="AM216" s="99"/>
    </row>
    <row r="217" ht="12.75" customHeight="1">
      <c r="A217" s="104"/>
      <c r="B217" s="104"/>
      <c r="C217" s="104"/>
      <c r="D217" s="110" t="s">
        <v>23</v>
      </c>
      <c r="G217" s="104"/>
      <c r="H217" s="104"/>
      <c r="I217" s="104"/>
      <c r="J217" s="111"/>
      <c r="K217" s="111"/>
      <c r="L217" s="116"/>
      <c r="M217" s="106"/>
      <c r="N217" s="116"/>
      <c r="O217" s="111"/>
      <c r="P217" s="111"/>
      <c r="Q217" s="111"/>
      <c r="R217" s="101"/>
      <c r="S217" s="101"/>
      <c r="T217" s="99"/>
      <c r="U217" s="99"/>
      <c r="V217" s="99"/>
      <c r="W217" s="99"/>
      <c r="X217" s="99"/>
      <c r="Y217" s="99"/>
      <c r="Z217" s="99"/>
      <c r="AA217" s="99"/>
      <c r="AB217" s="99"/>
      <c r="AC217" s="99"/>
      <c r="AD217" s="99"/>
      <c r="AE217" s="99"/>
      <c r="AF217" s="99"/>
      <c r="AG217" s="99"/>
      <c r="AH217" s="99"/>
      <c r="AI217" s="99"/>
      <c r="AJ217" s="99"/>
      <c r="AK217" s="99"/>
      <c r="AL217" s="99"/>
      <c r="AM217" s="99"/>
    </row>
    <row r="218" ht="12.75" customHeight="1">
      <c r="A218" s="104"/>
      <c r="B218" s="104"/>
      <c r="C218" s="104"/>
      <c r="D218" s="110" t="s">
        <v>24</v>
      </c>
      <c r="E218" s="110" t="s">
        <v>81</v>
      </c>
      <c r="G218" s="136">
        <v>50.0</v>
      </c>
      <c r="H218" s="136" t="s">
        <v>26</v>
      </c>
      <c r="I218" s="137">
        <v>170000.0</v>
      </c>
      <c r="J218" s="46">
        <f>G218*I218</f>
        <v>8500000</v>
      </c>
      <c r="K218" s="46"/>
      <c r="L218" s="116">
        <f t="shared" ref="L218:L220" si="273">(K218/J218)*100</f>
        <v>0</v>
      </c>
      <c r="M218" s="106"/>
      <c r="N218" s="116">
        <f t="shared" ref="N218:N220" si="274">(K218/J218)*100</f>
        <v>0</v>
      </c>
      <c r="O218" s="46">
        <f>J218-K218</f>
        <v>8500000</v>
      </c>
      <c r="P218" s="46">
        <f>J218-M218</f>
        <v>8500000</v>
      </c>
      <c r="Q218" s="46">
        <v>8500000.0</v>
      </c>
      <c r="R218" s="101"/>
      <c r="S218" s="101"/>
      <c r="T218" s="99"/>
      <c r="U218" s="99"/>
      <c r="V218" s="99"/>
      <c r="W218" s="99"/>
      <c r="X218" s="99"/>
      <c r="Y218" s="99"/>
      <c r="Z218" s="99"/>
      <c r="AA218" s="99"/>
      <c r="AB218" s="99"/>
      <c r="AC218" s="99"/>
      <c r="AD218" s="99"/>
      <c r="AE218" s="99"/>
      <c r="AF218" s="99"/>
      <c r="AG218" s="99"/>
      <c r="AH218" s="99"/>
      <c r="AI218" s="99"/>
      <c r="AJ218" s="99"/>
      <c r="AK218" s="99"/>
      <c r="AL218" s="99"/>
      <c r="AM218" s="99"/>
    </row>
    <row r="219" ht="12.75" customHeight="1">
      <c r="A219" s="144" t="s">
        <v>82</v>
      </c>
      <c r="D219" s="144" t="s">
        <v>83</v>
      </c>
      <c r="G219" s="104"/>
      <c r="H219" s="128"/>
      <c r="I219" s="104"/>
      <c r="J219" s="129">
        <f t="shared" ref="J219:K219" si="272">J220+J225</f>
        <v>2553000000</v>
      </c>
      <c r="K219" s="43">
        <f t="shared" si="272"/>
        <v>190117500</v>
      </c>
      <c r="L219" s="116">
        <f t="shared" si="273"/>
        <v>7.446827262</v>
      </c>
      <c r="M219" s="106"/>
      <c r="N219" s="116">
        <f t="shared" si="274"/>
        <v>7.446827262</v>
      </c>
      <c r="O219" s="43">
        <f t="shared" ref="O219:P219" si="275">O220+O225</f>
        <v>2362882500</v>
      </c>
      <c r="P219" s="43">
        <f t="shared" si="275"/>
        <v>2553000000</v>
      </c>
      <c r="Q219" s="43">
        <v>2.553E9</v>
      </c>
      <c r="R219" s="101"/>
      <c r="S219" s="101"/>
      <c r="T219" s="99"/>
      <c r="U219" s="99"/>
      <c r="V219" s="99"/>
      <c r="W219" s="99"/>
      <c r="X219" s="99"/>
      <c r="Y219" s="99"/>
      <c r="Z219" s="99"/>
      <c r="AA219" s="99"/>
      <c r="AB219" s="99"/>
      <c r="AC219" s="99"/>
      <c r="AD219" s="99"/>
      <c r="AE219" s="99"/>
      <c r="AF219" s="99"/>
      <c r="AG219" s="99"/>
      <c r="AH219" s="99"/>
      <c r="AI219" s="99"/>
      <c r="AJ219" s="99"/>
      <c r="AK219" s="99"/>
      <c r="AL219" s="99"/>
      <c r="AM219" s="99"/>
    </row>
    <row r="220" ht="12.75" customHeight="1">
      <c r="A220" s="110" t="s">
        <v>84</v>
      </c>
      <c r="D220" s="145" t="s">
        <v>85</v>
      </c>
      <c r="G220" s="104"/>
      <c r="H220" s="133"/>
      <c r="I220" s="104"/>
      <c r="J220" s="134">
        <f t="shared" ref="J220:K220" si="276">SUM(J222:J224)</f>
        <v>2415000000</v>
      </c>
      <c r="K220" s="46">
        <f t="shared" si="276"/>
        <v>190117500</v>
      </c>
      <c r="L220" s="116">
        <f t="shared" si="273"/>
        <v>7.872360248</v>
      </c>
      <c r="M220" s="106"/>
      <c r="N220" s="116">
        <f t="shared" si="274"/>
        <v>7.872360248</v>
      </c>
      <c r="O220" s="46">
        <f t="shared" ref="O220:P220" si="277">SUM(O222:O224)</f>
        <v>2224882500</v>
      </c>
      <c r="P220" s="46">
        <f t="shared" si="277"/>
        <v>2415000000</v>
      </c>
      <c r="Q220" s="46">
        <v>2.415E9</v>
      </c>
      <c r="R220" s="101"/>
      <c r="S220" s="101"/>
      <c r="T220" s="99"/>
      <c r="U220" s="99"/>
      <c r="V220" s="99"/>
      <c r="W220" s="99"/>
      <c r="X220" s="99"/>
      <c r="Y220" s="99"/>
      <c r="Z220" s="99"/>
      <c r="AA220" s="99"/>
      <c r="AB220" s="99"/>
      <c r="AC220" s="99"/>
      <c r="AD220" s="99"/>
      <c r="AE220" s="99"/>
      <c r="AF220" s="99"/>
      <c r="AG220" s="99"/>
      <c r="AH220" s="99"/>
      <c r="AI220" s="99"/>
      <c r="AJ220" s="99"/>
      <c r="AK220" s="99"/>
      <c r="AL220" s="99"/>
      <c r="AM220" s="99"/>
    </row>
    <row r="221" ht="12.75" customHeight="1">
      <c r="A221" s="104"/>
      <c r="B221" s="104"/>
      <c r="C221" s="104"/>
      <c r="D221" s="110" t="s">
        <v>23</v>
      </c>
      <c r="G221" s="104"/>
      <c r="H221" s="104"/>
      <c r="I221" s="104"/>
      <c r="J221" s="111"/>
      <c r="K221" s="111"/>
      <c r="L221" s="116"/>
      <c r="M221" s="106"/>
      <c r="N221" s="116"/>
      <c r="O221" s="111"/>
      <c r="P221" s="111"/>
      <c r="Q221" s="111"/>
      <c r="R221" s="101"/>
      <c r="S221" s="101"/>
      <c r="T221" s="99"/>
      <c r="U221" s="99"/>
      <c r="V221" s="99"/>
      <c r="W221" s="99"/>
      <c r="X221" s="99"/>
      <c r="Y221" s="99"/>
      <c r="Z221" s="99"/>
      <c r="AA221" s="99"/>
      <c r="AB221" s="99"/>
      <c r="AC221" s="99"/>
      <c r="AD221" s="99"/>
      <c r="AE221" s="99"/>
      <c r="AF221" s="99"/>
      <c r="AG221" s="99"/>
      <c r="AH221" s="99"/>
      <c r="AI221" s="99"/>
      <c r="AJ221" s="99"/>
      <c r="AK221" s="99"/>
      <c r="AL221" s="99"/>
      <c r="AM221" s="99"/>
    </row>
    <row r="222">
      <c r="A222" s="104"/>
      <c r="B222" s="104"/>
      <c r="C222" s="104"/>
      <c r="D222" s="110" t="s">
        <v>24</v>
      </c>
      <c r="E222" s="110" t="s">
        <v>320</v>
      </c>
      <c r="G222" s="136">
        <v>109500.0</v>
      </c>
      <c r="H222" s="136" t="s">
        <v>87</v>
      </c>
      <c r="I222" s="137">
        <v>15000.0</v>
      </c>
      <c r="J222" s="46">
        <f t="shared" ref="J222:J224" si="278">G222*I222</f>
        <v>1642500000</v>
      </c>
      <c r="K222" s="46">
        <v>1.4193E8</v>
      </c>
      <c r="L222" s="116">
        <f t="shared" ref="L222:L225" si="279">(K222/J222)*100</f>
        <v>8.64109589</v>
      </c>
      <c r="M222" s="106"/>
      <c r="N222" s="116">
        <f t="shared" ref="N222:N225" si="280">(K222/J222)*100</f>
        <v>8.64109589</v>
      </c>
      <c r="O222" s="46">
        <f t="shared" ref="O222:O224" si="281">J222-K222</f>
        <v>1500570000</v>
      </c>
      <c r="P222" s="46">
        <f t="shared" ref="P222:P224" si="282">J222-M222</f>
        <v>1642500000</v>
      </c>
      <c r="Q222" s="46">
        <v>1.6425E9</v>
      </c>
      <c r="R222" s="101"/>
      <c r="S222" s="101"/>
      <c r="T222" s="99"/>
      <c r="U222" s="99"/>
      <c r="V222" s="99"/>
      <c r="W222" s="99"/>
      <c r="X222" s="99"/>
      <c r="Y222" s="99"/>
      <c r="Z222" s="99"/>
      <c r="AA222" s="99"/>
      <c r="AB222" s="99"/>
      <c r="AC222" s="99"/>
      <c r="AD222" s="99"/>
      <c r="AE222" s="99"/>
      <c r="AF222" s="99"/>
      <c r="AG222" s="99"/>
      <c r="AH222" s="99"/>
      <c r="AI222" s="99"/>
      <c r="AJ222" s="99"/>
      <c r="AK222" s="99"/>
      <c r="AL222" s="99"/>
      <c r="AM222" s="99"/>
    </row>
    <row r="223" ht="12.75" customHeight="1">
      <c r="A223" s="104"/>
      <c r="B223" s="104"/>
      <c r="C223" s="104"/>
      <c r="D223" s="110" t="s">
        <v>24</v>
      </c>
      <c r="E223" s="110" t="s">
        <v>88</v>
      </c>
      <c r="G223" s="136">
        <v>9000.0</v>
      </c>
      <c r="H223" s="136" t="s">
        <v>87</v>
      </c>
      <c r="I223" s="137">
        <v>25000.0</v>
      </c>
      <c r="J223" s="46">
        <f t="shared" si="278"/>
        <v>225000000</v>
      </c>
      <c r="K223" s="46"/>
      <c r="L223" s="116">
        <f t="shared" si="279"/>
        <v>0</v>
      </c>
      <c r="M223" s="106"/>
      <c r="N223" s="116">
        <f t="shared" si="280"/>
        <v>0</v>
      </c>
      <c r="O223" s="46">
        <f t="shared" si="281"/>
        <v>225000000</v>
      </c>
      <c r="P223" s="46">
        <f t="shared" si="282"/>
        <v>225000000</v>
      </c>
      <c r="Q223" s="46">
        <v>2.25E8</v>
      </c>
      <c r="R223" s="101"/>
      <c r="S223" s="101"/>
      <c r="T223" s="99"/>
      <c r="U223" s="99"/>
      <c r="V223" s="99"/>
      <c r="W223" s="99"/>
      <c r="X223" s="99"/>
      <c r="Y223" s="99"/>
      <c r="Z223" s="99"/>
      <c r="AA223" s="99"/>
      <c r="AB223" s="99"/>
      <c r="AC223" s="99"/>
      <c r="AD223" s="99"/>
      <c r="AE223" s="99"/>
      <c r="AF223" s="99"/>
      <c r="AG223" s="99"/>
      <c r="AH223" s="99"/>
      <c r="AI223" s="99"/>
      <c r="AJ223" s="99"/>
      <c r="AK223" s="99"/>
      <c r="AL223" s="99"/>
      <c r="AM223" s="99"/>
    </row>
    <row r="224">
      <c r="A224" s="104"/>
      <c r="B224" s="104"/>
      <c r="C224" s="104"/>
      <c r="D224" s="110" t="s">
        <v>24</v>
      </c>
      <c r="E224" s="110" t="s">
        <v>321</v>
      </c>
      <c r="G224" s="136">
        <v>73000.0</v>
      </c>
      <c r="H224" s="136" t="s">
        <v>87</v>
      </c>
      <c r="I224" s="137">
        <v>7500.0</v>
      </c>
      <c r="J224" s="46">
        <f t="shared" si="278"/>
        <v>547500000</v>
      </c>
      <c r="K224" s="46">
        <v>4.81875E7</v>
      </c>
      <c r="L224" s="116">
        <f t="shared" si="279"/>
        <v>8.801369863</v>
      </c>
      <c r="M224" s="106"/>
      <c r="N224" s="116">
        <f t="shared" si="280"/>
        <v>8.801369863</v>
      </c>
      <c r="O224" s="46">
        <f t="shared" si="281"/>
        <v>499312500</v>
      </c>
      <c r="P224" s="46">
        <f t="shared" si="282"/>
        <v>547500000</v>
      </c>
      <c r="Q224" s="46">
        <v>5.475E8</v>
      </c>
      <c r="R224" s="101"/>
      <c r="S224" s="101"/>
      <c r="T224" s="99"/>
      <c r="U224" s="99"/>
      <c r="V224" s="99"/>
      <c r="W224" s="99"/>
      <c r="X224" s="99"/>
      <c r="Y224" s="99"/>
      <c r="Z224" s="99"/>
      <c r="AA224" s="99"/>
      <c r="AB224" s="99"/>
      <c r="AC224" s="99"/>
      <c r="AD224" s="99"/>
      <c r="AE224" s="99"/>
      <c r="AF224" s="99"/>
      <c r="AG224" s="99"/>
      <c r="AH224" s="99"/>
      <c r="AI224" s="99"/>
      <c r="AJ224" s="99"/>
      <c r="AK224" s="99"/>
      <c r="AL224" s="99"/>
      <c r="AM224" s="99"/>
    </row>
    <row r="225" ht="12.75" customHeight="1">
      <c r="A225" s="110" t="s">
        <v>63</v>
      </c>
      <c r="D225" s="145" t="s">
        <v>64</v>
      </c>
      <c r="G225" s="104"/>
      <c r="H225" s="133"/>
      <c r="I225" s="104"/>
      <c r="J225" s="134">
        <f>SUM(J227:J228)</f>
        <v>138000000</v>
      </c>
      <c r="K225" s="46">
        <f>K227+K228</f>
        <v>0</v>
      </c>
      <c r="L225" s="116">
        <f t="shared" si="279"/>
        <v>0</v>
      </c>
      <c r="M225" s="146">
        <f>M227+M228</f>
        <v>0</v>
      </c>
      <c r="N225" s="116">
        <f t="shared" si="280"/>
        <v>0</v>
      </c>
      <c r="O225" s="46">
        <f t="shared" ref="O225:P225" si="283">O227+O228</f>
        <v>138000000</v>
      </c>
      <c r="P225" s="46">
        <f t="shared" si="283"/>
        <v>138000000</v>
      </c>
      <c r="Q225" s="46">
        <v>1.38E8</v>
      </c>
      <c r="R225" s="101"/>
      <c r="S225" s="101"/>
      <c r="T225" s="99"/>
      <c r="U225" s="99"/>
      <c r="V225" s="99"/>
      <c r="W225" s="99"/>
      <c r="X225" s="99"/>
      <c r="Y225" s="99"/>
      <c r="Z225" s="99"/>
      <c r="AA225" s="99"/>
      <c r="AB225" s="99"/>
      <c r="AC225" s="99"/>
      <c r="AD225" s="99"/>
      <c r="AE225" s="99"/>
      <c r="AF225" s="99"/>
      <c r="AG225" s="99"/>
      <c r="AH225" s="99"/>
      <c r="AI225" s="99"/>
      <c r="AJ225" s="99"/>
      <c r="AK225" s="99"/>
      <c r="AL225" s="99"/>
      <c r="AM225" s="99"/>
    </row>
    <row r="226" ht="12.75" customHeight="1">
      <c r="A226" s="104"/>
      <c r="B226" s="104"/>
      <c r="C226" s="104"/>
      <c r="D226" s="110" t="s">
        <v>23</v>
      </c>
      <c r="G226" s="104"/>
      <c r="H226" s="104"/>
      <c r="I226" s="104"/>
      <c r="J226" s="111"/>
      <c r="K226" s="111"/>
      <c r="L226" s="116"/>
      <c r="M226" s="106"/>
      <c r="N226" s="116"/>
      <c r="O226" s="111"/>
      <c r="P226" s="111"/>
      <c r="Q226" s="111"/>
      <c r="R226" s="101"/>
      <c r="S226" s="101"/>
      <c r="T226" s="99"/>
      <c r="U226" s="99"/>
      <c r="V226" s="99"/>
      <c r="W226" s="99"/>
      <c r="X226" s="99"/>
      <c r="Y226" s="99"/>
      <c r="Z226" s="99"/>
      <c r="AA226" s="99"/>
      <c r="AB226" s="99"/>
      <c r="AC226" s="99"/>
      <c r="AD226" s="99"/>
      <c r="AE226" s="99"/>
      <c r="AF226" s="99"/>
      <c r="AG226" s="99"/>
      <c r="AH226" s="99"/>
      <c r="AI226" s="99"/>
      <c r="AJ226" s="99"/>
      <c r="AK226" s="99"/>
      <c r="AL226" s="99"/>
      <c r="AM226" s="99"/>
    </row>
    <row r="227" ht="12.75" customHeight="1">
      <c r="A227" s="104"/>
      <c r="B227" s="104"/>
      <c r="C227" s="104"/>
      <c r="D227" s="110" t="s">
        <v>24</v>
      </c>
      <c r="E227" s="110" t="s">
        <v>90</v>
      </c>
      <c r="G227" s="136">
        <v>180.0</v>
      </c>
      <c r="H227" s="136" t="s">
        <v>87</v>
      </c>
      <c r="I227" s="137">
        <v>500000.0</v>
      </c>
      <c r="J227" s="46">
        <f t="shared" ref="J227:J228" si="284">G227*I227</f>
        <v>90000000</v>
      </c>
      <c r="K227" s="46"/>
      <c r="L227" s="116">
        <f t="shared" ref="L227:L230" si="285">(K227/J227)*100</f>
        <v>0</v>
      </c>
      <c r="M227" s="106"/>
      <c r="N227" s="116">
        <f t="shared" ref="N227:N230" si="286">(K227/J227)*100</f>
        <v>0</v>
      </c>
      <c r="O227" s="46">
        <f t="shared" ref="O227:O228" si="287">J227-K227</f>
        <v>90000000</v>
      </c>
      <c r="P227" s="46">
        <f t="shared" ref="P227:P228" si="288">J227-M227</f>
        <v>90000000</v>
      </c>
      <c r="Q227" s="46">
        <v>9.0E7</v>
      </c>
      <c r="R227" s="101"/>
      <c r="S227" s="101"/>
      <c r="T227" s="99"/>
      <c r="U227" s="99"/>
      <c r="V227" s="99"/>
      <c r="W227" s="99"/>
      <c r="X227" s="99"/>
      <c r="Y227" s="99"/>
      <c r="Z227" s="99"/>
      <c r="AA227" s="99"/>
      <c r="AB227" s="99"/>
      <c r="AC227" s="99"/>
      <c r="AD227" s="99"/>
      <c r="AE227" s="99"/>
      <c r="AF227" s="99"/>
      <c r="AG227" s="99"/>
      <c r="AH227" s="99"/>
      <c r="AI227" s="99"/>
      <c r="AJ227" s="99"/>
      <c r="AK227" s="99"/>
      <c r="AL227" s="99"/>
      <c r="AM227" s="99"/>
    </row>
    <row r="228" ht="12.75" customHeight="1">
      <c r="A228" s="104"/>
      <c r="B228" s="104"/>
      <c r="C228" s="104"/>
      <c r="D228" s="110" t="s">
        <v>24</v>
      </c>
      <c r="E228" s="110" t="s">
        <v>322</v>
      </c>
      <c r="G228" s="136">
        <v>1200.0</v>
      </c>
      <c r="H228" s="136" t="s">
        <v>87</v>
      </c>
      <c r="I228" s="137">
        <v>40000.0</v>
      </c>
      <c r="J228" s="46">
        <f t="shared" si="284"/>
        <v>48000000</v>
      </c>
      <c r="K228" s="46"/>
      <c r="L228" s="116">
        <f t="shared" si="285"/>
        <v>0</v>
      </c>
      <c r="M228" s="106"/>
      <c r="N228" s="116">
        <f t="shared" si="286"/>
        <v>0</v>
      </c>
      <c r="O228" s="46">
        <f t="shared" si="287"/>
        <v>48000000</v>
      </c>
      <c r="P228" s="46">
        <f t="shared" si="288"/>
        <v>48000000</v>
      </c>
      <c r="Q228" s="46">
        <v>4.8E7</v>
      </c>
      <c r="R228" s="101"/>
      <c r="S228" s="101"/>
      <c r="T228" s="99"/>
      <c r="U228" s="99"/>
      <c r="V228" s="99"/>
      <c r="W228" s="99"/>
      <c r="X228" s="99"/>
      <c r="Y228" s="99"/>
      <c r="Z228" s="99"/>
      <c r="AA228" s="99"/>
      <c r="AB228" s="99"/>
      <c r="AC228" s="99"/>
      <c r="AD228" s="99"/>
      <c r="AE228" s="99"/>
      <c r="AF228" s="99"/>
      <c r="AG228" s="99"/>
      <c r="AH228" s="99"/>
      <c r="AI228" s="99"/>
      <c r="AJ228" s="99"/>
      <c r="AK228" s="99"/>
      <c r="AL228" s="99"/>
      <c r="AM228" s="99"/>
    </row>
    <row r="229" ht="12.75" customHeight="1">
      <c r="A229" s="144" t="s">
        <v>92</v>
      </c>
      <c r="D229" s="144" t="s">
        <v>93</v>
      </c>
      <c r="G229" s="104"/>
      <c r="H229" s="128"/>
      <c r="I229" s="104"/>
      <c r="J229" s="129">
        <f t="shared" ref="J229:K229" si="289">J230</f>
        <v>43636000</v>
      </c>
      <c r="K229" s="43">
        <f t="shared" si="289"/>
        <v>0</v>
      </c>
      <c r="L229" s="116">
        <f t="shared" si="285"/>
        <v>0</v>
      </c>
      <c r="M229" s="106"/>
      <c r="N229" s="116">
        <f t="shared" si="286"/>
        <v>0</v>
      </c>
      <c r="O229" s="43">
        <f t="shared" ref="O229:P229" si="290">O230</f>
        <v>43636000</v>
      </c>
      <c r="P229" s="43">
        <f t="shared" si="290"/>
        <v>43636000</v>
      </c>
      <c r="Q229" s="43">
        <v>4.3636E7</v>
      </c>
      <c r="R229" s="101"/>
      <c r="S229" s="101"/>
      <c r="T229" s="99"/>
      <c r="U229" s="99"/>
      <c r="V229" s="99"/>
      <c r="W229" s="99"/>
      <c r="X229" s="99"/>
      <c r="Y229" s="99"/>
      <c r="Z229" s="99"/>
      <c r="AA229" s="99"/>
      <c r="AB229" s="99"/>
      <c r="AC229" s="99"/>
      <c r="AD229" s="99"/>
      <c r="AE229" s="99"/>
      <c r="AF229" s="99"/>
      <c r="AG229" s="99"/>
      <c r="AH229" s="99"/>
      <c r="AI229" s="99"/>
      <c r="AJ229" s="99"/>
      <c r="AK229" s="99"/>
      <c r="AL229" s="99"/>
      <c r="AM229" s="99"/>
    </row>
    <row r="230" ht="12.75" customHeight="1">
      <c r="A230" s="110" t="s">
        <v>68</v>
      </c>
      <c r="D230" s="145" t="s">
        <v>69</v>
      </c>
      <c r="G230" s="104"/>
      <c r="H230" s="133"/>
      <c r="I230" s="104"/>
      <c r="J230" s="134">
        <f t="shared" ref="J230:K230" si="291">SUM(J232:J233)</f>
        <v>43636000</v>
      </c>
      <c r="K230" s="46">
        <f t="shared" si="291"/>
        <v>0</v>
      </c>
      <c r="L230" s="116">
        <f t="shared" si="285"/>
        <v>0</v>
      </c>
      <c r="M230" s="106"/>
      <c r="N230" s="116">
        <f t="shared" si="286"/>
        <v>0</v>
      </c>
      <c r="O230" s="46">
        <f t="shared" ref="O230:P230" si="292">SUM(O232:O233)</f>
        <v>43636000</v>
      </c>
      <c r="P230" s="46">
        <f t="shared" si="292"/>
        <v>43636000</v>
      </c>
      <c r="Q230" s="46">
        <v>4.3636E7</v>
      </c>
      <c r="R230" s="101"/>
      <c r="S230" s="101"/>
      <c r="T230" s="99"/>
      <c r="U230" s="99"/>
      <c r="V230" s="99"/>
      <c r="W230" s="99"/>
      <c r="X230" s="99"/>
      <c r="Y230" s="99"/>
      <c r="Z230" s="99"/>
      <c r="AA230" s="99"/>
      <c r="AB230" s="99"/>
      <c r="AC230" s="99"/>
      <c r="AD230" s="99"/>
      <c r="AE230" s="99"/>
      <c r="AF230" s="99"/>
      <c r="AG230" s="99"/>
      <c r="AH230" s="99"/>
      <c r="AI230" s="99"/>
      <c r="AJ230" s="99"/>
      <c r="AK230" s="99"/>
      <c r="AL230" s="99"/>
      <c r="AM230" s="99"/>
    </row>
    <row r="231" ht="12.75" customHeight="1">
      <c r="A231" s="104"/>
      <c r="B231" s="104"/>
      <c r="C231" s="104"/>
      <c r="D231" s="110" t="s">
        <v>23</v>
      </c>
      <c r="G231" s="104"/>
      <c r="H231" s="104"/>
      <c r="I231" s="104"/>
      <c r="J231" s="111"/>
      <c r="K231" s="111"/>
      <c r="L231" s="116"/>
      <c r="M231" s="106"/>
      <c r="N231" s="116"/>
      <c r="O231" s="111"/>
      <c r="P231" s="111"/>
      <c r="Q231" s="111"/>
      <c r="R231" s="101"/>
      <c r="S231" s="101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  <c r="AF231" s="99"/>
      <c r="AG231" s="99"/>
      <c r="AH231" s="99"/>
      <c r="AI231" s="99"/>
      <c r="AJ231" s="99"/>
      <c r="AK231" s="99"/>
      <c r="AL231" s="99"/>
      <c r="AM231" s="99"/>
    </row>
    <row r="232" ht="12.75" customHeight="1">
      <c r="A232" s="104"/>
      <c r="B232" s="104"/>
      <c r="C232" s="104"/>
      <c r="D232" s="110" t="s">
        <v>24</v>
      </c>
      <c r="E232" s="110" t="s">
        <v>94</v>
      </c>
      <c r="G232" s="136">
        <v>12.0</v>
      </c>
      <c r="H232" s="136" t="s">
        <v>95</v>
      </c>
      <c r="I232" s="137">
        <v>2500000.0</v>
      </c>
      <c r="J232" s="46">
        <f t="shared" ref="J232:J233" si="293">G232*I232</f>
        <v>30000000</v>
      </c>
      <c r="K232" s="46"/>
      <c r="L232" s="116">
        <f t="shared" ref="L232:L235" si="294">(K232/J232)*100</f>
        <v>0</v>
      </c>
      <c r="M232" s="106"/>
      <c r="N232" s="116">
        <f t="shared" ref="N232:N235" si="295">(K232/J232)*100</f>
        <v>0</v>
      </c>
      <c r="O232" s="46">
        <f t="shared" ref="O232:O233" si="296">J232-K232</f>
        <v>30000000</v>
      </c>
      <c r="P232" s="46">
        <f t="shared" ref="P232:P233" si="297">J232-M232</f>
        <v>30000000</v>
      </c>
      <c r="Q232" s="46">
        <v>3.0E7</v>
      </c>
      <c r="R232" s="101"/>
      <c r="S232" s="101"/>
      <c r="T232" s="99"/>
      <c r="U232" s="99"/>
      <c r="V232" s="99"/>
      <c r="W232" s="99"/>
      <c r="X232" s="99"/>
      <c r="Y232" s="99"/>
      <c r="Z232" s="99"/>
      <c r="AA232" s="99"/>
      <c r="AB232" s="99"/>
      <c r="AC232" s="99"/>
      <c r="AD232" s="99"/>
      <c r="AE232" s="99"/>
      <c r="AF232" s="99"/>
      <c r="AG232" s="99"/>
      <c r="AH232" s="99"/>
      <c r="AI232" s="99"/>
      <c r="AJ232" s="99"/>
      <c r="AK232" s="99"/>
      <c r="AL232" s="99"/>
      <c r="AM232" s="99"/>
    </row>
    <row r="233" ht="12.75" customHeight="1">
      <c r="A233" s="104"/>
      <c r="B233" s="104"/>
      <c r="C233" s="104"/>
      <c r="D233" s="110" t="s">
        <v>24</v>
      </c>
      <c r="E233" s="110" t="s">
        <v>290</v>
      </c>
      <c r="G233" s="136">
        <v>1.0</v>
      </c>
      <c r="H233" s="136" t="s">
        <v>97</v>
      </c>
      <c r="I233" s="137">
        <v>1.3636E7</v>
      </c>
      <c r="J233" s="46">
        <f t="shared" si="293"/>
        <v>13636000</v>
      </c>
      <c r="K233" s="46"/>
      <c r="L233" s="116">
        <f t="shared" si="294"/>
        <v>0</v>
      </c>
      <c r="M233" s="106"/>
      <c r="N233" s="116">
        <f t="shared" si="295"/>
        <v>0</v>
      </c>
      <c r="O233" s="46">
        <f t="shared" si="296"/>
        <v>13636000</v>
      </c>
      <c r="P233" s="46">
        <f t="shared" si="297"/>
        <v>13636000</v>
      </c>
      <c r="Q233" s="46">
        <v>1.3636E7</v>
      </c>
      <c r="R233" s="101"/>
      <c r="S233" s="101"/>
      <c r="T233" s="99"/>
      <c r="U233" s="99"/>
      <c r="V233" s="99"/>
      <c r="W233" s="99"/>
      <c r="X233" s="99"/>
      <c r="Y233" s="99"/>
      <c r="Z233" s="99"/>
      <c r="AA233" s="99"/>
      <c r="AB233" s="99"/>
      <c r="AC233" s="99"/>
      <c r="AD233" s="99"/>
      <c r="AE233" s="99"/>
      <c r="AF233" s="99"/>
      <c r="AG233" s="99"/>
      <c r="AH233" s="99"/>
      <c r="AI233" s="99"/>
      <c r="AJ233" s="99"/>
      <c r="AK233" s="99"/>
      <c r="AL233" s="99"/>
      <c r="AM233" s="99"/>
    </row>
    <row r="234" ht="12.75" customHeight="1">
      <c r="A234" s="144" t="s">
        <v>98</v>
      </c>
      <c r="D234" s="144" t="s">
        <v>99</v>
      </c>
      <c r="G234" s="104"/>
      <c r="H234" s="128"/>
      <c r="I234" s="104"/>
      <c r="J234" s="129">
        <f t="shared" ref="J234:K234" si="298">J235+J244</f>
        <v>6760000</v>
      </c>
      <c r="K234" s="43">
        <f t="shared" si="298"/>
        <v>0</v>
      </c>
      <c r="L234" s="116">
        <f t="shared" si="294"/>
        <v>0</v>
      </c>
      <c r="M234" s="106"/>
      <c r="N234" s="116">
        <f t="shared" si="295"/>
        <v>0</v>
      </c>
      <c r="O234" s="43">
        <f t="shared" ref="O234:P234" si="299">O235+O244</f>
        <v>6760000</v>
      </c>
      <c r="P234" s="43">
        <f t="shared" si="299"/>
        <v>6760000</v>
      </c>
      <c r="Q234" s="43">
        <v>6760000.0</v>
      </c>
      <c r="R234" s="101"/>
      <c r="S234" s="101"/>
      <c r="T234" s="99"/>
      <c r="U234" s="99"/>
      <c r="V234" s="99"/>
      <c r="W234" s="99"/>
      <c r="X234" s="99"/>
      <c r="Y234" s="99"/>
      <c r="Z234" s="99"/>
      <c r="AA234" s="99"/>
      <c r="AB234" s="99"/>
      <c r="AC234" s="99"/>
      <c r="AD234" s="99"/>
      <c r="AE234" s="99"/>
      <c r="AF234" s="99"/>
      <c r="AG234" s="99"/>
      <c r="AH234" s="99"/>
      <c r="AI234" s="99"/>
      <c r="AJ234" s="99"/>
      <c r="AK234" s="99"/>
      <c r="AL234" s="99"/>
      <c r="AM234" s="99"/>
    </row>
    <row r="235" ht="12.75" customHeight="1">
      <c r="A235" s="110" t="s">
        <v>100</v>
      </c>
      <c r="D235" s="145" t="s">
        <v>101</v>
      </c>
      <c r="G235" s="104"/>
      <c r="H235" s="133"/>
      <c r="I235" s="104"/>
      <c r="J235" s="134">
        <f t="shared" ref="J235:K235" si="300">SUM(J237:J243)</f>
        <v>5600000</v>
      </c>
      <c r="K235" s="46">
        <f t="shared" si="300"/>
        <v>0</v>
      </c>
      <c r="L235" s="116">
        <f t="shared" si="294"/>
        <v>0</v>
      </c>
      <c r="M235" s="106"/>
      <c r="N235" s="116">
        <f t="shared" si="295"/>
        <v>0</v>
      </c>
      <c r="O235" s="46">
        <f t="shared" ref="O235:P235" si="301">SUM(O237:O243)</f>
        <v>5600000</v>
      </c>
      <c r="P235" s="46">
        <f t="shared" si="301"/>
        <v>5600000</v>
      </c>
      <c r="Q235" s="46">
        <v>5600000.0</v>
      </c>
      <c r="R235" s="101"/>
      <c r="S235" s="101"/>
      <c r="T235" s="99"/>
      <c r="U235" s="99"/>
      <c r="V235" s="99"/>
      <c r="W235" s="99"/>
      <c r="X235" s="99"/>
      <c r="Y235" s="99"/>
      <c r="Z235" s="99"/>
      <c r="AA235" s="99"/>
      <c r="AB235" s="99"/>
      <c r="AC235" s="99"/>
      <c r="AD235" s="99"/>
      <c r="AE235" s="99"/>
      <c r="AF235" s="99"/>
      <c r="AG235" s="99"/>
      <c r="AH235" s="99"/>
      <c r="AI235" s="99"/>
      <c r="AJ235" s="99"/>
      <c r="AK235" s="99"/>
      <c r="AL235" s="99"/>
      <c r="AM235" s="99"/>
    </row>
    <row r="236" ht="12.75" customHeight="1">
      <c r="A236" s="104"/>
      <c r="B236" s="104"/>
      <c r="C236" s="104"/>
      <c r="D236" s="110" t="s">
        <v>23</v>
      </c>
      <c r="G236" s="104"/>
      <c r="H236" s="104"/>
      <c r="I236" s="104"/>
      <c r="J236" s="111"/>
      <c r="K236" s="111"/>
      <c r="L236" s="116"/>
      <c r="M236" s="106"/>
      <c r="N236" s="116"/>
      <c r="O236" s="111"/>
      <c r="P236" s="111"/>
      <c r="Q236" s="111"/>
      <c r="R236" s="101"/>
      <c r="S236" s="101"/>
      <c r="T236" s="99"/>
      <c r="U236" s="99"/>
      <c r="V236" s="99"/>
      <c r="W236" s="99"/>
      <c r="X236" s="99"/>
      <c r="Y236" s="99"/>
      <c r="Z236" s="99"/>
      <c r="AA236" s="99"/>
      <c r="AB236" s="99"/>
      <c r="AC236" s="99"/>
      <c r="AD236" s="99"/>
      <c r="AE236" s="99"/>
      <c r="AF236" s="99"/>
      <c r="AG236" s="99"/>
      <c r="AH236" s="99"/>
      <c r="AI236" s="99"/>
      <c r="AJ236" s="99"/>
      <c r="AK236" s="99"/>
      <c r="AL236" s="99"/>
      <c r="AM236" s="99"/>
    </row>
    <row r="237" ht="12.75" customHeight="1">
      <c r="A237" s="104"/>
      <c r="B237" s="104"/>
      <c r="C237" s="104"/>
      <c r="D237" s="110" t="s">
        <v>24</v>
      </c>
      <c r="E237" s="110" t="s">
        <v>102</v>
      </c>
      <c r="G237" s="136">
        <v>2.0</v>
      </c>
      <c r="H237" s="136" t="s">
        <v>95</v>
      </c>
      <c r="I237" s="137">
        <v>350000.0</v>
      </c>
      <c r="J237" s="46">
        <f t="shared" ref="J237:J243" si="302">G237*I237</f>
        <v>700000</v>
      </c>
      <c r="K237" s="46"/>
      <c r="L237" s="116">
        <f t="shared" ref="L237:L244" si="303">(K237/J237)*100</f>
        <v>0</v>
      </c>
      <c r="M237" s="106"/>
      <c r="N237" s="116">
        <f t="shared" ref="N237:N244" si="304">(K237/J237)*100</f>
        <v>0</v>
      </c>
      <c r="O237" s="46">
        <f t="shared" ref="O237:O243" si="305">J237-K237</f>
        <v>700000</v>
      </c>
      <c r="P237" s="46">
        <f t="shared" ref="P237:P243" si="306">J237-M237</f>
        <v>700000</v>
      </c>
      <c r="Q237" s="46">
        <v>700000.0</v>
      </c>
      <c r="R237" s="101"/>
      <c r="S237" s="101"/>
      <c r="T237" s="99"/>
      <c r="U237" s="99"/>
      <c r="V237" s="99"/>
      <c r="W237" s="99"/>
      <c r="X237" s="99"/>
      <c r="Y237" s="99"/>
      <c r="Z237" s="99"/>
      <c r="AA237" s="99"/>
      <c r="AB237" s="99"/>
      <c r="AC237" s="99"/>
      <c r="AD237" s="99"/>
      <c r="AE237" s="99"/>
      <c r="AF237" s="99"/>
      <c r="AG237" s="99"/>
      <c r="AH237" s="99"/>
      <c r="AI237" s="99"/>
      <c r="AJ237" s="99"/>
      <c r="AK237" s="99"/>
      <c r="AL237" s="99"/>
      <c r="AM237" s="99"/>
    </row>
    <row r="238" ht="12.75" customHeight="1">
      <c r="A238" s="104"/>
      <c r="B238" s="104"/>
      <c r="C238" s="104"/>
      <c r="D238" s="110" t="s">
        <v>24</v>
      </c>
      <c r="E238" s="110" t="s">
        <v>103</v>
      </c>
      <c r="G238" s="136">
        <v>2.0</v>
      </c>
      <c r="H238" s="136" t="s">
        <v>95</v>
      </c>
      <c r="I238" s="137">
        <v>225000.0</v>
      </c>
      <c r="J238" s="46">
        <f t="shared" si="302"/>
        <v>450000</v>
      </c>
      <c r="K238" s="46"/>
      <c r="L238" s="116">
        <f t="shared" si="303"/>
        <v>0</v>
      </c>
      <c r="M238" s="106"/>
      <c r="N238" s="116">
        <f t="shared" si="304"/>
        <v>0</v>
      </c>
      <c r="O238" s="46">
        <f t="shared" si="305"/>
        <v>450000</v>
      </c>
      <c r="P238" s="46">
        <f t="shared" si="306"/>
        <v>450000</v>
      </c>
      <c r="Q238" s="46">
        <v>450000.0</v>
      </c>
      <c r="R238" s="101"/>
      <c r="S238" s="101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  <c r="AJ238" s="99"/>
      <c r="AK238" s="99"/>
      <c r="AL238" s="99"/>
      <c r="AM238" s="99"/>
    </row>
    <row r="239" ht="15.75" customHeight="1">
      <c r="A239" s="104"/>
      <c r="B239" s="104"/>
      <c r="C239" s="104"/>
      <c r="D239" s="110" t="s">
        <v>24</v>
      </c>
      <c r="E239" s="110" t="s">
        <v>104</v>
      </c>
      <c r="G239" s="136">
        <v>2.0</v>
      </c>
      <c r="H239" s="136" t="s">
        <v>95</v>
      </c>
      <c r="I239" s="137">
        <v>450000.0</v>
      </c>
      <c r="J239" s="46">
        <f t="shared" si="302"/>
        <v>900000</v>
      </c>
      <c r="K239" s="46"/>
      <c r="L239" s="116">
        <f t="shared" si="303"/>
        <v>0</v>
      </c>
      <c r="M239" s="106"/>
      <c r="N239" s="116">
        <f t="shared" si="304"/>
        <v>0</v>
      </c>
      <c r="O239" s="46">
        <f t="shared" si="305"/>
        <v>900000</v>
      </c>
      <c r="P239" s="46">
        <f t="shared" si="306"/>
        <v>900000</v>
      </c>
      <c r="Q239" s="46">
        <v>900000.0</v>
      </c>
      <c r="R239" s="101"/>
      <c r="S239" s="101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  <c r="AJ239" s="99"/>
      <c r="AK239" s="99"/>
      <c r="AL239" s="99"/>
      <c r="AM239" s="99"/>
    </row>
    <row r="240" ht="12.75" customHeight="1">
      <c r="A240" s="104"/>
      <c r="B240" s="104"/>
      <c r="C240" s="104"/>
      <c r="D240" s="110" t="s">
        <v>24</v>
      </c>
      <c r="E240" s="110" t="s">
        <v>105</v>
      </c>
      <c r="G240" s="136">
        <v>2.0</v>
      </c>
      <c r="H240" s="136" t="s">
        <v>95</v>
      </c>
      <c r="I240" s="137">
        <v>250000.0</v>
      </c>
      <c r="J240" s="46">
        <f t="shared" si="302"/>
        <v>500000</v>
      </c>
      <c r="K240" s="46"/>
      <c r="L240" s="116">
        <f t="shared" si="303"/>
        <v>0</v>
      </c>
      <c r="M240" s="106"/>
      <c r="N240" s="116">
        <f t="shared" si="304"/>
        <v>0</v>
      </c>
      <c r="O240" s="46">
        <f t="shared" si="305"/>
        <v>500000</v>
      </c>
      <c r="P240" s="46">
        <f t="shared" si="306"/>
        <v>500000</v>
      </c>
      <c r="Q240" s="46">
        <v>500000.0</v>
      </c>
      <c r="R240" s="101"/>
      <c r="S240" s="101"/>
      <c r="T240" s="99"/>
      <c r="U240" s="99"/>
      <c r="V240" s="99"/>
      <c r="W240" s="99"/>
      <c r="X240" s="99"/>
      <c r="Y240" s="99"/>
      <c r="Z240" s="99"/>
      <c r="AA240" s="99"/>
      <c r="AB240" s="99"/>
      <c r="AC240" s="99"/>
      <c r="AD240" s="99"/>
      <c r="AE240" s="99"/>
      <c r="AF240" s="99"/>
      <c r="AG240" s="99"/>
      <c r="AH240" s="99"/>
      <c r="AI240" s="99"/>
      <c r="AJ240" s="99"/>
      <c r="AK240" s="99"/>
      <c r="AL240" s="99"/>
      <c r="AM240" s="99"/>
    </row>
    <row r="241" ht="12.75" customHeight="1">
      <c r="A241" s="104"/>
      <c r="B241" s="104"/>
      <c r="C241" s="104"/>
      <c r="D241" s="110" t="s">
        <v>24</v>
      </c>
      <c r="E241" s="110" t="s">
        <v>106</v>
      </c>
      <c r="G241" s="136">
        <v>2.0</v>
      </c>
      <c r="H241" s="136" t="s">
        <v>95</v>
      </c>
      <c r="I241" s="137">
        <v>100000.0</v>
      </c>
      <c r="J241" s="46">
        <f t="shared" si="302"/>
        <v>200000</v>
      </c>
      <c r="K241" s="46"/>
      <c r="L241" s="116">
        <f t="shared" si="303"/>
        <v>0</v>
      </c>
      <c r="M241" s="106"/>
      <c r="N241" s="116">
        <f t="shared" si="304"/>
        <v>0</v>
      </c>
      <c r="O241" s="46">
        <f t="shared" si="305"/>
        <v>200000</v>
      </c>
      <c r="P241" s="46">
        <f t="shared" si="306"/>
        <v>200000</v>
      </c>
      <c r="Q241" s="46">
        <v>200000.0</v>
      </c>
      <c r="R241" s="101"/>
      <c r="S241" s="101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  <c r="AI241" s="99"/>
      <c r="AJ241" s="99"/>
      <c r="AK241" s="99"/>
      <c r="AL241" s="99"/>
      <c r="AM241" s="99"/>
    </row>
    <row r="242" ht="12.75" customHeight="1">
      <c r="A242" s="104"/>
      <c r="B242" s="104"/>
      <c r="C242" s="104"/>
      <c r="D242" s="110" t="s">
        <v>24</v>
      </c>
      <c r="E242" s="110" t="s">
        <v>107</v>
      </c>
      <c r="G242" s="136">
        <v>2.0</v>
      </c>
      <c r="H242" s="136" t="s">
        <v>95</v>
      </c>
      <c r="I242" s="137">
        <v>725000.0</v>
      </c>
      <c r="J242" s="46">
        <f t="shared" si="302"/>
        <v>1450000</v>
      </c>
      <c r="K242" s="46"/>
      <c r="L242" s="116">
        <f t="shared" si="303"/>
        <v>0</v>
      </c>
      <c r="M242" s="106"/>
      <c r="N242" s="116">
        <f t="shared" si="304"/>
        <v>0</v>
      </c>
      <c r="O242" s="46">
        <f t="shared" si="305"/>
        <v>1450000</v>
      </c>
      <c r="P242" s="46">
        <f t="shared" si="306"/>
        <v>1450000</v>
      </c>
      <c r="Q242" s="46">
        <v>1450000.0</v>
      </c>
      <c r="R242" s="101"/>
      <c r="S242" s="101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  <c r="AH242" s="99"/>
      <c r="AI242" s="99"/>
      <c r="AJ242" s="99"/>
      <c r="AK242" s="99"/>
      <c r="AL242" s="99"/>
      <c r="AM242" s="99"/>
    </row>
    <row r="243" ht="15.75" customHeight="1">
      <c r="A243" s="104"/>
      <c r="B243" s="104"/>
      <c r="C243" s="104"/>
      <c r="D243" s="110" t="s">
        <v>24</v>
      </c>
      <c r="E243" s="110" t="s">
        <v>108</v>
      </c>
      <c r="G243" s="136">
        <v>2.0</v>
      </c>
      <c r="H243" s="136" t="s">
        <v>95</v>
      </c>
      <c r="I243" s="137">
        <v>700000.0</v>
      </c>
      <c r="J243" s="46">
        <f t="shared" si="302"/>
        <v>1400000</v>
      </c>
      <c r="K243" s="46"/>
      <c r="L243" s="116">
        <f t="shared" si="303"/>
        <v>0</v>
      </c>
      <c r="M243" s="106"/>
      <c r="N243" s="116">
        <f t="shared" si="304"/>
        <v>0</v>
      </c>
      <c r="O243" s="46">
        <f t="shared" si="305"/>
        <v>1400000</v>
      </c>
      <c r="P243" s="46">
        <f t="shared" si="306"/>
        <v>1400000</v>
      </c>
      <c r="Q243" s="46">
        <v>1400000.0</v>
      </c>
      <c r="R243" s="101"/>
      <c r="S243" s="101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  <c r="AH243" s="99"/>
      <c r="AI243" s="99"/>
      <c r="AJ243" s="99"/>
      <c r="AK243" s="99"/>
      <c r="AL243" s="99"/>
      <c r="AM243" s="99"/>
    </row>
    <row r="244" ht="12.75" customHeight="1">
      <c r="A244" s="110" t="s">
        <v>68</v>
      </c>
      <c r="D244" s="145" t="s">
        <v>69</v>
      </c>
      <c r="G244" s="104"/>
      <c r="H244" s="133"/>
      <c r="I244" s="104"/>
      <c r="J244" s="134">
        <f t="shared" ref="J244:K244" si="307">SUM(J246:J249)</f>
        <v>1160000</v>
      </c>
      <c r="K244" s="46">
        <f t="shared" si="307"/>
        <v>0</v>
      </c>
      <c r="L244" s="116">
        <f t="shared" si="303"/>
        <v>0</v>
      </c>
      <c r="M244" s="106"/>
      <c r="N244" s="116">
        <f t="shared" si="304"/>
        <v>0</v>
      </c>
      <c r="O244" s="46">
        <f t="shared" ref="O244:P244" si="308">SUM(O246:O249)</f>
        <v>1160000</v>
      </c>
      <c r="P244" s="46">
        <f t="shared" si="308"/>
        <v>1160000</v>
      </c>
      <c r="Q244" s="46">
        <v>1160000.0</v>
      </c>
      <c r="R244" s="101"/>
      <c r="S244" s="101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  <c r="AH244" s="99"/>
      <c r="AI244" s="99"/>
      <c r="AJ244" s="99"/>
      <c r="AK244" s="99"/>
      <c r="AL244" s="99"/>
      <c r="AM244" s="99"/>
    </row>
    <row r="245" ht="12.75" customHeight="1">
      <c r="A245" s="104"/>
      <c r="B245" s="104"/>
      <c r="C245" s="104"/>
      <c r="D245" s="110" t="s">
        <v>23</v>
      </c>
      <c r="G245" s="104"/>
      <c r="H245" s="104"/>
      <c r="I245" s="104"/>
      <c r="J245" s="111"/>
      <c r="K245" s="111"/>
      <c r="L245" s="116"/>
      <c r="M245" s="106"/>
      <c r="N245" s="116"/>
      <c r="O245" s="111"/>
      <c r="P245" s="111"/>
      <c r="Q245" s="111"/>
      <c r="R245" s="101"/>
      <c r="S245" s="101"/>
      <c r="T245" s="99"/>
      <c r="U245" s="99"/>
      <c r="V245" s="99"/>
      <c r="W245" s="99"/>
      <c r="X245" s="99"/>
      <c r="Y245" s="99"/>
      <c r="Z245" s="99"/>
      <c r="AA245" s="99"/>
      <c r="AB245" s="99"/>
      <c r="AC245" s="99"/>
      <c r="AD245" s="99"/>
      <c r="AE245" s="99"/>
      <c r="AF245" s="99"/>
      <c r="AG245" s="99"/>
      <c r="AH245" s="99"/>
      <c r="AI245" s="99"/>
      <c r="AJ245" s="99"/>
      <c r="AK245" s="99"/>
      <c r="AL245" s="99"/>
      <c r="AM245" s="99"/>
    </row>
    <row r="246" ht="12.75" customHeight="1">
      <c r="A246" s="104"/>
      <c r="B246" s="104"/>
      <c r="C246" s="104"/>
      <c r="D246" s="110" t="s">
        <v>24</v>
      </c>
      <c r="E246" s="110" t="s">
        <v>109</v>
      </c>
      <c r="G246" s="136">
        <v>10.0</v>
      </c>
      <c r="H246" s="136" t="s">
        <v>95</v>
      </c>
      <c r="I246" s="137">
        <v>50000.0</v>
      </c>
      <c r="J246" s="46">
        <f t="shared" ref="J246:J249" si="309">G246*I246</f>
        <v>500000</v>
      </c>
      <c r="K246" s="46"/>
      <c r="L246" s="116">
        <f t="shared" ref="L246:L251" si="310">(K246/J246)*100</f>
        <v>0</v>
      </c>
      <c r="M246" s="106"/>
      <c r="N246" s="116">
        <f t="shared" ref="N246:N251" si="311">(K246/J246)*100</f>
        <v>0</v>
      </c>
      <c r="O246" s="46">
        <f t="shared" ref="O246:O249" si="312">J246-K246</f>
        <v>500000</v>
      </c>
      <c r="P246" s="46">
        <f t="shared" ref="P246:P249" si="313">J246-M246</f>
        <v>500000</v>
      </c>
      <c r="Q246" s="46">
        <v>500000.0</v>
      </c>
      <c r="R246" s="101"/>
      <c r="S246" s="101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  <c r="AH246" s="99"/>
      <c r="AI246" s="99"/>
      <c r="AJ246" s="99"/>
      <c r="AK246" s="99"/>
      <c r="AL246" s="99"/>
      <c r="AM246" s="99"/>
    </row>
    <row r="247" ht="12.75" customHeight="1">
      <c r="A247" s="104"/>
      <c r="B247" s="104"/>
      <c r="C247" s="104"/>
      <c r="D247" s="110" t="s">
        <v>24</v>
      </c>
      <c r="E247" s="110" t="s">
        <v>110</v>
      </c>
      <c r="G247" s="136">
        <v>2.0</v>
      </c>
      <c r="H247" s="136" t="s">
        <v>95</v>
      </c>
      <c r="I247" s="137">
        <v>100000.0</v>
      </c>
      <c r="J247" s="46">
        <f t="shared" si="309"/>
        <v>200000</v>
      </c>
      <c r="K247" s="46"/>
      <c r="L247" s="116">
        <f t="shared" si="310"/>
        <v>0</v>
      </c>
      <c r="M247" s="106"/>
      <c r="N247" s="116">
        <f t="shared" si="311"/>
        <v>0</v>
      </c>
      <c r="O247" s="46">
        <f t="shared" si="312"/>
        <v>200000</v>
      </c>
      <c r="P247" s="46">
        <f t="shared" si="313"/>
        <v>200000</v>
      </c>
      <c r="Q247" s="46">
        <v>200000.0</v>
      </c>
      <c r="R247" s="101"/>
      <c r="S247" s="101"/>
      <c r="T247" s="99"/>
      <c r="U247" s="99"/>
      <c r="V247" s="99"/>
      <c r="W247" s="99"/>
      <c r="X247" s="99"/>
      <c r="Y247" s="99"/>
      <c r="Z247" s="99"/>
      <c r="AA247" s="99"/>
      <c r="AB247" s="99"/>
      <c r="AC247" s="99"/>
      <c r="AD247" s="99"/>
      <c r="AE247" s="99"/>
      <c r="AF247" s="99"/>
      <c r="AG247" s="99"/>
      <c r="AH247" s="99"/>
      <c r="AI247" s="99"/>
      <c r="AJ247" s="99"/>
      <c r="AK247" s="99"/>
      <c r="AL247" s="99"/>
      <c r="AM247" s="99"/>
    </row>
    <row r="248" ht="12.75" customHeight="1">
      <c r="A248" s="104"/>
      <c r="B248" s="104"/>
      <c r="C248" s="104"/>
      <c r="D248" s="110" t="s">
        <v>24</v>
      </c>
      <c r="E248" s="110" t="s">
        <v>111</v>
      </c>
      <c r="G248" s="136">
        <v>2.0</v>
      </c>
      <c r="H248" s="136" t="s">
        <v>95</v>
      </c>
      <c r="I248" s="137">
        <v>200000.0</v>
      </c>
      <c r="J248" s="46">
        <f t="shared" si="309"/>
        <v>400000</v>
      </c>
      <c r="K248" s="46"/>
      <c r="L248" s="116">
        <f t="shared" si="310"/>
        <v>0</v>
      </c>
      <c r="M248" s="106"/>
      <c r="N248" s="116">
        <f t="shared" si="311"/>
        <v>0</v>
      </c>
      <c r="O248" s="46">
        <f t="shared" si="312"/>
        <v>400000</v>
      </c>
      <c r="P248" s="46">
        <f t="shared" si="313"/>
        <v>400000</v>
      </c>
      <c r="Q248" s="46">
        <v>400000.0</v>
      </c>
      <c r="R248" s="101"/>
      <c r="S248" s="101"/>
      <c r="T248" s="99"/>
      <c r="U248" s="99"/>
      <c r="V248" s="99"/>
      <c r="W248" s="99"/>
      <c r="X248" s="99"/>
      <c r="Y248" s="99"/>
      <c r="Z248" s="99"/>
      <c r="AA248" s="99"/>
      <c r="AB248" s="99"/>
      <c r="AC248" s="99"/>
      <c r="AD248" s="99"/>
      <c r="AE248" s="99"/>
      <c r="AF248" s="99"/>
      <c r="AG248" s="99"/>
      <c r="AH248" s="99"/>
      <c r="AI248" s="99"/>
      <c r="AJ248" s="99"/>
      <c r="AK248" s="99"/>
      <c r="AL248" s="99"/>
      <c r="AM248" s="99"/>
    </row>
    <row r="249" ht="12.75" customHeight="1">
      <c r="A249" s="104"/>
      <c r="B249" s="104"/>
      <c r="C249" s="104"/>
      <c r="D249" s="110" t="s">
        <v>24</v>
      </c>
      <c r="E249" s="110" t="s">
        <v>112</v>
      </c>
      <c r="G249" s="136">
        <v>2.0</v>
      </c>
      <c r="H249" s="136" t="s">
        <v>95</v>
      </c>
      <c r="I249" s="137">
        <v>30000.0</v>
      </c>
      <c r="J249" s="46">
        <f t="shared" si="309"/>
        <v>60000</v>
      </c>
      <c r="K249" s="46"/>
      <c r="L249" s="116">
        <f t="shared" si="310"/>
        <v>0</v>
      </c>
      <c r="M249" s="106"/>
      <c r="N249" s="116">
        <f t="shared" si="311"/>
        <v>0</v>
      </c>
      <c r="O249" s="46">
        <f t="shared" si="312"/>
        <v>60000</v>
      </c>
      <c r="P249" s="46">
        <f t="shared" si="313"/>
        <v>60000</v>
      </c>
      <c r="Q249" s="46">
        <v>60000.0</v>
      </c>
      <c r="R249" s="101"/>
      <c r="S249" s="101"/>
      <c r="T249" s="99"/>
      <c r="U249" s="99"/>
      <c r="V249" s="99"/>
      <c r="W249" s="99"/>
      <c r="X249" s="99"/>
      <c r="Y249" s="99"/>
      <c r="Z249" s="99"/>
      <c r="AA249" s="99"/>
      <c r="AB249" s="99"/>
      <c r="AC249" s="99"/>
      <c r="AD249" s="99"/>
      <c r="AE249" s="99"/>
      <c r="AF249" s="99"/>
      <c r="AG249" s="99"/>
      <c r="AH249" s="99"/>
      <c r="AI249" s="99"/>
      <c r="AJ249" s="99"/>
      <c r="AK249" s="99"/>
      <c r="AL249" s="99"/>
      <c r="AM249" s="99"/>
    </row>
    <row r="250" ht="12.75" customHeight="1">
      <c r="A250" s="144" t="s">
        <v>113</v>
      </c>
      <c r="D250" s="144" t="s">
        <v>114</v>
      </c>
      <c r="G250" s="104"/>
      <c r="H250" s="128"/>
      <c r="I250" s="104"/>
      <c r="J250" s="129">
        <f t="shared" ref="J250:K250" si="314">J251</f>
        <v>821500000</v>
      </c>
      <c r="K250" s="43">
        <f t="shared" si="314"/>
        <v>0</v>
      </c>
      <c r="L250" s="116">
        <f t="shared" si="310"/>
        <v>0</v>
      </c>
      <c r="M250" s="106"/>
      <c r="N250" s="116">
        <f t="shared" si="311"/>
        <v>0</v>
      </c>
      <c r="O250" s="43">
        <f t="shared" ref="O250:P250" si="315">O251</f>
        <v>821500000</v>
      </c>
      <c r="P250" s="43">
        <f t="shared" si="315"/>
        <v>821500000</v>
      </c>
      <c r="Q250" s="43">
        <v>8.215E8</v>
      </c>
      <c r="R250" s="101"/>
      <c r="S250" s="101"/>
      <c r="T250" s="99"/>
      <c r="U250" s="99"/>
      <c r="V250" s="99"/>
      <c r="W250" s="99"/>
      <c r="X250" s="99"/>
      <c r="Y250" s="99"/>
      <c r="Z250" s="99"/>
      <c r="AA250" s="99"/>
      <c r="AB250" s="99"/>
      <c r="AC250" s="99"/>
      <c r="AD250" s="99"/>
      <c r="AE250" s="99"/>
      <c r="AF250" s="99"/>
      <c r="AG250" s="99"/>
      <c r="AH250" s="99"/>
      <c r="AI250" s="99"/>
      <c r="AJ250" s="99"/>
      <c r="AK250" s="99"/>
      <c r="AL250" s="99"/>
      <c r="AM250" s="99"/>
    </row>
    <row r="251" ht="12.75" customHeight="1">
      <c r="A251" s="110" t="s">
        <v>68</v>
      </c>
      <c r="D251" s="145" t="s">
        <v>69</v>
      </c>
      <c r="G251" s="104"/>
      <c r="H251" s="133"/>
      <c r="I251" s="104"/>
      <c r="J251" s="134">
        <f t="shared" ref="J251:K251" si="316">SUM(J253:J263)</f>
        <v>821500000</v>
      </c>
      <c r="K251" s="46">
        <f t="shared" si="316"/>
        <v>0</v>
      </c>
      <c r="L251" s="116">
        <f t="shared" si="310"/>
        <v>0</v>
      </c>
      <c r="M251" s="106"/>
      <c r="N251" s="116">
        <f t="shared" si="311"/>
        <v>0</v>
      </c>
      <c r="O251" s="46">
        <f t="shared" ref="O251:P251" si="317">SUM(O253:O263)</f>
        <v>821500000</v>
      </c>
      <c r="P251" s="46">
        <f t="shared" si="317"/>
        <v>821500000</v>
      </c>
      <c r="Q251" s="46">
        <v>8.215E8</v>
      </c>
      <c r="R251" s="101"/>
      <c r="S251" s="101"/>
      <c r="T251" s="99"/>
      <c r="U251" s="99"/>
      <c r="V251" s="99"/>
      <c r="W251" s="99"/>
      <c r="X251" s="99"/>
      <c r="Y251" s="99"/>
      <c r="Z251" s="99"/>
      <c r="AA251" s="99"/>
      <c r="AB251" s="99"/>
      <c r="AC251" s="99"/>
      <c r="AD251" s="99"/>
      <c r="AE251" s="99"/>
      <c r="AF251" s="99"/>
      <c r="AG251" s="99"/>
      <c r="AH251" s="99"/>
      <c r="AI251" s="99"/>
      <c r="AJ251" s="99"/>
      <c r="AK251" s="99"/>
      <c r="AL251" s="99"/>
      <c r="AM251" s="99"/>
    </row>
    <row r="252" ht="12.75" customHeight="1">
      <c r="A252" s="104"/>
      <c r="B252" s="104"/>
      <c r="C252" s="104"/>
      <c r="D252" s="110" t="s">
        <v>23</v>
      </c>
      <c r="G252" s="104"/>
      <c r="H252" s="104"/>
      <c r="I252" s="104"/>
      <c r="J252" s="111"/>
      <c r="K252" s="111"/>
      <c r="L252" s="116"/>
      <c r="M252" s="106"/>
      <c r="N252" s="116"/>
      <c r="O252" s="111"/>
      <c r="P252" s="111"/>
      <c r="Q252" s="111"/>
      <c r="R252" s="101"/>
      <c r="S252" s="101"/>
      <c r="T252" s="99"/>
      <c r="U252" s="99"/>
      <c r="V252" s="99"/>
      <c r="W252" s="99"/>
      <c r="X252" s="99"/>
      <c r="Y252" s="99"/>
      <c r="Z252" s="99"/>
      <c r="AA252" s="99"/>
      <c r="AB252" s="99"/>
      <c r="AC252" s="99"/>
      <c r="AD252" s="99"/>
      <c r="AE252" s="99"/>
      <c r="AF252" s="99"/>
      <c r="AG252" s="99"/>
      <c r="AH252" s="99"/>
      <c r="AI252" s="99"/>
      <c r="AJ252" s="99"/>
      <c r="AK252" s="99"/>
      <c r="AL252" s="99"/>
      <c r="AM252" s="99"/>
    </row>
    <row r="253" ht="12.75" customHeight="1">
      <c r="A253" s="104"/>
      <c r="B253" s="104"/>
      <c r="C253" s="104"/>
      <c r="D253" s="110" t="s">
        <v>24</v>
      </c>
      <c r="E253" s="110" t="s">
        <v>323</v>
      </c>
      <c r="G253" s="136">
        <v>200.0</v>
      </c>
      <c r="H253" s="136" t="s">
        <v>95</v>
      </c>
      <c r="I253" s="137">
        <v>110000.0</v>
      </c>
      <c r="J253" s="46">
        <f t="shared" ref="J253:J263" si="318">G253*I253</f>
        <v>22000000</v>
      </c>
      <c r="K253" s="46"/>
      <c r="L253" s="116">
        <f t="shared" ref="L253:L265" si="319">(K253/J253)*100</f>
        <v>0</v>
      </c>
      <c r="M253" s="106"/>
      <c r="N253" s="116">
        <f t="shared" ref="N253:N265" si="320">(K253/J253)*100</f>
        <v>0</v>
      </c>
      <c r="O253" s="46">
        <f t="shared" ref="O253:O263" si="321">J253-K253</f>
        <v>22000000</v>
      </c>
      <c r="P253" s="46">
        <f t="shared" ref="P253:P263" si="322">J253-M253</f>
        <v>22000000</v>
      </c>
      <c r="Q253" s="46">
        <v>2.2E7</v>
      </c>
      <c r="R253" s="101"/>
      <c r="S253" s="101"/>
      <c r="T253" s="99"/>
      <c r="U253" s="99"/>
      <c r="V253" s="99"/>
      <c r="W253" s="99"/>
      <c r="X253" s="99"/>
      <c r="Y253" s="99"/>
      <c r="Z253" s="99"/>
      <c r="AA253" s="99"/>
      <c r="AB253" s="99"/>
      <c r="AC253" s="99"/>
      <c r="AD253" s="99"/>
      <c r="AE253" s="99"/>
      <c r="AF253" s="99"/>
      <c r="AG253" s="99"/>
      <c r="AH253" s="99"/>
      <c r="AI253" s="99"/>
      <c r="AJ253" s="99"/>
      <c r="AK253" s="99"/>
      <c r="AL253" s="99"/>
      <c r="AM253" s="99"/>
    </row>
    <row r="254" ht="12.75" customHeight="1">
      <c r="A254" s="104"/>
      <c r="B254" s="104"/>
      <c r="C254" s="104"/>
      <c r="D254" s="110" t="s">
        <v>24</v>
      </c>
      <c r="E254" s="110" t="s">
        <v>324</v>
      </c>
      <c r="G254" s="136">
        <v>200.0</v>
      </c>
      <c r="H254" s="136" t="s">
        <v>95</v>
      </c>
      <c r="I254" s="137">
        <v>120000.0</v>
      </c>
      <c r="J254" s="46">
        <f t="shared" si="318"/>
        <v>24000000</v>
      </c>
      <c r="K254" s="46"/>
      <c r="L254" s="116">
        <f t="shared" si="319"/>
        <v>0</v>
      </c>
      <c r="M254" s="106"/>
      <c r="N254" s="116">
        <f t="shared" si="320"/>
        <v>0</v>
      </c>
      <c r="O254" s="46">
        <f t="shared" si="321"/>
        <v>24000000</v>
      </c>
      <c r="P254" s="46">
        <f t="shared" si="322"/>
        <v>24000000</v>
      </c>
      <c r="Q254" s="46">
        <v>2.4E7</v>
      </c>
      <c r="R254" s="101"/>
      <c r="S254" s="101"/>
      <c r="T254" s="99"/>
      <c r="U254" s="99"/>
      <c r="V254" s="99"/>
      <c r="W254" s="99"/>
      <c r="X254" s="99"/>
      <c r="Y254" s="99"/>
      <c r="Z254" s="99"/>
      <c r="AA254" s="99"/>
      <c r="AB254" s="99"/>
      <c r="AC254" s="99"/>
      <c r="AD254" s="99"/>
      <c r="AE254" s="99"/>
      <c r="AF254" s="99"/>
      <c r="AG254" s="99"/>
      <c r="AH254" s="99"/>
      <c r="AI254" s="99"/>
      <c r="AJ254" s="99"/>
      <c r="AK254" s="99"/>
      <c r="AL254" s="99"/>
      <c r="AM254" s="99"/>
    </row>
    <row r="255" ht="12.75" customHeight="1">
      <c r="A255" s="104"/>
      <c r="B255" s="104"/>
      <c r="C255" s="104"/>
      <c r="D255" s="110" t="s">
        <v>24</v>
      </c>
      <c r="E255" s="110" t="s">
        <v>325</v>
      </c>
      <c r="G255" s="136">
        <v>200.0</v>
      </c>
      <c r="H255" s="136" t="s">
        <v>95</v>
      </c>
      <c r="I255" s="137">
        <v>150000.0</v>
      </c>
      <c r="J255" s="46">
        <f t="shared" si="318"/>
        <v>30000000</v>
      </c>
      <c r="K255" s="46"/>
      <c r="L255" s="116">
        <f t="shared" si="319"/>
        <v>0</v>
      </c>
      <c r="M255" s="106"/>
      <c r="N255" s="116">
        <f t="shared" si="320"/>
        <v>0</v>
      </c>
      <c r="O255" s="46">
        <f t="shared" si="321"/>
        <v>30000000</v>
      </c>
      <c r="P255" s="46">
        <f t="shared" si="322"/>
        <v>30000000</v>
      </c>
      <c r="Q255" s="46">
        <v>3.0E7</v>
      </c>
      <c r="R255" s="101"/>
      <c r="S255" s="101"/>
      <c r="T255" s="99"/>
      <c r="U255" s="99"/>
      <c r="V255" s="99"/>
      <c r="W255" s="99"/>
      <c r="X255" s="99"/>
      <c r="Y255" s="99"/>
      <c r="Z255" s="99"/>
      <c r="AA255" s="99"/>
      <c r="AB255" s="99"/>
      <c r="AC255" s="99"/>
      <c r="AD255" s="99"/>
      <c r="AE255" s="99"/>
      <c r="AF255" s="99"/>
      <c r="AG255" s="99"/>
      <c r="AH255" s="99"/>
      <c r="AI255" s="99"/>
      <c r="AJ255" s="99"/>
      <c r="AK255" s="99"/>
      <c r="AL255" s="99"/>
      <c r="AM255" s="99"/>
    </row>
    <row r="256" ht="12.75" customHeight="1">
      <c r="A256" s="104"/>
      <c r="B256" s="104"/>
      <c r="C256" s="104"/>
      <c r="D256" s="110" t="s">
        <v>24</v>
      </c>
      <c r="E256" s="110" t="s">
        <v>326</v>
      </c>
      <c r="G256" s="136">
        <v>200.0</v>
      </c>
      <c r="H256" s="136" t="s">
        <v>95</v>
      </c>
      <c r="I256" s="137">
        <v>100000.0</v>
      </c>
      <c r="J256" s="46">
        <f t="shared" si="318"/>
        <v>20000000</v>
      </c>
      <c r="K256" s="46"/>
      <c r="L256" s="116">
        <f t="shared" si="319"/>
        <v>0</v>
      </c>
      <c r="M256" s="106"/>
      <c r="N256" s="116">
        <f t="shared" si="320"/>
        <v>0</v>
      </c>
      <c r="O256" s="46">
        <f t="shared" si="321"/>
        <v>20000000</v>
      </c>
      <c r="P256" s="46">
        <f t="shared" si="322"/>
        <v>20000000</v>
      </c>
      <c r="Q256" s="46">
        <v>2.0E7</v>
      </c>
      <c r="R256" s="101"/>
      <c r="S256" s="101"/>
      <c r="T256" s="99"/>
      <c r="U256" s="99"/>
      <c r="V256" s="99"/>
      <c r="W256" s="99"/>
      <c r="X256" s="99"/>
      <c r="Y256" s="99"/>
      <c r="Z256" s="99"/>
      <c r="AA256" s="99"/>
      <c r="AB256" s="99"/>
      <c r="AC256" s="99"/>
      <c r="AD256" s="99"/>
      <c r="AE256" s="99"/>
      <c r="AF256" s="99"/>
      <c r="AG256" s="99"/>
      <c r="AH256" s="99"/>
      <c r="AI256" s="99"/>
      <c r="AJ256" s="99"/>
      <c r="AK256" s="99"/>
      <c r="AL256" s="99"/>
      <c r="AM256" s="99"/>
    </row>
    <row r="257" ht="12.75" customHeight="1">
      <c r="A257" s="104"/>
      <c r="B257" s="104"/>
      <c r="C257" s="104"/>
      <c r="D257" s="110" t="s">
        <v>24</v>
      </c>
      <c r="E257" s="110" t="s">
        <v>327</v>
      </c>
      <c r="G257" s="136">
        <v>200.0</v>
      </c>
      <c r="H257" s="136" t="s">
        <v>95</v>
      </c>
      <c r="I257" s="137">
        <v>350000.0</v>
      </c>
      <c r="J257" s="46">
        <f t="shared" si="318"/>
        <v>70000000</v>
      </c>
      <c r="K257" s="46"/>
      <c r="L257" s="116">
        <f t="shared" si="319"/>
        <v>0</v>
      </c>
      <c r="M257" s="106"/>
      <c r="N257" s="116">
        <f t="shared" si="320"/>
        <v>0</v>
      </c>
      <c r="O257" s="46">
        <f t="shared" si="321"/>
        <v>70000000</v>
      </c>
      <c r="P257" s="46">
        <f t="shared" si="322"/>
        <v>70000000</v>
      </c>
      <c r="Q257" s="46">
        <v>7.0E7</v>
      </c>
      <c r="R257" s="101"/>
      <c r="S257" s="101"/>
      <c r="T257" s="99"/>
      <c r="U257" s="99"/>
      <c r="V257" s="99"/>
      <c r="W257" s="99"/>
      <c r="X257" s="99"/>
      <c r="Y257" s="99"/>
      <c r="Z257" s="99"/>
      <c r="AA257" s="99"/>
      <c r="AB257" s="99"/>
      <c r="AC257" s="99"/>
      <c r="AD257" s="99"/>
      <c r="AE257" s="99"/>
      <c r="AF257" s="99"/>
      <c r="AG257" s="99"/>
      <c r="AH257" s="99"/>
      <c r="AI257" s="99"/>
      <c r="AJ257" s="99"/>
      <c r="AK257" s="99"/>
      <c r="AL257" s="99"/>
      <c r="AM257" s="99"/>
    </row>
    <row r="258" ht="12.75" customHeight="1">
      <c r="A258" s="104"/>
      <c r="B258" s="104"/>
      <c r="C258" s="104"/>
      <c r="D258" s="110" t="s">
        <v>24</v>
      </c>
      <c r="E258" s="110" t="s">
        <v>328</v>
      </c>
      <c r="G258" s="136">
        <v>100.0</v>
      </c>
      <c r="H258" s="136" t="s">
        <v>95</v>
      </c>
      <c r="I258" s="137">
        <v>175000.0</v>
      </c>
      <c r="J258" s="46">
        <f t="shared" si="318"/>
        <v>17500000</v>
      </c>
      <c r="K258" s="46"/>
      <c r="L258" s="116">
        <f t="shared" si="319"/>
        <v>0</v>
      </c>
      <c r="M258" s="106"/>
      <c r="N258" s="116">
        <f t="shared" si="320"/>
        <v>0</v>
      </c>
      <c r="O258" s="46">
        <f t="shared" si="321"/>
        <v>17500000</v>
      </c>
      <c r="P258" s="46">
        <f t="shared" si="322"/>
        <v>17500000</v>
      </c>
      <c r="Q258" s="46">
        <v>1.75E7</v>
      </c>
      <c r="R258" s="101"/>
      <c r="S258" s="101"/>
      <c r="T258" s="99"/>
      <c r="U258" s="99"/>
      <c r="V258" s="99"/>
      <c r="W258" s="99"/>
      <c r="X258" s="99"/>
      <c r="Y258" s="99"/>
      <c r="Z258" s="99"/>
      <c r="AA258" s="99"/>
      <c r="AB258" s="99"/>
      <c r="AC258" s="99"/>
      <c r="AD258" s="99"/>
      <c r="AE258" s="99"/>
      <c r="AF258" s="99"/>
      <c r="AG258" s="99"/>
      <c r="AH258" s="99"/>
      <c r="AI258" s="99"/>
      <c r="AJ258" s="99"/>
      <c r="AK258" s="99"/>
      <c r="AL258" s="99"/>
      <c r="AM258" s="99"/>
    </row>
    <row r="259" ht="12.75" customHeight="1">
      <c r="A259" s="104"/>
      <c r="B259" s="104"/>
      <c r="C259" s="104"/>
      <c r="D259" s="110" t="s">
        <v>24</v>
      </c>
      <c r="E259" s="110" t="s">
        <v>329</v>
      </c>
      <c r="G259" s="136">
        <v>700.0</v>
      </c>
      <c r="H259" s="136" t="s">
        <v>95</v>
      </c>
      <c r="I259" s="137">
        <v>150000.0</v>
      </c>
      <c r="J259" s="46">
        <f t="shared" si="318"/>
        <v>105000000</v>
      </c>
      <c r="K259" s="46"/>
      <c r="L259" s="116">
        <f t="shared" si="319"/>
        <v>0</v>
      </c>
      <c r="M259" s="106"/>
      <c r="N259" s="116">
        <f t="shared" si="320"/>
        <v>0</v>
      </c>
      <c r="O259" s="46">
        <f t="shared" si="321"/>
        <v>105000000</v>
      </c>
      <c r="P259" s="46">
        <f t="shared" si="322"/>
        <v>105000000</v>
      </c>
      <c r="Q259" s="46">
        <v>1.05E8</v>
      </c>
      <c r="R259" s="101"/>
      <c r="S259" s="101"/>
      <c r="T259" s="99"/>
      <c r="U259" s="99"/>
      <c r="V259" s="99"/>
      <c r="W259" s="99"/>
      <c r="X259" s="99"/>
      <c r="Y259" s="99"/>
      <c r="Z259" s="99"/>
      <c r="AA259" s="99"/>
      <c r="AB259" s="99"/>
      <c r="AC259" s="99"/>
      <c r="AD259" s="99"/>
      <c r="AE259" s="99"/>
      <c r="AF259" s="99"/>
      <c r="AG259" s="99"/>
      <c r="AH259" s="99"/>
      <c r="AI259" s="99"/>
      <c r="AJ259" s="99"/>
      <c r="AK259" s="99"/>
      <c r="AL259" s="99"/>
      <c r="AM259" s="99"/>
    </row>
    <row r="260" ht="12.75" customHeight="1">
      <c r="A260" s="104"/>
      <c r="B260" s="104"/>
      <c r="C260" s="104"/>
      <c r="D260" s="110" t="s">
        <v>24</v>
      </c>
      <c r="E260" s="110" t="s">
        <v>330</v>
      </c>
      <c r="G260" s="136">
        <v>700.0</v>
      </c>
      <c r="H260" s="136" t="s">
        <v>95</v>
      </c>
      <c r="I260" s="137">
        <v>200000.0</v>
      </c>
      <c r="J260" s="46">
        <f t="shared" si="318"/>
        <v>140000000</v>
      </c>
      <c r="K260" s="46"/>
      <c r="L260" s="116">
        <f t="shared" si="319"/>
        <v>0</v>
      </c>
      <c r="M260" s="106"/>
      <c r="N260" s="116">
        <f t="shared" si="320"/>
        <v>0</v>
      </c>
      <c r="O260" s="46">
        <f t="shared" si="321"/>
        <v>140000000</v>
      </c>
      <c r="P260" s="46">
        <f t="shared" si="322"/>
        <v>140000000</v>
      </c>
      <c r="Q260" s="46">
        <v>1.4E8</v>
      </c>
      <c r="R260" s="101"/>
      <c r="S260" s="101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99"/>
      <c r="AH260" s="99"/>
      <c r="AI260" s="99"/>
      <c r="AJ260" s="99"/>
      <c r="AK260" s="99"/>
      <c r="AL260" s="99"/>
      <c r="AM260" s="99"/>
    </row>
    <row r="261" ht="15.75" customHeight="1">
      <c r="A261" s="104"/>
      <c r="B261" s="104"/>
      <c r="C261" s="104"/>
      <c r="D261" s="110" t="s">
        <v>24</v>
      </c>
      <c r="E261" s="110" t="s">
        <v>331</v>
      </c>
      <c r="G261" s="136">
        <v>1200.0</v>
      </c>
      <c r="H261" s="136" t="s">
        <v>95</v>
      </c>
      <c r="I261" s="137">
        <v>250000.0</v>
      </c>
      <c r="J261" s="46">
        <f t="shared" si="318"/>
        <v>300000000</v>
      </c>
      <c r="K261" s="46"/>
      <c r="L261" s="116">
        <f t="shared" si="319"/>
        <v>0</v>
      </c>
      <c r="M261" s="106"/>
      <c r="N261" s="116">
        <f t="shared" si="320"/>
        <v>0</v>
      </c>
      <c r="O261" s="46">
        <f t="shared" si="321"/>
        <v>300000000</v>
      </c>
      <c r="P261" s="46">
        <f t="shared" si="322"/>
        <v>300000000</v>
      </c>
      <c r="Q261" s="46">
        <v>3.0E8</v>
      </c>
      <c r="R261" s="101"/>
      <c r="S261" s="101"/>
      <c r="T261" s="99"/>
      <c r="U261" s="99"/>
      <c r="V261" s="99"/>
      <c r="W261" s="99"/>
      <c r="X261" s="99"/>
      <c r="Y261" s="99"/>
      <c r="Z261" s="99"/>
      <c r="AA261" s="99"/>
      <c r="AB261" s="99"/>
      <c r="AC261" s="99"/>
      <c r="AD261" s="99"/>
      <c r="AE261" s="99"/>
      <c r="AF261" s="99"/>
      <c r="AG261" s="99"/>
      <c r="AH261" s="99"/>
      <c r="AI261" s="99"/>
      <c r="AJ261" s="99"/>
      <c r="AK261" s="99"/>
      <c r="AL261" s="99"/>
      <c r="AM261" s="99"/>
    </row>
    <row r="262" ht="12.75" customHeight="1">
      <c r="A262" s="104"/>
      <c r="B262" s="104"/>
      <c r="C262" s="104"/>
      <c r="D262" s="110" t="s">
        <v>24</v>
      </c>
      <c r="E262" s="110" t="s">
        <v>332</v>
      </c>
      <c r="G262" s="136">
        <v>720.0</v>
      </c>
      <c r="H262" s="136" t="s">
        <v>95</v>
      </c>
      <c r="I262" s="137">
        <v>100000.0</v>
      </c>
      <c r="J262" s="46">
        <f t="shared" si="318"/>
        <v>72000000</v>
      </c>
      <c r="K262" s="46"/>
      <c r="L262" s="116">
        <f t="shared" si="319"/>
        <v>0</v>
      </c>
      <c r="M262" s="106"/>
      <c r="N262" s="116">
        <f t="shared" si="320"/>
        <v>0</v>
      </c>
      <c r="O262" s="46">
        <f t="shared" si="321"/>
        <v>72000000</v>
      </c>
      <c r="P262" s="46">
        <f t="shared" si="322"/>
        <v>72000000</v>
      </c>
      <c r="Q262" s="46">
        <v>7.2E7</v>
      </c>
      <c r="R262" s="101"/>
      <c r="S262" s="101"/>
      <c r="T262" s="99"/>
      <c r="U262" s="99"/>
      <c r="V262" s="99"/>
      <c r="W262" s="99"/>
      <c r="X262" s="99"/>
      <c r="Y262" s="99"/>
      <c r="Z262" s="99"/>
      <c r="AA262" s="99"/>
      <c r="AB262" s="99"/>
      <c r="AC262" s="99"/>
      <c r="AD262" s="99"/>
      <c r="AE262" s="99"/>
      <c r="AF262" s="99"/>
      <c r="AG262" s="99"/>
      <c r="AH262" s="99"/>
      <c r="AI262" s="99"/>
      <c r="AJ262" s="99"/>
      <c r="AK262" s="99"/>
      <c r="AL262" s="99"/>
      <c r="AM262" s="99"/>
    </row>
    <row r="263" ht="12.75" customHeight="1">
      <c r="A263" s="104"/>
      <c r="B263" s="104"/>
      <c r="C263" s="104"/>
      <c r="D263" s="110" t="s">
        <v>24</v>
      </c>
      <c r="E263" s="110" t="s">
        <v>333</v>
      </c>
      <c r="G263" s="136">
        <v>420.0</v>
      </c>
      <c r="H263" s="136" t="s">
        <v>95</v>
      </c>
      <c r="I263" s="137">
        <v>50000.0</v>
      </c>
      <c r="J263" s="46">
        <f t="shared" si="318"/>
        <v>21000000</v>
      </c>
      <c r="K263" s="46"/>
      <c r="L263" s="116">
        <f t="shared" si="319"/>
        <v>0</v>
      </c>
      <c r="M263" s="106"/>
      <c r="N263" s="116">
        <f t="shared" si="320"/>
        <v>0</v>
      </c>
      <c r="O263" s="46">
        <f t="shared" si="321"/>
        <v>21000000</v>
      </c>
      <c r="P263" s="46">
        <f t="shared" si="322"/>
        <v>21000000</v>
      </c>
      <c r="Q263" s="46">
        <v>2.1E7</v>
      </c>
      <c r="R263" s="101"/>
      <c r="S263" s="101"/>
      <c r="T263" s="99"/>
      <c r="U263" s="99"/>
      <c r="V263" s="99"/>
      <c r="W263" s="99"/>
      <c r="X263" s="99"/>
      <c r="Y263" s="99"/>
      <c r="Z263" s="99"/>
      <c r="AA263" s="99"/>
      <c r="AB263" s="99"/>
      <c r="AC263" s="99"/>
      <c r="AD263" s="99"/>
      <c r="AE263" s="99"/>
      <c r="AF263" s="99"/>
      <c r="AG263" s="99"/>
      <c r="AH263" s="99"/>
      <c r="AI263" s="99"/>
      <c r="AJ263" s="99"/>
      <c r="AK263" s="99"/>
      <c r="AL263" s="99"/>
      <c r="AM263" s="99"/>
    </row>
    <row r="264" ht="12.75" customHeight="1">
      <c r="A264" s="144" t="s">
        <v>126</v>
      </c>
      <c r="D264" s="144" t="s">
        <v>127</v>
      </c>
      <c r="G264" s="104"/>
      <c r="H264" s="128"/>
      <c r="I264" s="104"/>
      <c r="J264" s="129">
        <f t="shared" ref="J264:K264" si="323">J265</f>
        <v>190740000</v>
      </c>
      <c r="K264" s="43">
        <f t="shared" si="323"/>
        <v>0</v>
      </c>
      <c r="L264" s="116">
        <f t="shared" si="319"/>
        <v>0</v>
      </c>
      <c r="M264" s="106"/>
      <c r="N264" s="116">
        <f t="shared" si="320"/>
        <v>0</v>
      </c>
      <c r="O264" s="43">
        <f t="shared" ref="O264:P264" si="324">O265</f>
        <v>190740000</v>
      </c>
      <c r="P264" s="43">
        <f t="shared" si="324"/>
        <v>190740000</v>
      </c>
      <c r="Q264" s="43">
        <v>1.9074E8</v>
      </c>
      <c r="R264" s="101"/>
      <c r="S264" s="101"/>
      <c r="T264" s="99"/>
      <c r="U264" s="99"/>
      <c r="V264" s="99"/>
      <c r="W264" s="99"/>
      <c r="X264" s="99"/>
      <c r="Y264" s="99"/>
      <c r="Z264" s="99"/>
      <c r="AA264" s="99"/>
      <c r="AB264" s="99"/>
      <c r="AC264" s="99"/>
      <c r="AD264" s="99"/>
      <c r="AE264" s="99"/>
      <c r="AF264" s="99"/>
      <c r="AG264" s="99"/>
      <c r="AH264" s="99"/>
      <c r="AI264" s="99"/>
      <c r="AJ264" s="99"/>
      <c r="AK264" s="99"/>
      <c r="AL264" s="99"/>
      <c r="AM264" s="99"/>
    </row>
    <row r="265" ht="12.75" customHeight="1">
      <c r="A265" s="110" t="s">
        <v>68</v>
      </c>
      <c r="D265" s="145" t="s">
        <v>69</v>
      </c>
      <c r="G265" s="104"/>
      <c r="H265" s="133"/>
      <c r="I265" s="104"/>
      <c r="J265" s="134">
        <f t="shared" ref="J265:K265" si="325">SUM(J267:J271)</f>
        <v>190740000</v>
      </c>
      <c r="K265" s="46">
        <f t="shared" si="325"/>
        <v>0</v>
      </c>
      <c r="L265" s="116">
        <f t="shared" si="319"/>
        <v>0</v>
      </c>
      <c r="M265" s="106"/>
      <c r="N265" s="116">
        <f t="shared" si="320"/>
        <v>0</v>
      </c>
      <c r="O265" s="46">
        <f t="shared" ref="O265:P265" si="326">SUM(O267:O271)</f>
        <v>190740000</v>
      </c>
      <c r="P265" s="46">
        <f t="shared" si="326"/>
        <v>190740000</v>
      </c>
      <c r="Q265" s="46">
        <v>1.9074E8</v>
      </c>
      <c r="R265" s="101"/>
      <c r="S265" s="101"/>
      <c r="T265" s="99"/>
      <c r="U265" s="99"/>
      <c r="V265" s="99"/>
      <c r="W265" s="99"/>
      <c r="X265" s="99"/>
      <c r="Y265" s="99"/>
      <c r="Z265" s="99"/>
      <c r="AA265" s="99"/>
      <c r="AB265" s="99"/>
      <c r="AC265" s="99"/>
      <c r="AD265" s="99"/>
      <c r="AE265" s="99"/>
      <c r="AF265" s="99"/>
      <c r="AG265" s="99"/>
      <c r="AH265" s="99"/>
      <c r="AI265" s="99"/>
      <c r="AJ265" s="99"/>
      <c r="AK265" s="99"/>
      <c r="AL265" s="99"/>
      <c r="AM265" s="99"/>
    </row>
    <row r="266" ht="12.75" customHeight="1">
      <c r="A266" s="104"/>
      <c r="B266" s="104"/>
      <c r="C266" s="104"/>
      <c r="D266" s="110" t="s">
        <v>23</v>
      </c>
      <c r="G266" s="104"/>
      <c r="H266" s="104"/>
      <c r="I266" s="104"/>
      <c r="J266" s="111"/>
      <c r="K266" s="111"/>
      <c r="L266" s="116"/>
      <c r="M266" s="106"/>
      <c r="N266" s="116"/>
      <c r="O266" s="111"/>
      <c r="P266" s="111"/>
      <c r="Q266" s="111"/>
      <c r="R266" s="101"/>
      <c r="S266" s="101"/>
      <c r="T266" s="99"/>
      <c r="U266" s="99"/>
      <c r="V266" s="99"/>
      <c r="W266" s="99"/>
      <c r="X266" s="99"/>
      <c r="Y266" s="99"/>
      <c r="Z266" s="99"/>
      <c r="AA266" s="99"/>
      <c r="AB266" s="99"/>
      <c r="AC266" s="99"/>
      <c r="AD266" s="99"/>
      <c r="AE266" s="99"/>
      <c r="AF266" s="99"/>
      <c r="AG266" s="99"/>
      <c r="AH266" s="99"/>
      <c r="AI266" s="99"/>
      <c r="AJ266" s="99"/>
      <c r="AK266" s="99"/>
      <c r="AL266" s="99"/>
      <c r="AM266" s="99"/>
    </row>
    <row r="267" ht="12.75" customHeight="1">
      <c r="A267" s="104"/>
      <c r="B267" s="104"/>
      <c r="C267" s="104"/>
      <c r="D267" s="110" t="s">
        <v>24</v>
      </c>
      <c r="E267" s="110" t="s">
        <v>128</v>
      </c>
      <c r="G267" s="136">
        <v>88.0</v>
      </c>
      <c r="H267" s="136" t="s">
        <v>233</v>
      </c>
      <c r="I267" s="137">
        <v>110000.0</v>
      </c>
      <c r="J267" s="46">
        <f t="shared" ref="J267:J271" si="327">G267*I267</f>
        <v>9680000</v>
      </c>
      <c r="K267" s="46"/>
      <c r="L267" s="116">
        <f t="shared" ref="L267:L273" si="328">(K267/J267)*100</f>
        <v>0</v>
      </c>
      <c r="M267" s="106"/>
      <c r="N267" s="116">
        <f t="shared" ref="N267:N273" si="329">(K267/J267)*100</f>
        <v>0</v>
      </c>
      <c r="O267" s="46">
        <f t="shared" ref="O267:O271" si="330">J267-K267</f>
        <v>9680000</v>
      </c>
      <c r="P267" s="46">
        <f t="shared" ref="P267:P271" si="331">J267-M267</f>
        <v>9680000</v>
      </c>
      <c r="Q267" s="46">
        <v>9680000.0</v>
      </c>
      <c r="R267" s="101"/>
      <c r="S267" s="101"/>
      <c r="T267" s="99"/>
      <c r="U267" s="99"/>
      <c r="V267" s="99"/>
      <c r="W267" s="99"/>
      <c r="X267" s="99"/>
      <c r="Y267" s="99"/>
      <c r="Z267" s="99"/>
      <c r="AA267" s="99"/>
      <c r="AB267" s="99"/>
      <c r="AC267" s="99"/>
      <c r="AD267" s="99"/>
      <c r="AE267" s="99"/>
      <c r="AF267" s="99"/>
      <c r="AG267" s="99"/>
      <c r="AH267" s="99"/>
      <c r="AI267" s="99"/>
      <c r="AJ267" s="99"/>
      <c r="AK267" s="99"/>
      <c r="AL267" s="99"/>
      <c r="AM267" s="99"/>
    </row>
    <row r="268" ht="12.75" customHeight="1">
      <c r="A268" s="104"/>
      <c r="B268" s="104"/>
      <c r="C268" s="104"/>
      <c r="D268" s="110" t="s">
        <v>24</v>
      </c>
      <c r="E268" s="110" t="s">
        <v>130</v>
      </c>
      <c r="G268" s="136">
        <v>88.0</v>
      </c>
      <c r="H268" s="136" t="s">
        <v>233</v>
      </c>
      <c r="I268" s="137">
        <v>120000.0</v>
      </c>
      <c r="J268" s="46">
        <f t="shared" si="327"/>
        <v>10560000</v>
      </c>
      <c r="K268" s="46"/>
      <c r="L268" s="116">
        <f t="shared" si="328"/>
        <v>0</v>
      </c>
      <c r="M268" s="106"/>
      <c r="N268" s="116">
        <f t="shared" si="329"/>
        <v>0</v>
      </c>
      <c r="O268" s="46">
        <f t="shared" si="330"/>
        <v>10560000</v>
      </c>
      <c r="P268" s="46">
        <f t="shared" si="331"/>
        <v>10560000</v>
      </c>
      <c r="Q268" s="46">
        <v>1.056E7</v>
      </c>
      <c r="R268" s="101"/>
      <c r="S268" s="101"/>
      <c r="T268" s="99"/>
      <c r="U268" s="99"/>
      <c r="V268" s="99"/>
      <c r="W268" s="99"/>
      <c r="X268" s="99"/>
      <c r="Y268" s="99"/>
      <c r="Z268" s="99"/>
      <c r="AA268" s="99"/>
      <c r="AB268" s="99"/>
      <c r="AC268" s="99"/>
      <c r="AD268" s="99"/>
      <c r="AE268" s="99"/>
      <c r="AF268" s="99"/>
      <c r="AG268" s="99"/>
      <c r="AH268" s="99"/>
      <c r="AI268" s="99"/>
      <c r="AJ268" s="99"/>
      <c r="AK268" s="99"/>
      <c r="AL268" s="99"/>
      <c r="AM268" s="99"/>
    </row>
    <row r="269" ht="12.75" customHeight="1">
      <c r="A269" s="104"/>
      <c r="B269" s="104"/>
      <c r="C269" s="104"/>
      <c r="D269" s="110" t="s">
        <v>24</v>
      </c>
      <c r="E269" s="110" t="s">
        <v>131</v>
      </c>
      <c r="G269" s="136">
        <v>88.0</v>
      </c>
      <c r="H269" s="136" t="s">
        <v>233</v>
      </c>
      <c r="I269" s="137">
        <v>350000.0</v>
      </c>
      <c r="J269" s="46">
        <f t="shared" si="327"/>
        <v>30800000</v>
      </c>
      <c r="K269" s="46"/>
      <c r="L269" s="116">
        <f t="shared" si="328"/>
        <v>0</v>
      </c>
      <c r="M269" s="106"/>
      <c r="N269" s="116">
        <f t="shared" si="329"/>
        <v>0</v>
      </c>
      <c r="O269" s="46">
        <f t="shared" si="330"/>
        <v>30800000</v>
      </c>
      <c r="P269" s="46">
        <f t="shared" si="331"/>
        <v>30800000</v>
      </c>
      <c r="Q269" s="46">
        <v>3.08E7</v>
      </c>
      <c r="R269" s="101"/>
      <c r="S269" s="101"/>
      <c r="T269" s="99"/>
      <c r="U269" s="99"/>
      <c r="V269" s="99"/>
      <c r="W269" s="99"/>
      <c r="X269" s="99"/>
      <c r="Y269" s="99"/>
      <c r="Z269" s="99"/>
      <c r="AA269" s="99"/>
      <c r="AB269" s="99"/>
      <c r="AC269" s="99"/>
      <c r="AD269" s="99"/>
      <c r="AE269" s="99"/>
      <c r="AF269" s="99"/>
      <c r="AG269" s="99"/>
      <c r="AH269" s="99"/>
      <c r="AI269" s="99"/>
      <c r="AJ269" s="99"/>
      <c r="AK269" s="99"/>
      <c r="AL269" s="99"/>
      <c r="AM269" s="99"/>
    </row>
    <row r="270" ht="12.75" customHeight="1">
      <c r="A270" s="104"/>
      <c r="B270" s="104"/>
      <c r="C270" s="104"/>
      <c r="D270" s="110" t="s">
        <v>24</v>
      </c>
      <c r="E270" s="110" t="s">
        <v>132</v>
      </c>
      <c r="G270" s="136">
        <v>44.0</v>
      </c>
      <c r="H270" s="136" t="s">
        <v>233</v>
      </c>
      <c r="I270" s="137">
        <v>175000.0</v>
      </c>
      <c r="J270" s="46">
        <f t="shared" si="327"/>
        <v>7700000</v>
      </c>
      <c r="K270" s="46"/>
      <c r="L270" s="116">
        <f t="shared" si="328"/>
        <v>0</v>
      </c>
      <c r="M270" s="106"/>
      <c r="N270" s="116">
        <f t="shared" si="329"/>
        <v>0</v>
      </c>
      <c r="O270" s="46">
        <f t="shared" si="330"/>
        <v>7700000</v>
      </c>
      <c r="P270" s="46">
        <f t="shared" si="331"/>
        <v>7700000</v>
      </c>
      <c r="Q270" s="46">
        <v>7700000.0</v>
      </c>
      <c r="R270" s="101"/>
      <c r="S270" s="101"/>
      <c r="T270" s="99"/>
      <c r="U270" s="99"/>
      <c r="V270" s="99"/>
      <c r="W270" s="99"/>
      <c r="X270" s="99"/>
      <c r="Y270" s="99"/>
      <c r="Z270" s="99"/>
      <c r="AA270" s="99"/>
      <c r="AB270" s="99"/>
      <c r="AC270" s="99"/>
      <c r="AD270" s="99"/>
      <c r="AE270" s="99"/>
      <c r="AF270" s="99"/>
      <c r="AG270" s="99"/>
      <c r="AH270" s="99"/>
      <c r="AI270" s="99"/>
      <c r="AJ270" s="99"/>
      <c r="AK270" s="99"/>
      <c r="AL270" s="99"/>
      <c r="AM270" s="99"/>
    </row>
    <row r="271" ht="15.75" customHeight="1">
      <c r="A271" s="104"/>
      <c r="B271" s="104"/>
      <c r="C271" s="104"/>
      <c r="D271" s="110" t="s">
        <v>24</v>
      </c>
      <c r="E271" s="110" t="s">
        <v>133</v>
      </c>
      <c r="G271" s="136">
        <v>528.0</v>
      </c>
      <c r="H271" s="136" t="s">
        <v>233</v>
      </c>
      <c r="I271" s="137">
        <v>250000.0</v>
      </c>
      <c r="J271" s="46">
        <f t="shared" si="327"/>
        <v>132000000</v>
      </c>
      <c r="K271" s="46"/>
      <c r="L271" s="116">
        <f t="shared" si="328"/>
        <v>0</v>
      </c>
      <c r="M271" s="106"/>
      <c r="N271" s="116">
        <f t="shared" si="329"/>
        <v>0</v>
      </c>
      <c r="O271" s="46">
        <f t="shared" si="330"/>
        <v>132000000</v>
      </c>
      <c r="P271" s="46">
        <f t="shared" si="331"/>
        <v>132000000</v>
      </c>
      <c r="Q271" s="46">
        <v>1.32E8</v>
      </c>
      <c r="R271" s="101"/>
      <c r="S271" s="101"/>
      <c r="T271" s="99"/>
      <c r="U271" s="99"/>
      <c r="V271" s="99"/>
      <c r="W271" s="99"/>
      <c r="X271" s="99"/>
      <c r="Y271" s="99"/>
      <c r="Z271" s="99"/>
      <c r="AA271" s="99"/>
      <c r="AB271" s="99"/>
      <c r="AC271" s="99"/>
      <c r="AD271" s="99"/>
      <c r="AE271" s="99"/>
      <c r="AF271" s="99"/>
      <c r="AG271" s="99"/>
      <c r="AH271" s="99"/>
      <c r="AI271" s="99"/>
      <c r="AJ271" s="99"/>
      <c r="AK271" s="99"/>
      <c r="AL271" s="99"/>
      <c r="AM271" s="99"/>
    </row>
    <row r="272" ht="12.75" customHeight="1">
      <c r="A272" s="144" t="s">
        <v>134</v>
      </c>
      <c r="D272" s="144" t="s">
        <v>135</v>
      </c>
      <c r="G272" s="104"/>
      <c r="H272" s="128"/>
      <c r="I272" s="104"/>
      <c r="J272" s="129">
        <f t="shared" ref="J272:K272" si="332">J273</f>
        <v>39320000</v>
      </c>
      <c r="K272" s="43">
        <f t="shared" si="332"/>
        <v>0</v>
      </c>
      <c r="L272" s="116">
        <f t="shared" si="328"/>
        <v>0</v>
      </c>
      <c r="M272" s="106"/>
      <c r="N272" s="116">
        <f t="shared" si="329"/>
        <v>0</v>
      </c>
      <c r="O272" s="43">
        <f t="shared" ref="O272:P272" si="333">O273</f>
        <v>39320000</v>
      </c>
      <c r="P272" s="43">
        <f t="shared" si="333"/>
        <v>39320000</v>
      </c>
      <c r="Q272" s="43">
        <v>3.932E7</v>
      </c>
      <c r="R272" s="101"/>
      <c r="S272" s="101"/>
      <c r="T272" s="99"/>
      <c r="U272" s="99"/>
      <c r="V272" s="99"/>
      <c r="W272" s="99"/>
      <c r="X272" s="99"/>
      <c r="Y272" s="99"/>
      <c r="Z272" s="99"/>
      <c r="AA272" s="99"/>
      <c r="AB272" s="99"/>
      <c r="AC272" s="99"/>
      <c r="AD272" s="99"/>
      <c r="AE272" s="99"/>
      <c r="AF272" s="99"/>
      <c r="AG272" s="99"/>
      <c r="AH272" s="99"/>
      <c r="AI272" s="99"/>
      <c r="AJ272" s="99"/>
      <c r="AK272" s="99"/>
      <c r="AL272" s="99"/>
      <c r="AM272" s="99"/>
    </row>
    <row r="273" ht="12.75" customHeight="1">
      <c r="A273" s="110" t="s">
        <v>68</v>
      </c>
      <c r="D273" s="145" t="s">
        <v>69</v>
      </c>
      <c r="G273" s="104"/>
      <c r="H273" s="133"/>
      <c r="I273" s="104"/>
      <c r="J273" s="134">
        <f t="shared" ref="J273:K273" si="334">SUM(J275:J279)</f>
        <v>39320000</v>
      </c>
      <c r="K273" s="46">
        <f t="shared" si="334"/>
        <v>0</v>
      </c>
      <c r="L273" s="116">
        <f t="shared" si="328"/>
        <v>0</v>
      </c>
      <c r="M273" s="106"/>
      <c r="N273" s="116">
        <f t="shared" si="329"/>
        <v>0</v>
      </c>
      <c r="O273" s="46">
        <f t="shared" ref="O273:P273" si="335">SUM(O275:O279)</f>
        <v>39320000</v>
      </c>
      <c r="P273" s="46">
        <f t="shared" si="335"/>
        <v>39320000</v>
      </c>
      <c r="Q273" s="46">
        <v>3.932E7</v>
      </c>
      <c r="R273" s="101"/>
      <c r="S273" s="101"/>
      <c r="T273" s="99"/>
      <c r="U273" s="99"/>
      <c r="V273" s="99"/>
      <c r="W273" s="99"/>
      <c r="X273" s="99"/>
      <c r="Y273" s="99"/>
      <c r="Z273" s="99"/>
      <c r="AA273" s="99"/>
      <c r="AB273" s="99"/>
      <c r="AC273" s="99"/>
      <c r="AD273" s="99"/>
      <c r="AE273" s="99"/>
      <c r="AF273" s="99"/>
      <c r="AG273" s="99"/>
      <c r="AH273" s="99"/>
      <c r="AI273" s="99"/>
      <c r="AJ273" s="99"/>
      <c r="AK273" s="99"/>
      <c r="AL273" s="99"/>
      <c r="AM273" s="99"/>
    </row>
    <row r="274" ht="12.75" customHeight="1">
      <c r="A274" s="104"/>
      <c r="B274" s="104"/>
      <c r="C274" s="104"/>
      <c r="D274" s="110" t="s">
        <v>23</v>
      </c>
      <c r="G274" s="104"/>
      <c r="H274" s="104"/>
      <c r="I274" s="104"/>
      <c r="J274" s="111"/>
      <c r="K274" s="111"/>
      <c r="L274" s="116"/>
      <c r="M274" s="106"/>
      <c r="N274" s="116"/>
      <c r="O274" s="111"/>
      <c r="P274" s="111"/>
      <c r="Q274" s="111"/>
      <c r="R274" s="101"/>
      <c r="S274" s="101"/>
      <c r="T274" s="99"/>
      <c r="U274" s="99"/>
      <c r="V274" s="99"/>
      <c r="W274" s="99"/>
      <c r="X274" s="99"/>
      <c r="Y274" s="99"/>
      <c r="Z274" s="99"/>
      <c r="AA274" s="99"/>
      <c r="AB274" s="99"/>
      <c r="AC274" s="99"/>
      <c r="AD274" s="99"/>
      <c r="AE274" s="99"/>
      <c r="AF274" s="99"/>
      <c r="AG274" s="99"/>
      <c r="AH274" s="99"/>
      <c r="AI274" s="99"/>
      <c r="AJ274" s="99"/>
      <c r="AK274" s="99"/>
      <c r="AL274" s="99"/>
      <c r="AM274" s="99"/>
    </row>
    <row r="275" ht="12.75" customHeight="1">
      <c r="A275" s="104"/>
      <c r="B275" s="104"/>
      <c r="C275" s="104"/>
      <c r="D275" s="110" t="s">
        <v>24</v>
      </c>
      <c r="E275" s="110" t="s">
        <v>334</v>
      </c>
      <c r="G275" s="136">
        <v>300.0</v>
      </c>
      <c r="H275" s="136" t="s">
        <v>95</v>
      </c>
      <c r="I275" s="137">
        <v>75000.0</v>
      </c>
      <c r="J275" s="46">
        <f t="shared" ref="J275:J279" si="336">G275*I275</f>
        <v>22500000</v>
      </c>
      <c r="K275" s="46"/>
      <c r="L275" s="116">
        <f t="shared" ref="L275:L281" si="337">(K275/J275)*100</f>
        <v>0</v>
      </c>
      <c r="M275" s="106"/>
      <c r="N275" s="116">
        <f t="shared" ref="N275:N281" si="338">(K275/J275)*100</f>
        <v>0</v>
      </c>
      <c r="O275" s="46">
        <f t="shared" ref="O275:O279" si="339">J275-K275</f>
        <v>22500000</v>
      </c>
      <c r="P275" s="46">
        <f t="shared" ref="P275:P279" si="340">J275-M275</f>
        <v>22500000</v>
      </c>
      <c r="Q275" s="46">
        <v>2.25E7</v>
      </c>
      <c r="R275" s="101"/>
      <c r="S275" s="101"/>
      <c r="T275" s="99"/>
      <c r="U275" s="99"/>
      <c r="V275" s="99"/>
      <c r="W275" s="99"/>
      <c r="X275" s="99"/>
      <c r="Y275" s="99"/>
      <c r="Z275" s="99"/>
      <c r="AA275" s="99"/>
      <c r="AB275" s="99"/>
      <c r="AC275" s="99"/>
      <c r="AD275" s="99"/>
      <c r="AE275" s="99"/>
      <c r="AF275" s="99"/>
      <c r="AG275" s="99"/>
      <c r="AH275" s="99"/>
      <c r="AI275" s="99"/>
      <c r="AJ275" s="99"/>
      <c r="AK275" s="99"/>
      <c r="AL275" s="99"/>
      <c r="AM275" s="99"/>
    </row>
    <row r="276" ht="12.75" customHeight="1">
      <c r="A276" s="104"/>
      <c r="B276" s="104"/>
      <c r="C276" s="104"/>
      <c r="D276" s="110" t="s">
        <v>24</v>
      </c>
      <c r="E276" s="110" t="s">
        <v>137</v>
      </c>
      <c r="G276" s="136">
        <v>2.0</v>
      </c>
      <c r="H276" s="136" t="s">
        <v>95</v>
      </c>
      <c r="I276" s="137">
        <v>360000.0</v>
      </c>
      <c r="J276" s="46">
        <f t="shared" si="336"/>
        <v>720000</v>
      </c>
      <c r="K276" s="46"/>
      <c r="L276" s="116">
        <f t="shared" si="337"/>
        <v>0</v>
      </c>
      <c r="M276" s="106"/>
      <c r="N276" s="116">
        <f t="shared" si="338"/>
        <v>0</v>
      </c>
      <c r="O276" s="46">
        <f t="shared" si="339"/>
        <v>720000</v>
      </c>
      <c r="P276" s="46">
        <f t="shared" si="340"/>
        <v>720000</v>
      </c>
      <c r="Q276" s="46">
        <v>720000.0</v>
      </c>
      <c r="R276" s="101"/>
      <c r="S276" s="101"/>
      <c r="T276" s="99"/>
      <c r="U276" s="99"/>
      <c r="V276" s="99"/>
      <c r="W276" s="99"/>
      <c r="X276" s="99"/>
      <c r="Y276" s="99"/>
      <c r="Z276" s="99"/>
      <c r="AA276" s="99"/>
      <c r="AB276" s="99"/>
      <c r="AC276" s="99"/>
      <c r="AD276" s="99"/>
      <c r="AE276" s="99"/>
      <c r="AF276" s="99"/>
      <c r="AG276" s="99"/>
      <c r="AH276" s="99"/>
      <c r="AI276" s="99"/>
      <c r="AJ276" s="99"/>
      <c r="AK276" s="99"/>
      <c r="AL276" s="99"/>
      <c r="AM276" s="99"/>
    </row>
    <row r="277" ht="15.75" customHeight="1">
      <c r="A277" s="104"/>
      <c r="B277" s="104"/>
      <c r="C277" s="104"/>
      <c r="D277" s="110" t="s">
        <v>24</v>
      </c>
      <c r="E277" s="110" t="s">
        <v>335</v>
      </c>
      <c r="G277" s="136">
        <v>100.0</v>
      </c>
      <c r="H277" s="136" t="s">
        <v>95</v>
      </c>
      <c r="I277" s="137">
        <v>93000.0</v>
      </c>
      <c r="J277" s="46">
        <f t="shared" si="336"/>
        <v>9300000</v>
      </c>
      <c r="K277" s="46"/>
      <c r="L277" s="116">
        <f t="shared" si="337"/>
        <v>0</v>
      </c>
      <c r="M277" s="106"/>
      <c r="N277" s="116">
        <f t="shared" si="338"/>
        <v>0</v>
      </c>
      <c r="O277" s="46">
        <f t="shared" si="339"/>
        <v>9300000</v>
      </c>
      <c r="P277" s="46">
        <f t="shared" si="340"/>
        <v>9300000</v>
      </c>
      <c r="Q277" s="46">
        <v>9300000.0</v>
      </c>
      <c r="R277" s="101"/>
      <c r="S277" s="101"/>
      <c r="T277" s="99"/>
      <c r="U277" s="99"/>
      <c r="V277" s="99"/>
      <c r="W277" s="99"/>
      <c r="X277" s="99"/>
      <c r="Y277" s="99"/>
      <c r="Z277" s="99"/>
      <c r="AA277" s="99"/>
      <c r="AB277" s="99"/>
      <c r="AC277" s="99"/>
      <c r="AD277" s="99"/>
      <c r="AE277" s="99"/>
      <c r="AF277" s="99"/>
      <c r="AG277" s="99"/>
      <c r="AH277" s="99"/>
      <c r="AI277" s="99"/>
      <c r="AJ277" s="99"/>
      <c r="AK277" s="99"/>
      <c r="AL277" s="99"/>
      <c r="AM277" s="99"/>
    </row>
    <row r="278" ht="12.75" customHeight="1">
      <c r="A278" s="104"/>
      <c r="B278" s="104"/>
      <c r="C278" s="104"/>
      <c r="D278" s="110" t="s">
        <v>24</v>
      </c>
      <c r="E278" s="110" t="s">
        <v>336</v>
      </c>
      <c r="G278" s="136">
        <v>100.0</v>
      </c>
      <c r="H278" s="136" t="s">
        <v>95</v>
      </c>
      <c r="I278" s="137">
        <v>53000.0</v>
      </c>
      <c r="J278" s="46">
        <f t="shared" si="336"/>
        <v>5300000</v>
      </c>
      <c r="K278" s="46"/>
      <c r="L278" s="116">
        <f t="shared" si="337"/>
        <v>0</v>
      </c>
      <c r="M278" s="106"/>
      <c r="N278" s="116">
        <f t="shared" si="338"/>
        <v>0</v>
      </c>
      <c r="O278" s="46">
        <f t="shared" si="339"/>
        <v>5300000</v>
      </c>
      <c r="P278" s="46">
        <f t="shared" si="340"/>
        <v>5300000</v>
      </c>
      <c r="Q278" s="46">
        <v>5300000.0</v>
      </c>
      <c r="R278" s="101"/>
      <c r="S278" s="101"/>
      <c r="T278" s="99"/>
      <c r="U278" s="99"/>
      <c r="V278" s="99"/>
      <c r="W278" s="99"/>
      <c r="X278" s="99"/>
      <c r="Y278" s="99"/>
      <c r="Z278" s="99"/>
      <c r="AA278" s="99"/>
      <c r="AB278" s="99"/>
      <c r="AC278" s="99"/>
      <c r="AD278" s="99"/>
      <c r="AE278" s="99"/>
      <c r="AF278" s="99"/>
      <c r="AG278" s="99"/>
      <c r="AH278" s="99"/>
      <c r="AI278" s="99"/>
      <c r="AJ278" s="99"/>
      <c r="AK278" s="99"/>
      <c r="AL278" s="99"/>
      <c r="AM278" s="99"/>
    </row>
    <row r="279" ht="12.75" customHeight="1">
      <c r="A279" s="104"/>
      <c r="B279" s="104"/>
      <c r="C279" s="104"/>
      <c r="D279" s="110" t="s">
        <v>24</v>
      </c>
      <c r="E279" s="110" t="s">
        <v>337</v>
      </c>
      <c r="G279" s="136">
        <v>100.0</v>
      </c>
      <c r="H279" s="136" t="s">
        <v>95</v>
      </c>
      <c r="I279" s="137">
        <v>15000.0</v>
      </c>
      <c r="J279" s="46">
        <f t="shared" si="336"/>
        <v>1500000</v>
      </c>
      <c r="K279" s="46"/>
      <c r="L279" s="116">
        <f t="shared" si="337"/>
        <v>0</v>
      </c>
      <c r="M279" s="106"/>
      <c r="N279" s="116">
        <f t="shared" si="338"/>
        <v>0</v>
      </c>
      <c r="O279" s="46">
        <f t="shared" si="339"/>
        <v>1500000</v>
      </c>
      <c r="P279" s="46">
        <f t="shared" si="340"/>
        <v>1500000</v>
      </c>
      <c r="Q279" s="46">
        <v>1500000.0</v>
      </c>
      <c r="R279" s="101"/>
      <c r="S279" s="101"/>
      <c r="T279" s="99"/>
      <c r="U279" s="99"/>
      <c r="V279" s="99"/>
      <c r="W279" s="99"/>
      <c r="X279" s="99"/>
      <c r="Y279" s="99"/>
      <c r="Z279" s="99"/>
      <c r="AA279" s="99"/>
      <c r="AB279" s="99"/>
      <c r="AC279" s="99"/>
      <c r="AD279" s="99"/>
      <c r="AE279" s="99"/>
      <c r="AF279" s="99"/>
      <c r="AG279" s="99"/>
      <c r="AH279" s="99"/>
      <c r="AI279" s="99"/>
      <c r="AJ279" s="99"/>
      <c r="AK279" s="99"/>
      <c r="AL279" s="99"/>
      <c r="AM279" s="99"/>
    </row>
    <row r="280" ht="12.75" customHeight="1">
      <c r="A280" s="144" t="s">
        <v>141</v>
      </c>
      <c r="D280" s="144" t="s">
        <v>142</v>
      </c>
      <c r="G280" s="104"/>
      <c r="H280" s="128"/>
      <c r="I280" s="104"/>
      <c r="J280" s="129">
        <f t="shared" ref="J280:K280" si="341">J281</f>
        <v>283000000</v>
      </c>
      <c r="K280" s="43">
        <f t="shared" si="341"/>
        <v>0</v>
      </c>
      <c r="L280" s="116">
        <f t="shared" si="337"/>
        <v>0</v>
      </c>
      <c r="M280" s="106"/>
      <c r="N280" s="116">
        <f t="shared" si="338"/>
        <v>0</v>
      </c>
      <c r="O280" s="43">
        <f t="shared" ref="O280:P280" si="342">O281</f>
        <v>283000000</v>
      </c>
      <c r="P280" s="43">
        <f t="shared" si="342"/>
        <v>283000000</v>
      </c>
      <c r="Q280" s="43">
        <v>2.83E8</v>
      </c>
      <c r="R280" s="101"/>
      <c r="S280" s="101"/>
      <c r="T280" s="99"/>
      <c r="U280" s="99"/>
      <c r="V280" s="99"/>
      <c r="W280" s="99"/>
      <c r="X280" s="99"/>
      <c r="Y280" s="99"/>
      <c r="Z280" s="99"/>
      <c r="AA280" s="99"/>
      <c r="AB280" s="99"/>
      <c r="AC280" s="99"/>
      <c r="AD280" s="99"/>
      <c r="AE280" s="99"/>
      <c r="AF280" s="99"/>
      <c r="AG280" s="99"/>
      <c r="AH280" s="99"/>
      <c r="AI280" s="99"/>
      <c r="AJ280" s="99"/>
      <c r="AK280" s="99"/>
      <c r="AL280" s="99"/>
      <c r="AM280" s="99"/>
    </row>
    <row r="281" ht="12.75" customHeight="1">
      <c r="A281" s="110" t="s">
        <v>68</v>
      </c>
      <c r="D281" s="145" t="s">
        <v>69</v>
      </c>
      <c r="G281" s="104"/>
      <c r="H281" s="133"/>
      <c r="I281" s="104"/>
      <c r="J281" s="134">
        <f t="shared" ref="J281:K281" si="343">SUM(J283:J285)</f>
        <v>283000000</v>
      </c>
      <c r="K281" s="46">
        <f t="shared" si="343"/>
        <v>0</v>
      </c>
      <c r="L281" s="116">
        <f t="shared" si="337"/>
        <v>0</v>
      </c>
      <c r="M281" s="106"/>
      <c r="N281" s="116">
        <f t="shared" si="338"/>
        <v>0</v>
      </c>
      <c r="O281" s="46">
        <f t="shared" ref="O281:P281" si="344">SUM(O283:O285)</f>
        <v>283000000</v>
      </c>
      <c r="P281" s="46">
        <f t="shared" si="344"/>
        <v>283000000</v>
      </c>
      <c r="Q281" s="46">
        <v>2.83E8</v>
      </c>
      <c r="R281" s="101"/>
      <c r="S281" s="101"/>
      <c r="T281" s="99"/>
      <c r="U281" s="99"/>
      <c r="V281" s="99"/>
      <c r="W281" s="99"/>
      <c r="X281" s="99"/>
      <c r="Y281" s="99"/>
      <c r="Z281" s="99"/>
      <c r="AA281" s="99"/>
      <c r="AB281" s="99"/>
      <c r="AC281" s="99"/>
      <c r="AD281" s="99"/>
      <c r="AE281" s="99"/>
      <c r="AF281" s="99"/>
      <c r="AG281" s="99"/>
      <c r="AH281" s="99"/>
      <c r="AI281" s="99"/>
      <c r="AJ281" s="99"/>
      <c r="AK281" s="99"/>
      <c r="AL281" s="99"/>
      <c r="AM281" s="99"/>
    </row>
    <row r="282" ht="12.75" customHeight="1">
      <c r="A282" s="104"/>
      <c r="B282" s="104"/>
      <c r="C282" s="104"/>
      <c r="D282" s="110" t="s">
        <v>23</v>
      </c>
      <c r="G282" s="104"/>
      <c r="H282" s="104"/>
      <c r="I282" s="104"/>
      <c r="J282" s="111"/>
      <c r="K282" s="111"/>
      <c r="L282" s="116"/>
      <c r="M282" s="106"/>
      <c r="N282" s="116"/>
      <c r="O282" s="111"/>
      <c r="P282" s="111"/>
      <c r="Q282" s="111"/>
      <c r="R282" s="101"/>
      <c r="S282" s="101"/>
      <c r="T282" s="99"/>
      <c r="U282" s="99"/>
      <c r="V282" s="99"/>
      <c r="W282" s="99"/>
      <c r="X282" s="99"/>
      <c r="Y282" s="99"/>
      <c r="Z282" s="99"/>
      <c r="AA282" s="99"/>
      <c r="AB282" s="99"/>
      <c r="AC282" s="99"/>
      <c r="AD282" s="99"/>
      <c r="AE282" s="99"/>
      <c r="AF282" s="99"/>
      <c r="AG282" s="99"/>
      <c r="AH282" s="99"/>
      <c r="AI282" s="99"/>
      <c r="AJ282" s="99"/>
      <c r="AK282" s="99"/>
      <c r="AL282" s="99"/>
      <c r="AM282" s="99"/>
    </row>
    <row r="283" ht="15.75" customHeight="1">
      <c r="A283" s="104"/>
      <c r="B283" s="104"/>
      <c r="C283" s="104"/>
      <c r="D283" s="110" t="s">
        <v>24</v>
      </c>
      <c r="E283" s="110" t="s">
        <v>338</v>
      </c>
      <c r="G283" s="136">
        <v>100.0</v>
      </c>
      <c r="H283" s="136" t="s">
        <v>95</v>
      </c>
      <c r="I283" s="137">
        <v>2000000.0</v>
      </c>
      <c r="J283" s="46">
        <f t="shared" ref="J283:J285" si="345">G283*I283</f>
        <v>200000000</v>
      </c>
      <c r="K283" s="46"/>
      <c r="L283" s="116">
        <f t="shared" ref="L283:L287" si="346">(K283/J283)*100</f>
        <v>0</v>
      </c>
      <c r="M283" s="106"/>
      <c r="N283" s="116">
        <f t="shared" ref="N283:N287" si="347">(K283/J283)*100</f>
        <v>0</v>
      </c>
      <c r="O283" s="46">
        <f t="shared" ref="O283:O285" si="348">J283-K283</f>
        <v>200000000</v>
      </c>
      <c r="P283" s="46">
        <f t="shared" ref="P283:P285" si="349">J283-M283</f>
        <v>200000000</v>
      </c>
      <c r="Q283" s="46">
        <v>2.0E8</v>
      </c>
      <c r="R283" s="101"/>
      <c r="S283" s="101"/>
      <c r="T283" s="99"/>
      <c r="U283" s="99"/>
      <c r="V283" s="99"/>
      <c r="W283" s="99"/>
      <c r="X283" s="99"/>
      <c r="Y283" s="99"/>
      <c r="Z283" s="99"/>
      <c r="AA283" s="99"/>
      <c r="AB283" s="99"/>
      <c r="AC283" s="99"/>
      <c r="AD283" s="99"/>
      <c r="AE283" s="99"/>
      <c r="AF283" s="99"/>
      <c r="AG283" s="99"/>
      <c r="AH283" s="99"/>
      <c r="AI283" s="99"/>
      <c r="AJ283" s="99"/>
      <c r="AK283" s="99"/>
      <c r="AL283" s="99"/>
      <c r="AM283" s="99"/>
    </row>
    <row r="284" ht="15.75" customHeight="1">
      <c r="A284" s="104"/>
      <c r="B284" s="104"/>
      <c r="C284" s="104"/>
      <c r="D284" s="110" t="s">
        <v>24</v>
      </c>
      <c r="E284" s="110" t="s">
        <v>339</v>
      </c>
      <c r="G284" s="136">
        <v>100.0</v>
      </c>
      <c r="H284" s="136" t="s">
        <v>95</v>
      </c>
      <c r="I284" s="137">
        <v>750000.0</v>
      </c>
      <c r="J284" s="46">
        <f t="shared" si="345"/>
        <v>75000000</v>
      </c>
      <c r="K284" s="46"/>
      <c r="L284" s="116">
        <f t="shared" si="346"/>
        <v>0</v>
      </c>
      <c r="M284" s="106"/>
      <c r="N284" s="116">
        <f t="shared" si="347"/>
        <v>0</v>
      </c>
      <c r="O284" s="46">
        <f t="shared" si="348"/>
        <v>75000000</v>
      </c>
      <c r="P284" s="46">
        <f t="shared" si="349"/>
        <v>75000000</v>
      </c>
      <c r="Q284" s="46">
        <v>7.5E7</v>
      </c>
      <c r="R284" s="101"/>
      <c r="S284" s="101"/>
      <c r="T284" s="99"/>
      <c r="U284" s="99"/>
      <c r="V284" s="99"/>
      <c r="W284" s="99"/>
      <c r="X284" s="99"/>
      <c r="Y284" s="99"/>
      <c r="Z284" s="99"/>
      <c r="AA284" s="99"/>
      <c r="AB284" s="99"/>
      <c r="AC284" s="99"/>
      <c r="AD284" s="99"/>
      <c r="AE284" s="99"/>
      <c r="AF284" s="99"/>
      <c r="AG284" s="99"/>
      <c r="AH284" s="99"/>
      <c r="AI284" s="99"/>
      <c r="AJ284" s="99"/>
      <c r="AK284" s="99"/>
      <c r="AL284" s="99"/>
      <c r="AM284" s="99"/>
    </row>
    <row r="285" ht="15.75" customHeight="1">
      <c r="A285" s="104"/>
      <c r="B285" s="104"/>
      <c r="C285" s="104"/>
      <c r="D285" s="110" t="s">
        <v>24</v>
      </c>
      <c r="E285" s="110" t="s">
        <v>145</v>
      </c>
      <c r="G285" s="136">
        <v>4.0</v>
      </c>
      <c r="H285" s="136" t="s">
        <v>95</v>
      </c>
      <c r="I285" s="137">
        <v>2000000.0</v>
      </c>
      <c r="J285" s="46">
        <f t="shared" si="345"/>
        <v>8000000</v>
      </c>
      <c r="K285" s="46"/>
      <c r="L285" s="116">
        <f t="shared" si="346"/>
        <v>0</v>
      </c>
      <c r="M285" s="106"/>
      <c r="N285" s="116">
        <f t="shared" si="347"/>
        <v>0</v>
      </c>
      <c r="O285" s="46">
        <f t="shared" si="348"/>
        <v>8000000</v>
      </c>
      <c r="P285" s="46">
        <f t="shared" si="349"/>
        <v>8000000</v>
      </c>
      <c r="Q285" s="46">
        <v>8000000.0</v>
      </c>
      <c r="R285" s="101"/>
      <c r="S285" s="101"/>
      <c r="T285" s="99"/>
      <c r="U285" s="99"/>
      <c r="V285" s="99"/>
      <c r="W285" s="99"/>
      <c r="X285" s="99"/>
      <c r="Y285" s="99"/>
      <c r="Z285" s="99"/>
      <c r="AA285" s="99"/>
      <c r="AB285" s="99"/>
      <c r="AC285" s="99"/>
      <c r="AD285" s="99"/>
      <c r="AE285" s="99"/>
      <c r="AF285" s="99"/>
      <c r="AG285" s="99"/>
      <c r="AH285" s="99"/>
      <c r="AI285" s="99"/>
      <c r="AJ285" s="99"/>
      <c r="AK285" s="99"/>
      <c r="AL285" s="99"/>
      <c r="AM285" s="99"/>
    </row>
    <row r="286" ht="12.75" customHeight="1">
      <c r="A286" s="144" t="s">
        <v>146</v>
      </c>
      <c r="D286" s="144" t="s">
        <v>147</v>
      </c>
      <c r="G286" s="104"/>
      <c r="H286" s="128"/>
      <c r="I286" s="104"/>
      <c r="J286" s="129">
        <f t="shared" ref="J286:K286" si="350">J287+J294</f>
        <v>294800000</v>
      </c>
      <c r="K286" s="43">
        <f t="shared" si="350"/>
        <v>0</v>
      </c>
      <c r="L286" s="116">
        <f t="shared" si="346"/>
        <v>0</v>
      </c>
      <c r="M286" s="106"/>
      <c r="N286" s="116">
        <f t="shared" si="347"/>
        <v>0</v>
      </c>
      <c r="O286" s="43">
        <f t="shared" ref="O286:P286" si="351">O287+O294</f>
        <v>294800000</v>
      </c>
      <c r="P286" s="43">
        <f t="shared" si="351"/>
        <v>294800000</v>
      </c>
      <c r="Q286" s="43">
        <v>2.948E8</v>
      </c>
      <c r="R286" s="101"/>
      <c r="S286" s="101"/>
      <c r="T286" s="99"/>
      <c r="U286" s="99"/>
      <c r="V286" s="99"/>
      <c r="W286" s="99"/>
      <c r="X286" s="99"/>
      <c r="Y286" s="99"/>
      <c r="Z286" s="99"/>
      <c r="AA286" s="99"/>
      <c r="AB286" s="99"/>
      <c r="AC286" s="99"/>
      <c r="AD286" s="99"/>
      <c r="AE286" s="99"/>
      <c r="AF286" s="99"/>
      <c r="AG286" s="99"/>
      <c r="AH286" s="99"/>
      <c r="AI286" s="99"/>
      <c r="AJ286" s="99"/>
      <c r="AK286" s="99"/>
      <c r="AL286" s="99"/>
      <c r="AM286" s="99"/>
    </row>
    <row r="287" ht="12.75" customHeight="1">
      <c r="A287" s="110" t="s">
        <v>74</v>
      </c>
      <c r="D287" s="145" t="s">
        <v>75</v>
      </c>
      <c r="G287" s="104"/>
      <c r="H287" s="133"/>
      <c r="I287" s="104"/>
      <c r="J287" s="134">
        <f t="shared" ref="J287:K287" si="352">SUM(J289:J293)</f>
        <v>270800000</v>
      </c>
      <c r="K287" s="46">
        <f t="shared" si="352"/>
        <v>0</v>
      </c>
      <c r="L287" s="116">
        <f t="shared" si="346"/>
        <v>0</v>
      </c>
      <c r="M287" s="106"/>
      <c r="N287" s="116">
        <f t="shared" si="347"/>
        <v>0</v>
      </c>
      <c r="O287" s="46">
        <f t="shared" ref="O287:P287" si="353">SUM(O289:O293)</f>
        <v>270800000</v>
      </c>
      <c r="P287" s="46">
        <f t="shared" si="353"/>
        <v>270800000</v>
      </c>
      <c r="Q287" s="46">
        <v>2.708E8</v>
      </c>
      <c r="R287" s="101"/>
      <c r="S287" s="101"/>
      <c r="T287" s="99"/>
      <c r="U287" s="99"/>
      <c r="V287" s="99"/>
      <c r="W287" s="99"/>
      <c r="X287" s="99"/>
      <c r="Y287" s="99"/>
      <c r="Z287" s="99"/>
      <c r="AA287" s="99"/>
      <c r="AB287" s="99"/>
      <c r="AC287" s="99"/>
      <c r="AD287" s="99"/>
      <c r="AE287" s="99"/>
      <c r="AF287" s="99"/>
      <c r="AG287" s="99"/>
      <c r="AH287" s="99"/>
      <c r="AI287" s="99"/>
      <c r="AJ287" s="99"/>
      <c r="AK287" s="99"/>
      <c r="AL287" s="99"/>
      <c r="AM287" s="99"/>
    </row>
    <row r="288" ht="12.75" customHeight="1">
      <c r="A288" s="104"/>
      <c r="B288" s="104"/>
      <c r="C288" s="104"/>
      <c r="D288" s="110" t="s">
        <v>23</v>
      </c>
      <c r="G288" s="104"/>
      <c r="H288" s="104"/>
      <c r="I288" s="104"/>
      <c r="J288" s="111"/>
      <c r="K288" s="111"/>
      <c r="L288" s="116"/>
      <c r="M288" s="106"/>
      <c r="N288" s="116"/>
      <c r="O288" s="111"/>
      <c r="P288" s="111"/>
      <c r="Q288" s="111"/>
      <c r="R288" s="101"/>
      <c r="S288" s="101"/>
      <c r="T288" s="99"/>
      <c r="U288" s="99"/>
      <c r="V288" s="99"/>
      <c r="W288" s="99"/>
      <c r="X288" s="99"/>
      <c r="Y288" s="99"/>
      <c r="Z288" s="99"/>
      <c r="AA288" s="99"/>
      <c r="AB288" s="99"/>
      <c r="AC288" s="99"/>
      <c r="AD288" s="99"/>
      <c r="AE288" s="99"/>
      <c r="AF288" s="99"/>
      <c r="AG288" s="99"/>
      <c r="AH288" s="99"/>
      <c r="AI288" s="99"/>
      <c r="AJ288" s="99"/>
      <c r="AK288" s="99"/>
      <c r="AL288" s="99"/>
      <c r="AM288" s="99"/>
    </row>
    <row r="289" ht="12.75" customHeight="1">
      <c r="A289" s="104"/>
      <c r="B289" s="104"/>
      <c r="C289" s="104"/>
      <c r="D289" s="110" t="s">
        <v>24</v>
      </c>
      <c r="E289" s="110" t="s">
        <v>291</v>
      </c>
      <c r="G289" s="136">
        <v>75.0</v>
      </c>
      <c r="H289" s="136" t="s">
        <v>95</v>
      </c>
      <c r="I289" s="137">
        <v>430000.0</v>
      </c>
      <c r="J289" s="46">
        <f t="shared" ref="J289:J293" si="354">G289*I289</f>
        <v>32250000</v>
      </c>
      <c r="K289" s="46"/>
      <c r="L289" s="116">
        <f t="shared" ref="L289:L294" si="355">(K289/J289)*100</f>
        <v>0</v>
      </c>
      <c r="M289" s="106"/>
      <c r="N289" s="116">
        <f t="shared" ref="N289:N294" si="356">(K289/J289)*100</f>
        <v>0</v>
      </c>
      <c r="O289" s="46">
        <f t="shared" ref="O289:O293" si="357">J289-K289</f>
        <v>32250000</v>
      </c>
      <c r="P289" s="46">
        <f t="shared" ref="P289:P293" si="358">J289-M289</f>
        <v>32250000</v>
      </c>
      <c r="Q289" s="46">
        <v>3.225E7</v>
      </c>
      <c r="R289" s="101"/>
      <c r="S289" s="101"/>
      <c r="T289" s="99"/>
      <c r="U289" s="99"/>
      <c r="V289" s="99"/>
      <c r="W289" s="99"/>
      <c r="X289" s="99"/>
      <c r="Y289" s="99"/>
      <c r="Z289" s="99"/>
      <c r="AA289" s="99"/>
      <c r="AB289" s="99"/>
      <c r="AC289" s="99"/>
      <c r="AD289" s="99"/>
      <c r="AE289" s="99"/>
      <c r="AF289" s="99"/>
      <c r="AG289" s="99"/>
      <c r="AH289" s="99"/>
      <c r="AI289" s="99"/>
      <c r="AJ289" s="99"/>
      <c r="AK289" s="99"/>
      <c r="AL289" s="99"/>
      <c r="AM289" s="99"/>
    </row>
    <row r="290" ht="15.75" customHeight="1">
      <c r="A290" s="104"/>
      <c r="B290" s="104"/>
      <c r="C290" s="104"/>
      <c r="D290" s="110" t="s">
        <v>24</v>
      </c>
      <c r="E290" s="110" t="s">
        <v>292</v>
      </c>
      <c r="G290" s="136">
        <v>50.0</v>
      </c>
      <c r="H290" s="136" t="s">
        <v>95</v>
      </c>
      <c r="I290" s="137">
        <v>550000.0</v>
      </c>
      <c r="J290" s="46">
        <f t="shared" si="354"/>
        <v>27500000</v>
      </c>
      <c r="K290" s="46"/>
      <c r="L290" s="116">
        <f t="shared" si="355"/>
        <v>0</v>
      </c>
      <c r="M290" s="106"/>
      <c r="N290" s="116">
        <f t="shared" si="356"/>
        <v>0</v>
      </c>
      <c r="O290" s="46">
        <f t="shared" si="357"/>
        <v>27500000</v>
      </c>
      <c r="P290" s="46">
        <f t="shared" si="358"/>
        <v>27500000</v>
      </c>
      <c r="Q290" s="46">
        <v>2.75E7</v>
      </c>
      <c r="R290" s="101"/>
      <c r="S290" s="101"/>
      <c r="T290" s="99"/>
      <c r="U290" s="99"/>
      <c r="V290" s="99"/>
      <c r="W290" s="99"/>
      <c r="X290" s="99"/>
      <c r="Y290" s="99"/>
      <c r="Z290" s="99"/>
      <c r="AA290" s="99"/>
      <c r="AB290" s="99"/>
      <c r="AC290" s="99"/>
      <c r="AD290" s="99"/>
      <c r="AE290" s="99"/>
      <c r="AF290" s="99"/>
      <c r="AG290" s="99"/>
      <c r="AH290" s="99"/>
      <c r="AI290" s="99"/>
      <c r="AJ290" s="99"/>
      <c r="AK290" s="99"/>
      <c r="AL290" s="99"/>
      <c r="AM290" s="99"/>
    </row>
    <row r="291" ht="12.75" customHeight="1">
      <c r="A291" s="104"/>
      <c r="B291" s="104"/>
      <c r="C291" s="104"/>
      <c r="D291" s="110" t="s">
        <v>24</v>
      </c>
      <c r="E291" s="110" t="s">
        <v>293</v>
      </c>
      <c r="G291" s="136">
        <v>25.0</v>
      </c>
      <c r="H291" s="136" t="s">
        <v>95</v>
      </c>
      <c r="I291" s="137">
        <v>602000.0</v>
      </c>
      <c r="J291" s="46">
        <f t="shared" si="354"/>
        <v>15050000</v>
      </c>
      <c r="K291" s="46"/>
      <c r="L291" s="116">
        <f t="shared" si="355"/>
        <v>0</v>
      </c>
      <c r="M291" s="106"/>
      <c r="N291" s="116">
        <f t="shared" si="356"/>
        <v>0</v>
      </c>
      <c r="O291" s="46">
        <f t="shared" si="357"/>
        <v>15050000</v>
      </c>
      <c r="P291" s="46">
        <f t="shared" si="358"/>
        <v>15050000</v>
      </c>
      <c r="Q291" s="46">
        <v>1.505E7</v>
      </c>
      <c r="R291" s="101"/>
      <c r="S291" s="101"/>
      <c r="T291" s="99"/>
      <c r="U291" s="99"/>
      <c r="V291" s="99"/>
      <c r="W291" s="99"/>
      <c r="X291" s="99"/>
      <c r="Y291" s="99"/>
      <c r="Z291" s="99"/>
      <c r="AA291" s="99"/>
      <c r="AB291" s="99"/>
      <c r="AC291" s="99"/>
      <c r="AD291" s="99"/>
      <c r="AE291" s="99"/>
      <c r="AF291" s="99"/>
      <c r="AG291" s="99"/>
      <c r="AH291" s="99"/>
      <c r="AI291" s="99"/>
      <c r="AJ291" s="99"/>
      <c r="AK291" s="99"/>
      <c r="AL291" s="99"/>
      <c r="AM291" s="99"/>
    </row>
    <row r="292" ht="15.75" customHeight="1">
      <c r="A292" s="104"/>
      <c r="B292" s="104"/>
      <c r="C292" s="104"/>
      <c r="D292" s="110" t="s">
        <v>24</v>
      </c>
      <c r="E292" s="110" t="s">
        <v>340</v>
      </c>
      <c r="G292" s="136">
        <v>200.0</v>
      </c>
      <c r="H292" s="136" t="s">
        <v>95</v>
      </c>
      <c r="I292" s="137">
        <v>500000.0</v>
      </c>
      <c r="J292" s="46">
        <f t="shared" si="354"/>
        <v>100000000</v>
      </c>
      <c r="K292" s="46"/>
      <c r="L292" s="116">
        <f t="shared" si="355"/>
        <v>0</v>
      </c>
      <c r="M292" s="106"/>
      <c r="N292" s="116">
        <f t="shared" si="356"/>
        <v>0</v>
      </c>
      <c r="O292" s="46">
        <f t="shared" si="357"/>
        <v>100000000</v>
      </c>
      <c r="P292" s="46">
        <f t="shared" si="358"/>
        <v>100000000</v>
      </c>
      <c r="Q292" s="46">
        <v>1.0E8</v>
      </c>
      <c r="R292" s="101"/>
      <c r="S292" s="101"/>
      <c r="T292" s="99"/>
      <c r="U292" s="99"/>
      <c r="V292" s="99"/>
      <c r="W292" s="99"/>
      <c r="X292" s="99"/>
      <c r="Y292" s="99"/>
      <c r="Z292" s="99"/>
      <c r="AA292" s="99"/>
      <c r="AB292" s="99"/>
      <c r="AC292" s="99"/>
      <c r="AD292" s="99"/>
      <c r="AE292" s="99"/>
      <c r="AF292" s="99"/>
      <c r="AG292" s="99"/>
      <c r="AH292" s="99"/>
      <c r="AI292" s="99"/>
      <c r="AJ292" s="99"/>
      <c r="AK292" s="99"/>
      <c r="AL292" s="99"/>
      <c r="AM292" s="99"/>
    </row>
    <row r="293" ht="15.75" customHeight="1">
      <c r="A293" s="104"/>
      <c r="B293" s="104"/>
      <c r="C293" s="104"/>
      <c r="D293" s="110" t="s">
        <v>24</v>
      </c>
      <c r="E293" s="110" t="s">
        <v>341</v>
      </c>
      <c r="G293" s="136">
        <v>300.0</v>
      </c>
      <c r="H293" s="136" t="s">
        <v>95</v>
      </c>
      <c r="I293" s="137">
        <v>320000.0</v>
      </c>
      <c r="J293" s="46">
        <f t="shared" si="354"/>
        <v>96000000</v>
      </c>
      <c r="K293" s="46"/>
      <c r="L293" s="116">
        <f t="shared" si="355"/>
        <v>0</v>
      </c>
      <c r="M293" s="106"/>
      <c r="N293" s="116">
        <f t="shared" si="356"/>
        <v>0</v>
      </c>
      <c r="O293" s="46">
        <f t="shared" si="357"/>
        <v>96000000</v>
      </c>
      <c r="P293" s="46">
        <f t="shared" si="358"/>
        <v>96000000</v>
      </c>
      <c r="Q293" s="46">
        <v>9.6E7</v>
      </c>
      <c r="R293" s="101"/>
      <c r="S293" s="101"/>
      <c r="T293" s="99"/>
      <c r="U293" s="99"/>
      <c r="V293" s="99"/>
      <c r="W293" s="99"/>
      <c r="X293" s="99"/>
      <c r="Y293" s="99"/>
      <c r="Z293" s="99"/>
      <c r="AA293" s="99"/>
      <c r="AB293" s="99"/>
      <c r="AC293" s="99"/>
      <c r="AD293" s="99"/>
      <c r="AE293" s="99"/>
      <c r="AF293" s="99"/>
      <c r="AG293" s="99"/>
      <c r="AH293" s="99"/>
      <c r="AI293" s="99"/>
      <c r="AJ293" s="99"/>
      <c r="AK293" s="99"/>
      <c r="AL293" s="99"/>
      <c r="AM293" s="99"/>
    </row>
    <row r="294" ht="12.75" customHeight="1">
      <c r="A294" s="110" t="s">
        <v>79</v>
      </c>
      <c r="D294" s="145" t="s">
        <v>80</v>
      </c>
      <c r="G294" s="104"/>
      <c r="H294" s="133"/>
      <c r="I294" s="104"/>
      <c r="J294" s="134">
        <f t="shared" ref="J294:K294" si="359">J296</f>
        <v>24000000</v>
      </c>
      <c r="K294" s="46" t="str">
        <f t="shared" si="359"/>
        <v/>
      </c>
      <c r="L294" s="116">
        <f t="shared" si="355"/>
        <v>0</v>
      </c>
      <c r="M294" s="106"/>
      <c r="N294" s="116">
        <f t="shared" si="356"/>
        <v>0</v>
      </c>
      <c r="O294" s="46">
        <f t="shared" ref="O294:P294" si="360">O296</f>
        <v>24000000</v>
      </c>
      <c r="P294" s="46">
        <f t="shared" si="360"/>
        <v>24000000</v>
      </c>
      <c r="Q294" s="46">
        <v>2.4E7</v>
      </c>
      <c r="R294" s="101"/>
      <c r="S294" s="101"/>
      <c r="T294" s="99"/>
      <c r="U294" s="99"/>
      <c r="V294" s="99"/>
      <c r="W294" s="99"/>
      <c r="X294" s="99"/>
      <c r="Y294" s="99"/>
      <c r="Z294" s="99"/>
      <c r="AA294" s="99"/>
      <c r="AB294" s="99"/>
      <c r="AC294" s="99"/>
      <c r="AD294" s="99"/>
      <c r="AE294" s="99"/>
      <c r="AF294" s="99"/>
      <c r="AG294" s="99"/>
      <c r="AH294" s="99"/>
      <c r="AI294" s="99"/>
      <c r="AJ294" s="99"/>
      <c r="AK294" s="99"/>
      <c r="AL294" s="99"/>
      <c r="AM294" s="99"/>
    </row>
    <row r="295" ht="12.75" customHeight="1">
      <c r="A295" s="104"/>
      <c r="B295" s="104"/>
      <c r="C295" s="104"/>
      <c r="D295" s="110" t="s">
        <v>23</v>
      </c>
      <c r="G295" s="104"/>
      <c r="H295" s="104"/>
      <c r="I295" s="104"/>
      <c r="J295" s="111"/>
      <c r="K295" s="111"/>
      <c r="L295" s="116"/>
      <c r="M295" s="106"/>
      <c r="N295" s="116"/>
      <c r="O295" s="111"/>
      <c r="P295" s="111"/>
      <c r="Q295" s="111"/>
      <c r="R295" s="101"/>
      <c r="S295" s="101"/>
      <c r="T295" s="99"/>
      <c r="U295" s="99"/>
      <c r="V295" s="99"/>
      <c r="W295" s="99"/>
      <c r="X295" s="99"/>
      <c r="Y295" s="99"/>
      <c r="Z295" s="99"/>
      <c r="AA295" s="99"/>
      <c r="AB295" s="99"/>
      <c r="AC295" s="99"/>
      <c r="AD295" s="99"/>
      <c r="AE295" s="99"/>
      <c r="AF295" s="99"/>
      <c r="AG295" s="99"/>
      <c r="AH295" s="99"/>
      <c r="AI295" s="99"/>
      <c r="AJ295" s="99"/>
      <c r="AK295" s="99"/>
      <c r="AL295" s="99"/>
      <c r="AM295" s="99"/>
    </row>
    <row r="296" ht="12.75" customHeight="1">
      <c r="A296" s="104"/>
      <c r="B296" s="104"/>
      <c r="C296" s="104"/>
      <c r="D296" s="110" t="s">
        <v>24</v>
      </c>
      <c r="E296" s="110" t="s">
        <v>296</v>
      </c>
      <c r="G296" s="136">
        <v>160.0</v>
      </c>
      <c r="H296" s="136" t="s">
        <v>95</v>
      </c>
      <c r="I296" s="137">
        <v>150000.0</v>
      </c>
      <c r="J296" s="46">
        <f>G296*I296</f>
        <v>24000000</v>
      </c>
      <c r="K296" s="46"/>
      <c r="L296" s="147">
        <f t="shared" ref="L296:L584" si="362">(K296/J296)*100</f>
        <v>0</v>
      </c>
      <c r="M296" s="148"/>
      <c r="N296" s="147">
        <f>(K296/J296)*100</f>
        <v>0</v>
      </c>
      <c r="O296" s="46">
        <f>J296-K296</f>
        <v>24000000</v>
      </c>
      <c r="P296" s="46">
        <f>J296-M296</f>
        <v>24000000</v>
      </c>
      <c r="Q296" s="46">
        <v>2.4E7</v>
      </c>
      <c r="R296" s="101"/>
      <c r="S296" s="101"/>
      <c r="T296" s="99"/>
      <c r="U296" s="99"/>
      <c r="V296" s="99"/>
      <c r="W296" s="99"/>
      <c r="X296" s="99"/>
      <c r="Y296" s="99"/>
      <c r="Z296" s="99"/>
      <c r="AA296" s="99"/>
      <c r="AB296" s="99"/>
      <c r="AC296" s="99"/>
      <c r="AD296" s="99"/>
      <c r="AE296" s="99"/>
      <c r="AF296" s="99"/>
      <c r="AG296" s="99"/>
      <c r="AH296" s="99"/>
      <c r="AI296" s="99"/>
      <c r="AJ296" s="99"/>
      <c r="AK296" s="99"/>
      <c r="AL296" s="99"/>
      <c r="AM296" s="99"/>
    </row>
    <row r="297" ht="12.75" customHeight="1">
      <c r="A297" s="140" t="s">
        <v>345</v>
      </c>
      <c r="B297" s="121"/>
      <c r="C297" s="122"/>
      <c r="D297" s="140" t="s">
        <v>346</v>
      </c>
      <c r="E297" s="121"/>
      <c r="F297" s="122"/>
      <c r="G297" s="141" t="s">
        <v>306</v>
      </c>
      <c r="H297" s="141" t="s">
        <v>306</v>
      </c>
      <c r="I297" s="142"/>
      <c r="J297" s="125">
        <f t="shared" ref="J297:K297" si="361">J298+J312+J324+J337+J354+J363+J373+J378+J394+J408+J416+J424+J430</f>
        <v>4068871000</v>
      </c>
      <c r="K297" s="84">
        <f t="shared" si="361"/>
        <v>221025500</v>
      </c>
      <c r="L297" s="147">
        <f t="shared" si="362"/>
        <v>5.432108809</v>
      </c>
      <c r="M297" s="148"/>
      <c r="N297" s="149"/>
      <c r="O297" s="84">
        <f t="shared" ref="O297:P297" si="363">O298+O312+O324+O337+O354+O363+O373+O378+O394+O408+O416+O424+O430</f>
        <v>3847845500</v>
      </c>
      <c r="P297" s="84">
        <f t="shared" si="363"/>
        <v>4068871000</v>
      </c>
      <c r="Q297" s="143">
        <v>4.068871E9</v>
      </c>
      <c r="R297" s="101">
        <v>3.2522154E8</v>
      </c>
      <c r="S297" s="101" t="s">
        <v>347</v>
      </c>
      <c r="T297" s="99"/>
      <c r="U297" s="99"/>
      <c r="V297" s="99"/>
      <c r="W297" s="99"/>
      <c r="X297" s="99"/>
      <c r="Y297" s="99"/>
      <c r="Z297" s="99"/>
      <c r="AA297" s="99"/>
      <c r="AB297" s="99"/>
      <c r="AC297" s="99"/>
      <c r="AD297" s="99"/>
      <c r="AE297" s="99"/>
      <c r="AF297" s="99"/>
      <c r="AG297" s="99"/>
      <c r="AH297" s="99"/>
      <c r="AI297" s="99"/>
      <c r="AJ297" s="99"/>
      <c r="AK297" s="99"/>
      <c r="AL297" s="99"/>
      <c r="AM297" s="99"/>
    </row>
    <row r="298" ht="12.75" customHeight="1">
      <c r="A298" s="144" t="s">
        <v>20</v>
      </c>
      <c r="D298" s="144" t="s">
        <v>21</v>
      </c>
      <c r="G298" s="104"/>
      <c r="H298" s="104"/>
      <c r="I298" s="104"/>
      <c r="J298" s="129">
        <f t="shared" ref="J298:K298" si="364">J299+J308</f>
        <v>195140000</v>
      </c>
      <c r="K298" s="43">
        <f t="shared" si="364"/>
        <v>3528000</v>
      </c>
      <c r="L298" s="116">
        <f t="shared" si="362"/>
        <v>1.807932766</v>
      </c>
      <c r="M298" s="106"/>
      <c r="N298" s="105"/>
      <c r="O298" s="43">
        <f t="shared" ref="O298:P298" si="365">O299+O308</f>
        <v>191612000</v>
      </c>
      <c r="P298" s="43">
        <f t="shared" si="365"/>
        <v>195140000</v>
      </c>
      <c r="Q298" s="43">
        <v>1.9514E8</v>
      </c>
      <c r="R298" s="101"/>
      <c r="S298" s="101"/>
      <c r="T298" s="99"/>
      <c r="U298" s="99"/>
      <c r="V298" s="99"/>
      <c r="W298" s="99"/>
      <c r="X298" s="99"/>
      <c r="Y298" s="99"/>
      <c r="Z298" s="99"/>
      <c r="AA298" s="99"/>
      <c r="AB298" s="99"/>
      <c r="AC298" s="99"/>
      <c r="AD298" s="99"/>
      <c r="AE298" s="99"/>
      <c r="AF298" s="99"/>
      <c r="AG298" s="99"/>
      <c r="AH298" s="99"/>
      <c r="AI298" s="99"/>
      <c r="AJ298" s="99"/>
      <c r="AK298" s="99"/>
      <c r="AL298" s="99"/>
      <c r="AM298" s="99"/>
    </row>
    <row r="299" ht="12.75" customHeight="1">
      <c r="A299" s="110" t="s">
        <v>40</v>
      </c>
      <c r="D299" s="145" t="s">
        <v>22</v>
      </c>
      <c r="G299" s="104"/>
      <c r="H299" s="104"/>
      <c r="I299" s="104"/>
      <c r="J299" s="134">
        <f t="shared" ref="J299:K299" si="366">SUM(J301:J307)</f>
        <v>179140000</v>
      </c>
      <c r="K299" s="46">
        <f t="shared" si="366"/>
        <v>3528000</v>
      </c>
      <c r="L299" s="116">
        <f t="shared" si="362"/>
        <v>1.9694094</v>
      </c>
      <c r="M299" s="106"/>
      <c r="N299" s="105"/>
      <c r="O299" s="46">
        <f t="shared" ref="O299:P299" si="367">SUM(O301:O307)</f>
        <v>175612000</v>
      </c>
      <c r="P299" s="46">
        <f t="shared" si="367"/>
        <v>179140000</v>
      </c>
      <c r="Q299" s="46">
        <v>1.7914E8</v>
      </c>
      <c r="R299" s="101"/>
      <c r="S299" s="101"/>
      <c r="T299" s="99"/>
      <c r="U299" s="99"/>
      <c r="V299" s="99"/>
      <c r="W299" s="99"/>
      <c r="X299" s="99"/>
      <c r="Y299" s="99"/>
      <c r="Z299" s="99"/>
      <c r="AA299" s="99"/>
      <c r="AB299" s="99"/>
      <c r="AC299" s="99"/>
      <c r="AD299" s="99"/>
      <c r="AE299" s="99"/>
      <c r="AF299" s="99"/>
      <c r="AG299" s="99"/>
      <c r="AH299" s="99"/>
      <c r="AI299" s="99"/>
      <c r="AJ299" s="99"/>
      <c r="AK299" s="99"/>
      <c r="AL299" s="99"/>
      <c r="AM299" s="99"/>
    </row>
    <row r="300" ht="12.75" customHeight="1">
      <c r="A300" s="104"/>
      <c r="B300" s="104"/>
      <c r="C300" s="104"/>
      <c r="D300" s="110" t="s">
        <v>23</v>
      </c>
      <c r="G300" s="104"/>
      <c r="H300" s="104"/>
      <c r="I300" s="104"/>
      <c r="J300" s="111"/>
      <c r="K300" s="111"/>
      <c r="L300" s="116" t="str">
        <f t="shared" si="362"/>
        <v>#DIV/0!</v>
      </c>
      <c r="M300" s="106"/>
      <c r="N300" s="105"/>
      <c r="O300" s="111"/>
      <c r="P300" s="111"/>
      <c r="Q300" s="111"/>
      <c r="R300" s="101"/>
      <c r="S300" s="101"/>
      <c r="T300" s="99"/>
      <c r="U300" s="99"/>
      <c r="V300" s="99"/>
      <c r="W300" s="99"/>
      <c r="X300" s="99"/>
      <c r="Y300" s="99"/>
      <c r="Z300" s="99"/>
      <c r="AA300" s="99"/>
      <c r="AB300" s="99"/>
      <c r="AC300" s="99"/>
      <c r="AD300" s="99"/>
      <c r="AE300" s="99"/>
      <c r="AF300" s="99"/>
      <c r="AG300" s="99"/>
      <c r="AH300" s="99"/>
      <c r="AI300" s="99"/>
      <c r="AJ300" s="99"/>
      <c r="AK300" s="99"/>
      <c r="AL300" s="99"/>
      <c r="AM300" s="99"/>
    </row>
    <row r="301" ht="12.75" customHeight="1">
      <c r="A301" s="104"/>
      <c r="B301" s="104"/>
      <c r="C301" s="104"/>
      <c r="D301" s="110" t="s">
        <v>24</v>
      </c>
      <c r="E301" s="110" t="s">
        <v>246</v>
      </c>
      <c r="G301" s="136">
        <v>36.0</v>
      </c>
      <c r="H301" s="136" t="s">
        <v>26</v>
      </c>
      <c r="I301" s="137">
        <v>500000.0</v>
      </c>
      <c r="J301" s="46">
        <f t="shared" ref="J301:J307" si="368">G301*I301</f>
        <v>18000000</v>
      </c>
      <c r="K301" s="46"/>
      <c r="L301" s="116">
        <f t="shared" si="362"/>
        <v>0</v>
      </c>
      <c r="M301" s="106"/>
      <c r="N301" s="105"/>
      <c r="O301" s="46">
        <f t="shared" ref="O301:O307" si="369">J301-K301</f>
        <v>18000000</v>
      </c>
      <c r="P301" s="46">
        <f t="shared" ref="P301:P307" si="370">J301-M301</f>
        <v>18000000</v>
      </c>
      <c r="Q301" s="46">
        <v>1.8E7</v>
      </c>
      <c r="R301" s="101"/>
      <c r="S301" s="101"/>
      <c r="T301" s="99"/>
      <c r="U301" s="99"/>
      <c r="V301" s="99"/>
      <c r="W301" s="99"/>
      <c r="X301" s="99"/>
      <c r="Y301" s="99"/>
      <c r="Z301" s="99"/>
      <c r="AA301" s="99"/>
      <c r="AB301" s="99"/>
      <c r="AC301" s="99"/>
      <c r="AD301" s="99"/>
      <c r="AE301" s="99"/>
      <c r="AF301" s="99"/>
      <c r="AG301" s="99"/>
      <c r="AH301" s="99"/>
      <c r="AI301" s="99"/>
      <c r="AJ301" s="99"/>
      <c r="AK301" s="99"/>
      <c r="AL301" s="99"/>
      <c r="AM301" s="99"/>
    </row>
    <row r="302" ht="12.75" customHeight="1">
      <c r="A302" s="104"/>
      <c r="B302" s="104"/>
      <c r="C302" s="104"/>
      <c r="D302" s="110" t="s">
        <v>24</v>
      </c>
      <c r="E302" s="110" t="s">
        <v>27</v>
      </c>
      <c r="G302" s="136">
        <v>2.0</v>
      </c>
      <c r="H302" s="136" t="s">
        <v>26</v>
      </c>
      <c r="I302" s="137">
        <v>2000000.0</v>
      </c>
      <c r="J302" s="46">
        <f t="shared" si="368"/>
        <v>4000000</v>
      </c>
      <c r="K302" s="46"/>
      <c r="L302" s="116">
        <f t="shared" si="362"/>
        <v>0</v>
      </c>
      <c r="M302" s="106"/>
      <c r="N302" s="105"/>
      <c r="O302" s="46">
        <f t="shared" si="369"/>
        <v>4000000</v>
      </c>
      <c r="P302" s="46">
        <f t="shared" si="370"/>
        <v>4000000</v>
      </c>
      <c r="Q302" s="46">
        <v>4000000.0</v>
      </c>
      <c r="R302" s="101"/>
      <c r="S302" s="101"/>
      <c r="T302" s="99"/>
      <c r="U302" s="99"/>
      <c r="V302" s="99"/>
      <c r="W302" s="99"/>
      <c r="X302" s="99"/>
      <c r="Y302" s="99"/>
      <c r="Z302" s="99"/>
      <c r="AA302" s="99"/>
      <c r="AB302" s="99"/>
      <c r="AC302" s="99"/>
      <c r="AD302" s="99"/>
      <c r="AE302" s="99"/>
      <c r="AF302" s="99"/>
      <c r="AG302" s="99"/>
      <c r="AH302" s="99"/>
      <c r="AI302" s="99"/>
      <c r="AJ302" s="99"/>
      <c r="AK302" s="99"/>
      <c r="AL302" s="99"/>
      <c r="AM302" s="99"/>
    </row>
    <row r="303" ht="15.75" customHeight="1">
      <c r="A303" s="104"/>
      <c r="B303" s="104"/>
      <c r="C303" s="104"/>
      <c r="D303" s="110" t="s">
        <v>24</v>
      </c>
      <c r="E303" s="110" t="s">
        <v>28</v>
      </c>
      <c r="G303" s="136">
        <v>10.0</v>
      </c>
      <c r="H303" s="136" t="s">
        <v>26</v>
      </c>
      <c r="I303" s="137">
        <v>500000.0</v>
      </c>
      <c r="J303" s="46">
        <f t="shared" si="368"/>
        <v>5000000</v>
      </c>
      <c r="K303" s="46"/>
      <c r="L303" s="116">
        <f t="shared" si="362"/>
        <v>0</v>
      </c>
      <c r="M303" s="106"/>
      <c r="N303" s="105"/>
      <c r="O303" s="46">
        <f t="shared" si="369"/>
        <v>5000000</v>
      </c>
      <c r="P303" s="46">
        <f t="shared" si="370"/>
        <v>5000000</v>
      </c>
      <c r="Q303" s="46">
        <v>5000000.0</v>
      </c>
      <c r="R303" s="101"/>
      <c r="S303" s="101"/>
      <c r="T303" s="99"/>
      <c r="U303" s="99"/>
      <c r="V303" s="99"/>
      <c r="W303" s="99"/>
      <c r="X303" s="99"/>
      <c r="Y303" s="99"/>
      <c r="Z303" s="99"/>
      <c r="AA303" s="99"/>
      <c r="AB303" s="99"/>
      <c r="AC303" s="99"/>
      <c r="AD303" s="99"/>
      <c r="AE303" s="99"/>
      <c r="AF303" s="99"/>
      <c r="AG303" s="99"/>
      <c r="AH303" s="99"/>
      <c r="AI303" s="99"/>
      <c r="AJ303" s="99"/>
      <c r="AK303" s="99"/>
      <c r="AL303" s="99"/>
      <c r="AM303" s="99"/>
    </row>
    <row r="304" ht="12.75" customHeight="1">
      <c r="A304" s="104"/>
      <c r="B304" s="104"/>
      <c r="C304" s="104"/>
      <c r="D304" s="110" t="s">
        <v>24</v>
      </c>
      <c r="E304" s="110" t="s">
        <v>247</v>
      </c>
      <c r="G304" s="136">
        <v>300.0</v>
      </c>
      <c r="H304" s="136" t="s">
        <v>26</v>
      </c>
      <c r="I304" s="137">
        <v>25000.0</v>
      </c>
      <c r="J304" s="46">
        <f t="shared" si="368"/>
        <v>7500000</v>
      </c>
      <c r="K304" s="46"/>
      <c r="L304" s="116">
        <f t="shared" si="362"/>
        <v>0</v>
      </c>
      <c r="M304" s="106"/>
      <c r="N304" s="105"/>
      <c r="O304" s="46">
        <f t="shared" si="369"/>
        <v>7500000</v>
      </c>
      <c r="P304" s="46">
        <f t="shared" si="370"/>
        <v>7500000</v>
      </c>
      <c r="Q304" s="46">
        <v>7500000.0</v>
      </c>
      <c r="R304" s="101"/>
      <c r="S304" s="101"/>
      <c r="T304" s="99"/>
      <c r="U304" s="99"/>
      <c r="V304" s="99"/>
      <c r="W304" s="99"/>
      <c r="X304" s="99"/>
      <c r="Y304" s="99"/>
      <c r="Z304" s="99"/>
      <c r="AA304" s="99"/>
      <c r="AB304" s="99"/>
      <c r="AC304" s="99"/>
      <c r="AD304" s="99"/>
      <c r="AE304" s="99"/>
      <c r="AF304" s="99"/>
      <c r="AG304" s="99"/>
      <c r="AH304" s="99"/>
      <c r="AI304" s="99"/>
      <c r="AJ304" s="99"/>
      <c r="AK304" s="99"/>
      <c r="AL304" s="99"/>
      <c r="AM304" s="99"/>
    </row>
    <row r="305" ht="15.75" customHeight="1">
      <c r="A305" s="104"/>
      <c r="B305" s="104"/>
      <c r="C305" s="104"/>
      <c r="D305" s="110" t="s">
        <v>24</v>
      </c>
      <c r="E305" s="110" t="s">
        <v>31</v>
      </c>
      <c r="G305" s="136">
        <v>320.0</v>
      </c>
      <c r="H305" s="136" t="s">
        <v>26</v>
      </c>
      <c r="I305" s="137">
        <v>53000.0</v>
      </c>
      <c r="J305" s="46">
        <f t="shared" si="368"/>
        <v>16960000</v>
      </c>
      <c r="K305" s="46">
        <v>2401000.0</v>
      </c>
      <c r="L305" s="116">
        <f t="shared" si="362"/>
        <v>14.15683962</v>
      </c>
      <c r="M305" s="106"/>
      <c r="N305" s="105"/>
      <c r="O305" s="46">
        <f t="shared" si="369"/>
        <v>14559000</v>
      </c>
      <c r="P305" s="46">
        <f t="shared" si="370"/>
        <v>16960000</v>
      </c>
      <c r="Q305" s="46">
        <v>1.696E7</v>
      </c>
      <c r="R305" s="101"/>
      <c r="S305" s="101"/>
      <c r="T305" s="99"/>
      <c r="U305" s="99"/>
      <c r="V305" s="99"/>
      <c r="W305" s="99"/>
      <c r="X305" s="99"/>
      <c r="Y305" s="99"/>
      <c r="Z305" s="99"/>
      <c r="AA305" s="99"/>
      <c r="AB305" s="99"/>
      <c r="AC305" s="99"/>
      <c r="AD305" s="99"/>
      <c r="AE305" s="99"/>
      <c r="AF305" s="99"/>
      <c r="AG305" s="99"/>
      <c r="AH305" s="99"/>
      <c r="AI305" s="99"/>
      <c r="AJ305" s="99"/>
      <c r="AK305" s="99"/>
      <c r="AL305" s="99"/>
      <c r="AM305" s="99"/>
    </row>
    <row r="306" ht="15.75" customHeight="1">
      <c r="A306" s="104"/>
      <c r="B306" s="104"/>
      <c r="C306" s="104"/>
      <c r="D306" s="110" t="s">
        <v>24</v>
      </c>
      <c r="E306" s="110" t="s">
        <v>32</v>
      </c>
      <c r="G306" s="136">
        <v>320.0</v>
      </c>
      <c r="H306" s="136" t="s">
        <v>26</v>
      </c>
      <c r="I306" s="137">
        <v>24000.0</v>
      </c>
      <c r="J306" s="46">
        <f t="shared" si="368"/>
        <v>7680000</v>
      </c>
      <c r="K306" s="46">
        <v>1127000.0</v>
      </c>
      <c r="L306" s="116">
        <f t="shared" si="362"/>
        <v>14.67447917</v>
      </c>
      <c r="M306" s="106"/>
      <c r="N306" s="105"/>
      <c r="O306" s="46">
        <f t="shared" si="369"/>
        <v>6553000</v>
      </c>
      <c r="P306" s="46">
        <f t="shared" si="370"/>
        <v>7680000</v>
      </c>
      <c r="Q306" s="46">
        <v>7680000.0</v>
      </c>
      <c r="R306" s="101"/>
      <c r="S306" s="101"/>
      <c r="T306" s="99"/>
      <c r="U306" s="99"/>
      <c r="V306" s="99"/>
      <c r="W306" s="99"/>
      <c r="X306" s="99"/>
      <c r="Y306" s="99"/>
      <c r="Z306" s="99"/>
      <c r="AA306" s="99"/>
      <c r="AB306" s="99"/>
      <c r="AC306" s="99"/>
      <c r="AD306" s="99"/>
      <c r="AE306" s="99"/>
      <c r="AF306" s="99"/>
      <c r="AG306" s="99"/>
      <c r="AH306" s="99"/>
      <c r="AI306" s="99"/>
      <c r="AJ306" s="99"/>
      <c r="AK306" s="99"/>
      <c r="AL306" s="99"/>
      <c r="AM306" s="99"/>
    </row>
    <row r="307" ht="15.75" customHeight="1">
      <c r="A307" s="104"/>
      <c r="B307" s="104"/>
      <c r="C307" s="104"/>
      <c r="D307" s="110" t="s">
        <v>24</v>
      </c>
      <c r="E307" s="110" t="s">
        <v>348</v>
      </c>
      <c r="G307" s="136">
        <v>150.0</v>
      </c>
      <c r="H307" s="136" t="s">
        <v>26</v>
      </c>
      <c r="I307" s="137">
        <v>800000.0</v>
      </c>
      <c r="J307" s="46">
        <f t="shared" si="368"/>
        <v>120000000</v>
      </c>
      <c r="K307" s="46"/>
      <c r="L307" s="116">
        <f t="shared" si="362"/>
        <v>0</v>
      </c>
      <c r="M307" s="106"/>
      <c r="N307" s="105"/>
      <c r="O307" s="46">
        <f t="shared" si="369"/>
        <v>120000000</v>
      </c>
      <c r="P307" s="46">
        <f t="shared" si="370"/>
        <v>120000000</v>
      </c>
      <c r="Q307" s="46">
        <v>1.2E8</v>
      </c>
      <c r="R307" s="101"/>
      <c r="S307" s="101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  <c r="AG307" s="99"/>
      <c r="AH307" s="99"/>
      <c r="AI307" s="99"/>
      <c r="AJ307" s="99"/>
      <c r="AK307" s="99"/>
      <c r="AL307" s="99"/>
      <c r="AM307" s="99"/>
    </row>
    <row r="308" ht="12.75" customHeight="1">
      <c r="A308" s="110" t="s">
        <v>58</v>
      </c>
      <c r="D308" s="145" t="s">
        <v>34</v>
      </c>
      <c r="G308" s="104"/>
      <c r="H308" s="133"/>
      <c r="I308" s="104"/>
      <c r="J308" s="134">
        <f t="shared" ref="J308:K308" si="371">SUM(J310:J311)</f>
        <v>16000000</v>
      </c>
      <c r="K308" s="46">
        <f t="shared" si="371"/>
        <v>0</v>
      </c>
      <c r="L308" s="116">
        <f t="shared" si="362"/>
        <v>0</v>
      </c>
      <c r="M308" s="106"/>
      <c r="N308" s="105"/>
      <c r="O308" s="46">
        <f t="shared" ref="O308:P308" si="372">SUM(O310:O311)</f>
        <v>16000000</v>
      </c>
      <c r="P308" s="46">
        <f t="shared" si="372"/>
        <v>16000000</v>
      </c>
      <c r="Q308" s="46">
        <v>1.6E7</v>
      </c>
      <c r="R308" s="101"/>
      <c r="S308" s="101"/>
      <c r="T308" s="99"/>
      <c r="U308" s="99"/>
      <c r="V308" s="99"/>
      <c r="W308" s="99"/>
      <c r="X308" s="99"/>
      <c r="Y308" s="99"/>
      <c r="Z308" s="99"/>
      <c r="AA308" s="99"/>
      <c r="AB308" s="99"/>
      <c r="AC308" s="99"/>
      <c r="AD308" s="99"/>
      <c r="AE308" s="99"/>
      <c r="AF308" s="99"/>
      <c r="AG308" s="99"/>
      <c r="AH308" s="99"/>
      <c r="AI308" s="99"/>
      <c r="AJ308" s="99"/>
      <c r="AK308" s="99"/>
      <c r="AL308" s="99"/>
      <c r="AM308" s="99"/>
    </row>
    <row r="309" ht="12.75" customHeight="1">
      <c r="A309" s="104"/>
      <c r="B309" s="104"/>
      <c r="C309" s="104"/>
      <c r="D309" s="110" t="s">
        <v>23</v>
      </c>
      <c r="G309" s="104"/>
      <c r="H309" s="104"/>
      <c r="I309" s="104"/>
      <c r="J309" s="111"/>
      <c r="K309" s="111"/>
      <c r="L309" s="116" t="str">
        <f t="shared" si="362"/>
        <v>#DIV/0!</v>
      </c>
      <c r="M309" s="106"/>
      <c r="N309" s="105"/>
      <c r="O309" s="111"/>
      <c r="P309" s="111"/>
      <c r="Q309" s="111"/>
      <c r="R309" s="101"/>
      <c r="S309" s="101"/>
      <c r="T309" s="99"/>
      <c r="U309" s="99"/>
      <c r="V309" s="99"/>
      <c r="W309" s="99"/>
      <c r="X309" s="99"/>
      <c r="Y309" s="99"/>
      <c r="Z309" s="99"/>
      <c r="AA309" s="99"/>
      <c r="AB309" s="99"/>
      <c r="AC309" s="99"/>
      <c r="AD309" s="99"/>
      <c r="AE309" s="99"/>
      <c r="AF309" s="99"/>
      <c r="AG309" s="99"/>
      <c r="AH309" s="99"/>
      <c r="AI309" s="99"/>
      <c r="AJ309" s="99"/>
      <c r="AK309" s="99"/>
      <c r="AL309" s="99"/>
      <c r="AM309" s="99"/>
    </row>
    <row r="310" ht="12.75" customHeight="1">
      <c r="A310" s="104"/>
      <c r="B310" s="104"/>
      <c r="C310" s="104"/>
      <c r="D310" s="110" t="s">
        <v>24</v>
      </c>
      <c r="E310" s="110" t="s">
        <v>249</v>
      </c>
      <c r="G310" s="136">
        <v>24.0</v>
      </c>
      <c r="H310" s="136" t="s">
        <v>26</v>
      </c>
      <c r="I310" s="137">
        <v>500000.0</v>
      </c>
      <c r="J310" s="46">
        <f t="shared" ref="J310:J311" si="373">G310*I310</f>
        <v>12000000</v>
      </c>
      <c r="K310" s="46"/>
      <c r="L310" s="116">
        <f t="shared" si="362"/>
        <v>0</v>
      </c>
      <c r="M310" s="106"/>
      <c r="N310" s="105"/>
      <c r="O310" s="46">
        <f t="shared" ref="O310:O311" si="374">J310-K310</f>
        <v>12000000</v>
      </c>
      <c r="P310" s="46">
        <f t="shared" ref="P310:P311" si="375">J310-M310</f>
        <v>12000000</v>
      </c>
      <c r="Q310" s="46">
        <v>1.2E7</v>
      </c>
      <c r="R310" s="101"/>
      <c r="S310" s="101"/>
      <c r="T310" s="99"/>
      <c r="U310" s="99"/>
      <c r="V310" s="99"/>
      <c r="W310" s="99"/>
      <c r="X310" s="99"/>
      <c r="Y310" s="99"/>
      <c r="Z310" s="99"/>
      <c r="AA310" s="99"/>
      <c r="AB310" s="99"/>
      <c r="AC310" s="99"/>
      <c r="AD310" s="99"/>
      <c r="AE310" s="99"/>
      <c r="AF310" s="99"/>
      <c r="AG310" s="99"/>
      <c r="AH310" s="99"/>
      <c r="AI310" s="99"/>
      <c r="AJ310" s="99"/>
      <c r="AK310" s="99"/>
      <c r="AL310" s="99"/>
      <c r="AM310" s="99"/>
    </row>
    <row r="311" ht="12.75" customHeight="1">
      <c r="A311" s="104"/>
      <c r="B311" s="104"/>
      <c r="C311" s="104"/>
      <c r="D311" s="110" t="s">
        <v>24</v>
      </c>
      <c r="E311" s="110" t="s">
        <v>230</v>
      </c>
      <c r="G311" s="136">
        <v>8.0</v>
      </c>
      <c r="H311" s="136" t="s">
        <v>26</v>
      </c>
      <c r="I311" s="137">
        <v>500000.0</v>
      </c>
      <c r="J311" s="46">
        <f t="shared" si="373"/>
        <v>4000000</v>
      </c>
      <c r="K311" s="46"/>
      <c r="L311" s="116">
        <f t="shared" si="362"/>
        <v>0</v>
      </c>
      <c r="M311" s="106"/>
      <c r="N311" s="105"/>
      <c r="O311" s="46">
        <f t="shared" si="374"/>
        <v>4000000</v>
      </c>
      <c r="P311" s="46">
        <f t="shared" si="375"/>
        <v>4000000</v>
      </c>
      <c r="Q311" s="46">
        <v>4000000.0</v>
      </c>
      <c r="R311" s="101"/>
      <c r="S311" s="101"/>
      <c r="T311" s="99"/>
      <c r="U311" s="99"/>
      <c r="V311" s="99"/>
      <c r="W311" s="99"/>
      <c r="X311" s="99"/>
      <c r="Y311" s="99"/>
      <c r="Z311" s="99"/>
      <c r="AA311" s="99"/>
      <c r="AB311" s="99"/>
      <c r="AC311" s="99"/>
      <c r="AD311" s="99"/>
      <c r="AE311" s="99"/>
      <c r="AF311" s="99"/>
      <c r="AG311" s="99"/>
      <c r="AH311" s="99"/>
      <c r="AI311" s="99"/>
      <c r="AJ311" s="99"/>
      <c r="AK311" s="99"/>
      <c r="AL311" s="99"/>
      <c r="AM311" s="99"/>
    </row>
    <row r="312" ht="12.75" customHeight="1">
      <c r="A312" s="144" t="s">
        <v>37</v>
      </c>
      <c r="D312" s="144" t="s">
        <v>38</v>
      </c>
      <c r="G312" s="104"/>
      <c r="H312" s="128"/>
      <c r="I312" s="104"/>
      <c r="J312" s="129">
        <f t="shared" ref="J312:K312" si="376">J313+J318+J321</f>
        <v>35050000</v>
      </c>
      <c r="K312" s="43">
        <f t="shared" si="376"/>
        <v>0</v>
      </c>
      <c r="L312" s="116">
        <f t="shared" si="362"/>
        <v>0</v>
      </c>
      <c r="M312" s="106"/>
      <c r="N312" s="105"/>
      <c r="O312" s="43">
        <f t="shared" ref="O312:P312" si="377">O313+O318+O321</f>
        <v>35050000</v>
      </c>
      <c r="P312" s="43">
        <f t="shared" si="377"/>
        <v>35050000</v>
      </c>
      <c r="Q312" s="43">
        <v>3.505E7</v>
      </c>
      <c r="R312" s="101"/>
      <c r="S312" s="101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99"/>
      <c r="AH312" s="99"/>
      <c r="AI312" s="99"/>
      <c r="AJ312" s="99"/>
      <c r="AK312" s="99"/>
      <c r="AL312" s="99"/>
      <c r="AM312" s="99"/>
    </row>
    <row r="313" ht="12.75" customHeight="1">
      <c r="A313" s="110" t="s">
        <v>40</v>
      </c>
      <c r="D313" s="145" t="s">
        <v>22</v>
      </c>
      <c r="G313" s="104"/>
      <c r="H313" s="133"/>
      <c r="I313" s="104"/>
      <c r="J313" s="134">
        <f t="shared" ref="J313:K313" si="378">SUM(J315:J317)</f>
        <v>9050000</v>
      </c>
      <c r="K313" s="46">
        <f t="shared" si="378"/>
        <v>0</v>
      </c>
      <c r="L313" s="116">
        <f t="shared" si="362"/>
        <v>0</v>
      </c>
      <c r="M313" s="106"/>
      <c r="N313" s="105"/>
      <c r="O313" s="46">
        <f t="shared" ref="O313:P313" si="379">SUM(O315:O317)</f>
        <v>9050000</v>
      </c>
      <c r="P313" s="46">
        <f t="shared" si="379"/>
        <v>9050000</v>
      </c>
      <c r="Q313" s="46">
        <v>9050000.0</v>
      </c>
      <c r="R313" s="101"/>
      <c r="S313" s="101"/>
      <c r="T313" s="99"/>
      <c r="U313" s="99"/>
      <c r="V313" s="99"/>
      <c r="W313" s="99"/>
      <c r="X313" s="99"/>
      <c r="Y313" s="99"/>
      <c r="Z313" s="99"/>
      <c r="AA313" s="99"/>
      <c r="AB313" s="99"/>
      <c r="AC313" s="99"/>
      <c r="AD313" s="99"/>
      <c r="AE313" s="99"/>
      <c r="AF313" s="99"/>
      <c r="AG313" s="99"/>
      <c r="AH313" s="99"/>
      <c r="AI313" s="99"/>
      <c r="AJ313" s="99"/>
      <c r="AK313" s="99"/>
      <c r="AL313" s="99"/>
      <c r="AM313" s="99"/>
    </row>
    <row r="314" ht="12.75" customHeight="1">
      <c r="A314" s="104"/>
      <c r="B314" s="104"/>
      <c r="C314" s="104"/>
      <c r="D314" s="110" t="s">
        <v>23</v>
      </c>
      <c r="G314" s="104"/>
      <c r="H314" s="104"/>
      <c r="I314" s="104"/>
      <c r="J314" s="111"/>
      <c r="K314" s="111"/>
      <c r="L314" s="116" t="str">
        <f t="shared" si="362"/>
        <v>#DIV/0!</v>
      </c>
      <c r="M314" s="106"/>
      <c r="N314" s="105"/>
      <c r="O314" s="111"/>
      <c r="P314" s="111"/>
      <c r="Q314" s="111"/>
      <c r="R314" s="101"/>
      <c r="S314" s="101"/>
      <c r="T314" s="99"/>
      <c r="U314" s="99"/>
      <c r="V314" s="99"/>
      <c r="W314" s="99"/>
      <c r="X314" s="99"/>
      <c r="Y314" s="99"/>
      <c r="Z314" s="99"/>
      <c r="AA314" s="99"/>
      <c r="AB314" s="99"/>
      <c r="AC314" s="99"/>
      <c r="AD314" s="99"/>
      <c r="AE314" s="99"/>
      <c r="AF314" s="99"/>
      <c r="AG314" s="99"/>
      <c r="AH314" s="99"/>
      <c r="AI314" s="99"/>
      <c r="AJ314" s="99"/>
      <c r="AK314" s="99"/>
      <c r="AL314" s="99"/>
      <c r="AM314" s="99"/>
    </row>
    <row r="315" ht="12.75" customHeight="1">
      <c r="A315" s="104"/>
      <c r="B315" s="104"/>
      <c r="C315" s="104"/>
      <c r="D315" s="110" t="s">
        <v>24</v>
      </c>
      <c r="E315" s="110" t="s">
        <v>251</v>
      </c>
      <c r="G315" s="136">
        <v>150.0</v>
      </c>
      <c r="H315" s="136" t="s">
        <v>26</v>
      </c>
      <c r="I315" s="137">
        <v>53000.0</v>
      </c>
      <c r="J315" s="46">
        <f t="shared" ref="J315:J317" si="380">G315*I315</f>
        <v>7950000</v>
      </c>
      <c r="K315" s="46"/>
      <c r="L315" s="116">
        <f t="shared" si="362"/>
        <v>0</v>
      </c>
      <c r="M315" s="106"/>
      <c r="N315" s="105"/>
      <c r="O315" s="46">
        <f t="shared" ref="O315:O317" si="381">J315-K315</f>
        <v>7950000</v>
      </c>
      <c r="P315" s="46">
        <f t="shared" ref="P315:P317" si="382">J315-M315</f>
        <v>7950000</v>
      </c>
      <c r="Q315" s="46">
        <v>7950000.0</v>
      </c>
      <c r="R315" s="101"/>
      <c r="S315" s="101"/>
      <c r="T315" s="99"/>
      <c r="U315" s="99"/>
      <c r="V315" s="99"/>
      <c r="W315" s="99"/>
      <c r="X315" s="99"/>
      <c r="Y315" s="99"/>
      <c r="Z315" s="99"/>
      <c r="AA315" s="99"/>
      <c r="AB315" s="99"/>
      <c r="AC315" s="99"/>
      <c r="AD315" s="99"/>
      <c r="AE315" s="99"/>
      <c r="AF315" s="99"/>
      <c r="AG315" s="99"/>
      <c r="AH315" s="99"/>
      <c r="AI315" s="99"/>
      <c r="AJ315" s="99"/>
      <c r="AK315" s="99"/>
      <c r="AL315" s="99"/>
      <c r="AM315" s="99"/>
    </row>
    <row r="316" ht="12.75" customHeight="1">
      <c r="A316" s="104"/>
      <c r="B316" s="104"/>
      <c r="C316" s="104"/>
      <c r="D316" s="110" t="s">
        <v>24</v>
      </c>
      <c r="E316" s="110" t="s">
        <v>42</v>
      </c>
      <c r="G316" s="136">
        <v>2.0</v>
      </c>
      <c r="H316" s="136" t="s">
        <v>26</v>
      </c>
      <c r="I316" s="137">
        <v>250000.0</v>
      </c>
      <c r="J316" s="46">
        <f t="shared" si="380"/>
        <v>500000</v>
      </c>
      <c r="K316" s="46"/>
      <c r="L316" s="116">
        <f t="shared" si="362"/>
        <v>0</v>
      </c>
      <c r="M316" s="106"/>
      <c r="N316" s="105"/>
      <c r="O316" s="46">
        <f t="shared" si="381"/>
        <v>500000</v>
      </c>
      <c r="P316" s="46">
        <f t="shared" si="382"/>
        <v>500000</v>
      </c>
      <c r="Q316" s="46">
        <v>500000.0</v>
      </c>
      <c r="R316" s="101"/>
      <c r="S316" s="101"/>
      <c r="T316" s="99"/>
      <c r="U316" s="99"/>
      <c r="V316" s="99"/>
      <c r="W316" s="99"/>
      <c r="X316" s="99"/>
      <c r="Y316" s="99"/>
      <c r="Z316" s="99"/>
      <c r="AA316" s="99"/>
      <c r="AB316" s="99"/>
      <c r="AC316" s="99"/>
      <c r="AD316" s="99"/>
      <c r="AE316" s="99"/>
      <c r="AF316" s="99"/>
      <c r="AG316" s="99"/>
      <c r="AH316" s="99"/>
      <c r="AI316" s="99"/>
      <c r="AJ316" s="99"/>
      <c r="AK316" s="99"/>
      <c r="AL316" s="99"/>
      <c r="AM316" s="99"/>
    </row>
    <row r="317" ht="12.75" customHeight="1">
      <c r="A317" s="104"/>
      <c r="B317" s="104"/>
      <c r="C317" s="104"/>
      <c r="D317" s="110" t="s">
        <v>24</v>
      </c>
      <c r="E317" s="110" t="s">
        <v>43</v>
      </c>
      <c r="G317" s="136">
        <v>2.0</v>
      </c>
      <c r="H317" s="136" t="s">
        <v>26</v>
      </c>
      <c r="I317" s="137">
        <v>300000.0</v>
      </c>
      <c r="J317" s="46">
        <f t="shared" si="380"/>
        <v>600000</v>
      </c>
      <c r="K317" s="46"/>
      <c r="L317" s="116">
        <f t="shared" si="362"/>
        <v>0</v>
      </c>
      <c r="M317" s="106"/>
      <c r="N317" s="105"/>
      <c r="O317" s="46">
        <f t="shared" si="381"/>
        <v>600000</v>
      </c>
      <c r="P317" s="46">
        <f t="shared" si="382"/>
        <v>600000</v>
      </c>
      <c r="Q317" s="46">
        <v>600000.0</v>
      </c>
      <c r="R317" s="101"/>
      <c r="S317" s="101"/>
      <c r="T317" s="99"/>
      <c r="U317" s="99"/>
      <c r="V317" s="99"/>
      <c r="W317" s="99"/>
      <c r="X317" s="99"/>
      <c r="Y317" s="99"/>
      <c r="Z317" s="99"/>
      <c r="AA317" s="99"/>
      <c r="AB317" s="99"/>
      <c r="AC317" s="99"/>
      <c r="AD317" s="99"/>
      <c r="AE317" s="99"/>
      <c r="AF317" s="99"/>
      <c r="AG317" s="99"/>
      <c r="AH317" s="99"/>
      <c r="AI317" s="99"/>
      <c r="AJ317" s="99"/>
      <c r="AK317" s="99"/>
      <c r="AL317" s="99"/>
      <c r="AM317" s="99"/>
    </row>
    <row r="318" ht="12.75" customHeight="1">
      <c r="A318" s="110" t="s">
        <v>44</v>
      </c>
      <c r="D318" s="145" t="s">
        <v>45</v>
      </c>
      <c r="G318" s="104"/>
      <c r="H318" s="133"/>
      <c r="I318" s="104"/>
      <c r="J318" s="134">
        <f t="shared" ref="J318:K318" si="383">J320</f>
        <v>2000000</v>
      </c>
      <c r="K318" s="46" t="str">
        <f t="shared" si="383"/>
        <v/>
      </c>
      <c r="L318" s="116">
        <f t="shared" si="362"/>
        <v>0</v>
      </c>
      <c r="M318" s="106"/>
      <c r="N318" s="105"/>
      <c r="O318" s="46">
        <f t="shared" ref="O318:P318" si="384">O320</f>
        <v>2000000</v>
      </c>
      <c r="P318" s="46">
        <f t="shared" si="384"/>
        <v>2000000</v>
      </c>
      <c r="Q318" s="46">
        <v>2000000.0</v>
      </c>
      <c r="R318" s="101"/>
      <c r="S318" s="101"/>
      <c r="T318" s="99"/>
      <c r="U318" s="99"/>
      <c r="V318" s="99"/>
      <c r="W318" s="99"/>
      <c r="X318" s="99"/>
      <c r="Y318" s="99"/>
      <c r="Z318" s="99"/>
      <c r="AA318" s="99"/>
      <c r="AB318" s="99"/>
      <c r="AC318" s="99"/>
      <c r="AD318" s="99"/>
      <c r="AE318" s="99"/>
      <c r="AF318" s="99"/>
      <c r="AG318" s="99"/>
      <c r="AH318" s="99"/>
      <c r="AI318" s="99"/>
      <c r="AJ318" s="99"/>
      <c r="AK318" s="99"/>
      <c r="AL318" s="99"/>
      <c r="AM318" s="99"/>
    </row>
    <row r="319" ht="12.75" customHeight="1">
      <c r="A319" s="104"/>
      <c r="B319" s="104"/>
      <c r="C319" s="104"/>
      <c r="D319" s="110" t="s">
        <v>23</v>
      </c>
      <c r="G319" s="104"/>
      <c r="H319" s="104"/>
      <c r="I319" s="104"/>
      <c r="J319" s="111"/>
      <c r="K319" s="111"/>
      <c r="L319" s="116" t="str">
        <f t="shared" si="362"/>
        <v>#DIV/0!</v>
      </c>
      <c r="M319" s="106"/>
      <c r="N319" s="105"/>
      <c r="O319" s="111"/>
      <c r="P319" s="111"/>
      <c r="Q319" s="111"/>
      <c r="R319" s="101"/>
      <c r="S319" s="101"/>
      <c r="T319" s="99"/>
      <c r="U319" s="99"/>
      <c r="V319" s="99"/>
      <c r="W319" s="99"/>
      <c r="X319" s="99"/>
      <c r="Y319" s="99"/>
      <c r="Z319" s="99"/>
      <c r="AA319" s="99"/>
      <c r="AB319" s="99"/>
      <c r="AC319" s="99"/>
      <c r="AD319" s="99"/>
      <c r="AE319" s="99"/>
      <c r="AF319" s="99"/>
      <c r="AG319" s="99"/>
      <c r="AH319" s="99"/>
      <c r="AI319" s="99"/>
      <c r="AJ319" s="99"/>
      <c r="AK319" s="99"/>
      <c r="AL319" s="99"/>
      <c r="AM319" s="99"/>
    </row>
    <row r="320" ht="12.75" customHeight="1">
      <c r="A320" s="104"/>
      <c r="B320" s="104"/>
      <c r="C320" s="104"/>
      <c r="D320" s="110" t="s">
        <v>24</v>
      </c>
      <c r="E320" s="110" t="s">
        <v>161</v>
      </c>
      <c r="G320" s="136">
        <v>4.0</v>
      </c>
      <c r="H320" s="136" t="s">
        <v>26</v>
      </c>
      <c r="I320" s="137">
        <v>500000.0</v>
      </c>
      <c r="J320" s="46">
        <f>G320*I320</f>
        <v>2000000</v>
      </c>
      <c r="K320" s="46"/>
      <c r="L320" s="116">
        <f t="shared" si="362"/>
        <v>0</v>
      </c>
      <c r="M320" s="106"/>
      <c r="N320" s="105"/>
      <c r="O320" s="46">
        <f>J320-K320</f>
        <v>2000000</v>
      </c>
      <c r="P320" s="46">
        <f>J320-M320</f>
        <v>2000000</v>
      </c>
      <c r="Q320" s="46">
        <v>2000000.0</v>
      </c>
      <c r="R320" s="101"/>
      <c r="S320" s="101"/>
      <c r="T320" s="99"/>
      <c r="U320" s="99"/>
      <c r="V320" s="99"/>
      <c r="W320" s="99"/>
      <c r="X320" s="99"/>
      <c r="Y320" s="99"/>
      <c r="Z320" s="99"/>
      <c r="AA320" s="99"/>
      <c r="AB320" s="99"/>
      <c r="AC320" s="99"/>
      <c r="AD320" s="99"/>
      <c r="AE320" s="99"/>
      <c r="AF320" s="99"/>
      <c r="AG320" s="99"/>
      <c r="AH320" s="99"/>
      <c r="AI320" s="99"/>
      <c r="AJ320" s="99"/>
      <c r="AK320" s="99"/>
      <c r="AL320" s="99"/>
      <c r="AM320" s="99"/>
    </row>
    <row r="321" ht="12.75" customHeight="1">
      <c r="A321" s="110" t="s">
        <v>47</v>
      </c>
      <c r="D321" s="145" t="s">
        <v>48</v>
      </c>
      <c r="G321" s="104"/>
      <c r="H321" s="133"/>
      <c r="I321" s="104"/>
      <c r="J321" s="134">
        <f t="shared" ref="J321:K321" si="385">J323</f>
        <v>24000000</v>
      </c>
      <c r="K321" s="46" t="str">
        <f t="shared" si="385"/>
        <v/>
      </c>
      <c r="L321" s="116">
        <f t="shared" si="362"/>
        <v>0</v>
      </c>
      <c r="M321" s="106"/>
      <c r="N321" s="105"/>
      <c r="O321" s="46">
        <f t="shared" ref="O321:P321" si="386">O323</f>
        <v>24000000</v>
      </c>
      <c r="P321" s="46">
        <f t="shared" si="386"/>
        <v>24000000</v>
      </c>
      <c r="Q321" s="46">
        <v>2.4E7</v>
      </c>
      <c r="R321" s="101"/>
      <c r="S321" s="101"/>
      <c r="T321" s="99"/>
      <c r="U321" s="99"/>
      <c r="V321" s="99"/>
      <c r="W321" s="99"/>
      <c r="X321" s="99"/>
      <c r="Y321" s="99"/>
      <c r="Z321" s="99"/>
      <c r="AA321" s="99"/>
      <c r="AB321" s="99"/>
      <c r="AC321" s="99"/>
      <c r="AD321" s="99"/>
      <c r="AE321" s="99"/>
      <c r="AF321" s="99"/>
      <c r="AG321" s="99"/>
      <c r="AH321" s="99"/>
      <c r="AI321" s="99"/>
      <c r="AJ321" s="99"/>
      <c r="AK321" s="99"/>
      <c r="AL321" s="99"/>
      <c r="AM321" s="99"/>
    </row>
    <row r="322" ht="12.75" customHeight="1">
      <c r="A322" s="104"/>
      <c r="B322" s="104"/>
      <c r="C322" s="104"/>
      <c r="D322" s="110" t="s">
        <v>23</v>
      </c>
      <c r="G322" s="104"/>
      <c r="H322" s="104"/>
      <c r="I322" s="104"/>
      <c r="J322" s="111"/>
      <c r="K322" s="111"/>
      <c r="L322" s="116" t="str">
        <f t="shared" si="362"/>
        <v>#DIV/0!</v>
      </c>
      <c r="M322" s="106"/>
      <c r="N322" s="105"/>
      <c r="O322" s="111"/>
      <c r="P322" s="111"/>
      <c r="Q322" s="111"/>
      <c r="R322" s="101"/>
      <c r="S322" s="101"/>
      <c r="T322" s="99"/>
      <c r="U322" s="99"/>
      <c r="V322" s="99"/>
      <c r="W322" s="99"/>
      <c r="X322" s="99"/>
      <c r="Y322" s="99"/>
      <c r="Z322" s="99"/>
      <c r="AA322" s="99"/>
      <c r="AB322" s="99"/>
      <c r="AC322" s="99"/>
      <c r="AD322" s="99"/>
      <c r="AE322" s="99"/>
      <c r="AF322" s="99"/>
      <c r="AG322" s="99"/>
      <c r="AH322" s="99"/>
      <c r="AI322" s="99"/>
      <c r="AJ322" s="99"/>
      <c r="AK322" s="99"/>
      <c r="AL322" s="99"/>
      <c r="AM322" s="99"/>
    </row>
    <row r="323" ht="12.75" customHeight="1">
      <c r="A323" s="104"/>
      <c r="B323" s="104"/>
      <c r="C323" s="104"/>
      <c r="D323" s="110" t="s">
        <v>24</v>
      </c>
      <c r="E323" s="110" t="s">
        <v>252</v>
      </c>
      <c r="G323" s="136">
        <v>6.0</v>
      </c>
      <c r="H323" s="136" t="s">
        <v>26</v>
      </c>
      <c r="I323" s="137">
        <v>4000000.0</v>
      </c>
      <c r="J323" s="46">
        <f>G323*I323</f>
        <v>24000000</v>
      </c>
      <c r="K323" s="46"/>
      <c r="L323" s="116">
        <f t="shared" si="362"/>
        <v>0</v>
      </c>
      <c r="M323" s="106"/>
      <c r="N323" s="105"/>
      <c r="O323" s="46">
        <f>J323-K323</f>
        <v>24000000</v>
      </c>
      <c r="P323" s="46">
        <f>J323-M323</f>
        <v>24000000</v>
      </c>
      <c r="Q323" s="46">
        <v>2.4E7</v>
      </c>
      <c r="R323" s="101"/>
      <c r="S323" s="101"/>
      <c r="T323" s="99"/>
      <c r="U323" s="99"/>
      <c r="V323" s="99"/>
      <c r="W323" s="99"/>
      <c r="X323" s="99"/>
      <c r="Y323" s="99"/>
      <c r="Z323" s="99"/>
      <c r="AA323" s="99"/>
      <c r="AB323" s="99"/>
      <c r="AC323" s="99"/>
      <c r="AD323" s="99"/>
      <c r="AE323" s="99"/>
      <c r="AF323" s="99"/>
      <c r="AG323" s="99"/>
      <c r="AH323" s="99"/>
      <c r="AI323" s="99"/>
      <c r="AJ323" s="99"/>
      <c r="AK323" s="99"/>
      <c r="AL323" s="99"/>
      <c r="AM323" s="99"/>
    </row>
    <row r="324" ht="12.75" customHeight="1">
      <c r="A324" s="144" t="s">
        <v>50</v>
      </c>
      <c r="D324" s="144" t="s">
        <v>51</v>
      </c>
      <c r="G324" s="104"/>
      <c r="H324" s="128"/>
      <c r="I324" s="104"/>
      <c r="J324" s="129">
        <f t="shared" ref="J324:K324" si="387">J325+J331+J334</f>
        <v>81700000</v>
      </c>
      <c r="K324" s="43">
        <f t="shared" si="387"/>
        <v>0</v>
      </c>
      <c r="L324" s="116">
        <f t="shared" si="362"/>
        <v>0</v>
      </c>
      <c r="M324" s="106"/>
      <c r="N324" s="105"/>
      <c r="O324" s="43">
        <f t="shared" ref="O324:P324" si="388">O325+O331+O334</f>
        <v>81700000</v>
      </c>
      <c r="P324" s="43">
        <f t="shared" si="388"/>
        <v>81700000</v>
      </c>
      <c r="Q324" s="43">
        <v>8.17E7</v>
      </c>
      <c r="R324" s="101"/>
      <c r="S324" s="101"/>
      <c r="T324" s="99"/>
      <c r="U324" s="99"/>
      <c r="V324" s="99"/>
      <c r="W324" s="99"/>
      <c r="X324" s="99"/>
      <c r="Y324" s="99"/>
      <c r="Z324" s="99"/>
      <c r="AA324" s="99"/>
      <c r="AB324" s="99"/>
      <c r="AC324" s="99"/>
      <c r="AD324" s="99"/>
      <c r="AE324" s="99"/>
      <c r="AF324" s="99"/>
      <c r="AG324" s="99"/>
      <c r="AH324" s="99"/>
      <c r="AI324" s="99"/>
      <c r="AJ324" s="99"/>
      <c r="AK324" s="99"/>
      <c r="AL324" s="99"/>
      <c r="AM324" s="99"/>
    </row>
    <row r="325" ht="12.75" customHeight="1">
      <c r="A325" s="110" t="s">
        <v>40</v>
      </c>
      <c r="D325" s="145" t="s">
        <v>22</v>
      </c>
      <c r="G325" s="104"/>
      <c r="H325" s="133"/>
      <c r="I325" s="104"/>
      <c r="J325" s="134">
        <f t="shared" ref="J325:K325" si="389">SUM(J327:J330)</f>
        <v>55700000</v>
      </c>
      <c r="K325" s="46">
        <f t="shared" si="389"/>
        <v>0</v>
      </c>
      <c r="L325" s="116">
        <f t="shared" si="362"/>
        <v>0</v>
      </c>
      <c r="M325" s="106"/>
      <c r="N325" s="105"/>
      <c r="O325" s="46">
        <f t="shared" ref="O325:P325" si="390">SUM(O327:O330)</f>
        <v>55700000</v>
      </c>
      <c r="P325" s="46">
        <f t="shared" si="390"/>
        <v>55700000</v>
      </c>
      <c r="Q325" s="46">
        <v>5.57E7</v>
      </c>
      <c r="R325" s="101"/>
      <c r="S325" s="101"/>
      <c r="T325" s="99"/>
      <c r="U325" s="99"/>
      <c r="V325" s="99"/>
      <c r="W325" s="99"/>
      <c r="X325" s="99"/>
      <c r="Y325" s="99"/>
      <c r="Z325" s="99"/>
      <c r="AA325" s="99"/>
      <c r="AB325" s="99"/>
      <c r="AC325" s="99"/>
      <c r="AD325" s="99"/>
      <c r="AE325" s="99"/>
      <c r="AF325" s="99"/>
      <c r="AG325" s="99"/>
      <c r="AH325" s="99"/>
      <c r="AI325" s="99"/>
      <c r="AJ325" s="99"/>
      <c r="AK325" s="99"/>
      <c r="AL325" s="99"/>
      <c r="AM325" s="99"/>
    </row>
    <row r="326" ht="12.75" customHeight="1">
      <c r="A326" s="104"/>
      <c r="B326" s="104"/>
      <c r="C326" s="104"/>
      <c r="D326" s="110" t="s">
        <v>23</v>
      </c>
      <c r="G326" s="104"/>
      <c r="H326" s="104"/>
      <c r="I326" s="104"/>
      <c r="J326" s="111"/>
      <c r="K326" s="111"/>
      <c r="L326" s="116" t="str">
        <f t="shared" si="362"/>
        <v>#DIV/0!</v>
      </c>
      <c r="M326" s="106"/>
      <c r="N326" s="105"/>
      <c r="O326" s="111"/>
      <c r="P326" s="111"/>
      <c r="Q326" s="111"/>
      <c r="R326" s="101"/>
      <c r="S326" s="101"/>
      <c r="T326" s="99"/>
      <c r="U326" s="99"/>
      <c r="V326" s="99"/>
      <c r="W326" s="99"/>
      <c r="X326" s="99"/>
      <c r="Y326" s="99"/>
      <c r="Z326" s="99"/>
      <c r="AA326" s="99"/>
      <c r="AB326" s="99"/>
      <c r="AC326" s="99"/>
      <c r="AD326" s="99"/>
      <c r="AE326" s="99"/>
      <c r="AF326" s="99"/>
      <c r="AG326" s="99"/>
      <c r="AH326" s="99"/>
      <c r="AI326" s="99"/>
      <c r="AJ326" s="99"/>
      <c r="AK326" s="99"/>
      <c r="AL326" s="99"/>
      <c r="AM326" s="99"/>
    </row>
    <row r="327" ht="12.75" customHeight="1">
      <c r="A327" s="104"/>
      <c r="B327" s="104"/>
      <c r="C327" s="104"/>
      <c r="D327" s="110" t="s">
        <v>24</v>
      </c>
      <c r="E327" s="110" t="s">
        <v>253</v>
      </c>
      <c r="G327" s="136">
        <v>150.0</v>
      </c>
      <c r="H327" s="136" t="s">
        <v>26</v>
      </c>
      <c r="I327" s="137">
        <v>53000.0</v>
      </c>
      <c r="J327" s="46">
        <f t="shared" ref="J327:J330" si="391">G327*I327</f>
        <v>7950000</v>
      </c>
      <c r="K327" s="46"/>
      <c r="L327" s="116">
        <f t="shared" si="362"/>
        <v>0</v>
      </c>
      <c r="M327" s="106"/>
      <c r="N327" s="105"/>
      <c r="O327" s="46">
        <f t="shared" ref="O327:O330" si="392">J327-K327</f>
        <v>7950000</v>
      </c>
      <c r="P327" s="46">
        <f t="shared" ref="P327:P330" si="393">J327-M327</f>
        <v>7950000</v>
      </c>
      <c r="Q327" s="46">
        <v>7950000.0</v>
      </c>
      <c r="R327" s="101"/>
      <c r="S327" s="101"/>
      <c r="T327" s="99"/>
      <c r="U327" s="99"/>
      <c r="V327" s="99"/>
      <c r="W327" s="99"/>
      <c r="X327" s="99"/>
      <c r="Y327" s="99"/>
      <c r="Z327" s="99"/>
      <c r="AA327" s="99"/>
      <c r="AB327" s="99"/>
      <c r="AC327" s="99"/>
      <c r="AD327" s="99"/>
      <c r="AE327" s="99"/>
      <c r="AF327" s="99"/>
      <c r="AG327" s="99"/>
      <c r="AH327" s="99"/>
      <c r="AI327" s="99"/>
      <c r="AJ327" s="99"/>
      <c r="AK327" s="99"/>
      <c r="AL327" s="99"/>
      <c r="AM327" s="99"/>
    </row>
    <row r="328" ht="12.75" customHeight="1">
      <c r="A328" s="104"/>
      <c r="B328" s="104"/>
      <c r="C328" s="104"/>
      <c r="D328" s="110" t="s">
        <v>24</v>
      </c>
      <c r="E328" s="110" t="s">
        <v>53</v>
      </c>
      <c r="G328" s="136">
        <v>5.0</v>
      </c>
      <c r="H328" s="136" t="s">
        <v>26</v>
      </c>
      <c r="I328" s="137">
        <v>500000.0</v>
      </c>
      <c r="J328" s="46">
        <f t="shared" si="391"/>
        <v>2500000</v>
      </c>
      <c r="K328" s="46"/>
      <c r="L328" s="116">
        <f t="shared" si="362"/>
        <v>0</v>
      </c>
      <c r="M328" s="106"/>
      <c r="N328" s="105"/>
      <c r="O328" s="46">
        <f t="shared" si="392"/>
        <v>2500000</v>
      </c>
      <c r="P328" s="46">
        <f t="shared" si="393"/>
        <v>2500000</v>
      </c>
      <c r="Q328" s="46">
        <v>2500000.0</v>
      </c>
      <c r="R328" s="101"/>
      <c r="S328" s="101"/>
      <c r="T328" s="99"/>
      <c r="U328" s="99"/>
      <c r="V328" s="99"/>
      <c r="W328" s="99"/>
      <c r="X328" s="99"/>
      <c r="Y328" s="99"/>
      <c r="Z328" s="99"/>
      <c r="AA328" s="99"/>
      <c r="AB328" s="99"/>
      <c r="AC328" s="99"/>
      <c r="AD328" s="99"/>
      <c r="AE328" s="99"/>
      <c r="AF328" s="99"/>
      <c r="AG328" s="99"/>
      <c r="AH328" s="99"/>
      <c r="AI328" s="99"/>
      <c r="AJ328" s="99"/>
      <c r="AK328" s="99"/>
      <c r="AL328" s="99"/>
      <c r="AM328" s="99"/>
    </row>
    <row r="329" ht="12.75" customHeight="1">
      <c r="A329" s="104"/>
      <c r="B329" s="104"/>
      <c r="C329" s="104"/>
      <c r="D329" s="110" t="s">
        <v>24</v>
      </c>
      <c r="E329" s="110" t="s">
        <v>54</v>
      </c>
      <c r="G329" s="136">
        <v>1.0</v>
      </c>
      <c r="H329" s="136" t="s">
        <v>55</v>
      </c>
      <c r="I329" s="137">
        <v>250000.0</v>
      </c>
      <c r="J329" s="46">
        <f t="shared" si="391"/>
        <v>250000</v>
      </c>
      <c r="K329" s="46"/>
      <c r="L329" s="116">
        <f t="shared" si="362"/>
        <v>0</v>
      </c>
      <c r="M329" s="106"/>
      <c r="N329" s="105"/>
      <c r="O329" s="46">
        <f t="shared" si="392"/>
        <v>250000</v>
      </c>
      <c r="P329" s="46">
        <f t="shared" si="393"/>
        <v>250000</v>
      </c>
      <c r="Q329" s="46">
        <v>250000.0</v>
      </c>
      <c r="R329" s="101"/>
      <c r="S329" s="101"/>
      <c r="T329" s="99"/>
      <c r="U329" s="99"/>
      <c r="V329" s="99"/>
      <c r="W329" s="99"/>
      <c r="X329" s="99"/>
      <c r="Y329" s="99"/>
      <c r="Z329" s="99"/>
      <c r="AA329" s="99"/>
      <c r="AB329" s="99"/>
      <c r="AC329" s="99"/>
      <c r="AD329" s="99"/>
      <c r="AE329" s="99"/>
      <c r="AF329" s="99"/>
      <c r="AG329" s="99"/>
      <c r="AH329" s="99"/>
      <c r="AI329" s="99"/>
      <c r="AJ329" s="99"/>
      <c r="AK329" s="99"/>
      <c r="AL329" s="99"/>
      <c r="AM329" s="99"/>
    </row>
    <row r="330" ht="12.75" customHeight="1">
      <c r="A330" s="104"/>
      <c r="B330" s="104"/>
      <c r="C330" s="104"/>
      <c r="D330" s="110" t="s">
        <v>24</v>
      </c>
      <c r="E330" s="110" t="s">
        <v>254</v>
      </c>
      <c r="G330" s="136">
        <v>150.0</v>
      </c>
      <c r="H330" s="136" t="s">
        <v>26</v>
      </c>
      <c r="I330" s="137">
        <v>300000.0</v>
      </c>
      <c r="J330" s="46">
        <f t="shared" si="391"/>
        <v>45000000</v>
      </c>
      <c r="K330" s="46"/>
      <c r="L330" s="116">
        <f t="shared" si="362"/>
        <v>0</v>
      </c>
      <c r="M330" s="106"/>
      <c r="N330" s="105"/>
      <c r="O330" s="46">
        <f t="shared" si="392"/>
        <v>45000000</v>
      </c>
      <c r="P330" s="46">
        <f t="shared" si="393"/>
        <v>45000000</v>
      </c>
      <c r="Q330" s="46">
        <v>4.5E7</v>
      </c>
      <c r="R330" s="101"/>
      <c r="S330" s="101"/>
      <c r="T330" s="99"/>
      <c r="U330" s="99"/>
      <c r="V330" s="99"/>
      <c r="W330" s="99"/>
      <c r="X330" s="99"/>
      <c r="Y330" s="99"/>
      <c r="Z330" s="99"/>
      <c r="AA330" s="99"/>
      <c r="AB330" s="99"/>
      <c r="AC330" s="99"/>
      <c r="AD330" s="99"/>
      <c r="AE330" s="99"/>
      <c r="AF330" s="99"/>
      <c r="AG330" s="99"/>
      <c r="AH330" s="99"/>
      <c r="AI330" s="99"/>
      <c r="AJ330" s="99"/>
      <c r="AK330" s="99"/>
      <c r="AL330" s="99"/>
      <c r="AM330" s="99"/>
    </row>
    <row r="331" ht="12.75" customHeight="1">
      <c r="A331" s="110" t="s">
        <v>47</v>
      </c>
      <c r="D331" s="145" t="s">
        <v>48</v>
      </c>
      <c r="G331" s="104"/>
      <c r="H331" s="133"/>
      <c r="I331" s="104"/>
      <c r="J331" s="134">
        <f t="shared" ref="J331:K331" si="394">J333</f>
        <v>24000000</v>
      </c>
      <c r="K331" s="46" t="str">
        <f t="shared" si="394"/>
        <v/>
      </c>
      <c r="L331" s="116">
        <f t="shared" si="362"/>
        <v>0</v>
      </c>
      <c r="M331" s="106"/>
      <c r="N331" s="105"/>
      <c r="O331" s="46">
        <f t="shared" ref="O331:P331" si="395">O333</f>
        <v>24000000</v>
      </c>
      <c r="P331" s="46">
        <f t="shared" si="395"/>
        <v>24000000</v>
      </c>
      <c r="Q331" s="46">
        <v>2.4E7</v>
      </c>
      <c r="R331" s="101"/>
      <c r="S331" s="101"/>
      <c r="T331" s="99"/>
      <c r="U331" s="99"/>
      <c r="V331" s="99"/>
      <c r="W331" s="99"/>
      <c r="X331" s="99"/>
      <c r="Y331" s="99"/>
      <c r="Z331" s="99"/>
      <c r="AA331" s="99"/>
      <c r="AB331" s="99"/>
      <c r="AC331" s="99"/>
      <c r="AD331" s="99"/>
      <c r="AE331" s="99"/>
      <c r="AF331" s="99"/>
      <c r="AG331" s="99"/>
      <c r="AH331" s="99"/>
      <c r="AI331" s="99"/>
      <c r="AJ331" s="99"/>
      <c r="AK331" s="99"/>
      <c r="AL331" s="99"/>
      <c r="AM331" s="99"/>
    </row>
    <row r="332" ht="12.75" customHeight="1">
      <c r="A332" s="104"/>
      <c r="B332" s="104"/>
      <c r="C332" s="104"/>
      <c r="D332" s="110" t="s">
        <v>23</v>
      </c>
      <c r="G332" s="104"/>
      <c r="H332" s="104"/>
      <c r="I332" s="104"/>
      <c r="J332" s="111"/>
      <c r="K332" s="111"/>
      <c r="L332" s="116" t="str">
        <f t="shared" si="362"/>
        <v>#DIV/0!</v>
      </c>
      <c r="M332" s="106"/>
      <c r="N332" s="105"/>
      <c r="O332" s="111"/>
      <c r="P332" s="111"/>
      <c r="Q332" s="111"/>
      <c r="R332" s="101"/>
      <c r="S332" s="101"/>
      <c r="T332" s="99"/>
      <c r="U332" s="99"/>
      <c r="V332" s="99"/>
      <c r="W332" s="99"/>
      <c r="X332" s="99"/>
      <c r="Y332" s="99"/>
      <c r="Z332" s="99"/>
      <c r="AA332" s="99"/>
      <c r="AB332" s="99"/>
      <c r="AC332" s="99"/>
      <c r="AD332" s="99"/>
      <c r="AE332" s="99"/>
      <c r="AF332" s="99"/>
      <c r="AG332" s="99"/>
      <c r="AH332" s="99"/>
      <c r="AI332" s="99"/>
      <c r="AJ332" s="99"/>
      <c r="AK332" s="99"/>
      <c r="AL332" s="99"/>
      <c r="AM332" s="99"/>
    </row>
    <row r="333" ht="12.75" customHeight="1">
      <c r="A333" s="104"/>
      <c r="B333" s="104"/>
      <c r="C333" s="104"/>
      <c r="D333" s="110" t="s">
        <v>24</v>
      </c>
      <c r="E333" s="110" t="s">
        <v>255</v>
      </c>
      <c r="G333" s="136">
        <v>6.0</v>
      </c>
      <c r="H333" s="136" t="s">
        <v>26</v>
      </c>
      <c r="I333" s="137">
        <v>4000000.0</v>
      </c>
      <c r="J333" s="46">
        <f>G333*I333</f>
        <v>24000000</v>
      </c>
      <c r="K333" s="46"/>
      <c r="L333" s="116">
        <f t="shared" si="362"/>
        <v>0</v>
      </c>
      <c r="M333" s="106"/>
      <c r="N333" s="105"/>
      <c r="O333" s="46">
        <f>J333-K333</f>
        <v>24000000</v>
      </c>
      <c r="P333" s="46">
        <f>J333-M333</f>
        <v>24000000</v>
      </c>
      <c r="Q333" s="46">
        <v>2.4E7</v>
      </c>
      <c r="R333" s="101"/>
      <c r="S333" s="101"/>
      <c r="T333" s="99"/>
      <c r="U333" s="99"/>
      <c r="V333" s="99"/>
      <c r="W333" s="99"/>
      <c r="X333" s="99"/>
      <c r="Y333" s="99"/>
      <c r="Z333" s="99"/>
      <c r="AA333" s="99"/>
      <c r="AB333" s="99"/>
      <c r="AC333" s="99"/>
      <c r="AD333" s="99"/>
      <c r="AE333" s="99"/>
      <c r="AF333" s="99"/>
      <c r="AG333" s="99"/>
      <c r="AH333" s="99"/>
      <c r="AI333" s="99"/>
      <c r="AJ333" s="99"/>
      <c r="AK333" s="99"/>
      <c r="AL333" s="99"/>
      <c r="AM333" s="99"/>
    </row>
    <row r="334" ht="12.75" customHeight="1">
      <c r="A334" s="110" t="s">
        <v>58</v>
      </c>
      <c r="D334" s="145" t="s">
        <v>34</v>
      </c>
      <c r="G334" s="104"/>
      <c r="H334" s="133"/>
      <c r="I334" s="104"/>
      <c r="J334" s="134">
        <f t="shared" ref="J334:K334" si="396">J336</f>
        <v>2000000</v>
      </c>
      <c r="K334" s="46" t="str">
        <f t="shared" si="396"/>
        <v/>
      </c>
      <c r="L334" s="116">
        <f t="shared" si="362"/>
        <v>0</v>
      </c>
      <c r="M334" s="106"/>
      <c r="N334" s="105"/>
      <c r="O334" s="46">
        <f t="shared" ref="O334:P334" si="397">O336</f>
        <v>2000000</v>
      </c>
      <c r="P334" s="46">
        <f t="shared" si="397"/>
        <v>2000000</v>
      </c>
      <c r="Q334" s="46">
        <v>2000000.0</v>
      </c>
      <c r="R334" s="101"/>
      <c r="S334" s="101"/>
      <c r="T334" s="99"/>
      <c r="U334" s="99"/>
      <c r="V334" s="99"/>
      <c r="W334" s="99"/>
      <c r="X334" s="99"/>
      <c r="Y334" s="99"/>
      <c r="Z334" s="99"/>
      <c r="AA334" s="99"/>
      <c r="AB334" s="99"/>
      <c r="AC334" s="99"/>
      <c r="AD334" s="99"/>
      <c r="AE334" s="99"/>
      <c r="AF334" s="99"/>
      <c r="AG334" s="99"/>
      <c r="AH334" s="99"/>
      <c r="AI334" s="99"/>
      <c r="AJ334" s="99"/>
      <c r="AK334" s="99"/>
      <c r="AL334" s="99"/>
      <c r="AM334" s="99"/>
    </row>
    <row r="335" ht="12.75" customHeight="1">
      <c r="A335" s="104"/>
      <c r="B335" s="104"/>
      <c r="C335" s="104"/>
      <c r="D335" s="110" t="s">
        <v>23</v>
      </c>
      <c r="G335" s="104"/>
      <c r="H335" s="104"/>
      <c r="I335" s="104"/>
      <c r="J335" s="111"/>
      <c r="K335" s="111"/>
      <c r="L335" s="116" t="str">
        <f t="shared" si="362"/>
        <v>#DIV/0!</v>
      </c>
      <c r="M335" s="106"/>
      <c r="N335" s="105"/>
      <c r="O335" s="111"/>
      <c r="P335" s="111"/>
      <c r="Q335" s="111"/>
      <c r="R335" s="101"/>
      <c r="S335" s="101"/>
      <c r="T335" s="99"/>
      <c r="U335" s="99"/>
      <c r="V335" s="99"/>
      <c r="W335" s="99"/>
      <c r="X335" s="99"/>
      <c r="Y335" s="99"/>
      <c r="Z335" s="99"/>
      <c r="AA335" s="99"/>
      <c r="AB335" s="99"/>
      <c r="AC335" s="99"/>
      <c r="AD335" s="99"/>
      <c r="AE335" s="99"/>
      <c r="AF335" s="99"/>
      <c r="AG335" s="99"/>
      <c r="AH335" s="99"/>
      <c r="AI335" s="99"/>
      <c r="AJ335" s="99"/>
      <c r="AK335" s="99"/>
      <c r="AL335" s="99"/>
      <c r="AM335" s="99"/>
    </row>
    <row r="336" ht="12.75" customHeight="1">
      <c r="A336" s="104"/>
      <c r="B336" s="104"/>
      <c r="C336" s="104"/>
      <c r="D336" s="110" t="s">
        <v>24</v>
      </c>
      <c r="E336" s="110" t="s">
        <v>59</v>
      </c>
      <c r="G336" s="136">
        <v>4.0</v>
      </c>
      <c r="H336" s="136" t="s">
        <v>26</v>
      </c>
      <c r="I336" s="137">
        <v>500000.0</v>
      </c>
      <c r="J336" s="46">
        <f>G336*I336</f>
        <v>2000000</v>
      </c>
      <c r="K336" s="46"/>
      <c r="L336" s="116">
        <f t="shared" si="362"/>
        <v>0</v>
      </c>
      <c r="M336" s="106"/>
      <c r="N336" s="105"/>
      <c r="O336" s="46">
        <f>J336-K336</f>
        <v>2000000</v>
      </c>
      <c r="P336" s="46">
        <f>J336-M336</f>
        <v>2000000</v>
      </c>
      <c r="Q336" s="46">
        <v>2000000.0</v>
      </c>
      <c r="R336" s="101"/>
      <c r="S336" s="101"/>
      <c r="T336" s="99"/>
      <c r="U336" s="99"/>
      <c r="V336" s="99"/>
      <c r="W336" s="99"/>
      <c r="X336" s="99"/>
      <c r="Y336" s="99"/>
      <c r="Z336" s="99"/>
      <c r="AA336" s="99"/>
      <c r="AB336" s="99"/>
      <c r="AC336" s="99"/>
      <c r="AD336" s="99"/>
      <c r="AE336" s="99"/>
      <c r="AF336" s="99"/>
      <c r="AG336" s="99"/>
      <c r="AH336" s="99"/>
      <c r="AI336" s="99"/>
      <c r="AJ336" s="99"/>
      <c r="AK336" s="99"/>
      <c r="AL336" s="99"/>
      <c r="AM336" s="99"/>
    </row>
    <row r="337" ht="12.75" customHeight="1">
      <c r="A337" s="144" t="s">
        <v>60</v>
      </c>
      <c r="D337" s="144" t="s">
        <v>61</v>
      </c>
      <c r="G337" s="104"/>
      <c r="H337" s="128"/>
      <c r="I337" s="104"/>
      <c r="J337" s="129">
        <f t="shared" ref="J337:K337" si="398">J338+J341+J345+J348+J351</f>
        <v>254700000</v>
      </c>
      <c r="K337" s="43">
        <f t="shared" si="398"/>
        <v>150000</v>
      </c>
      <c r="L337" s="116">
        <f t="shared" si="362"/>
        <v>0.05889281508</v>
      </c>
      <c r="M337" s="106"/>
      <c r="N337" s="105"/>
      <c r="O337" s="43">
        <f t="shared" ref="O337:P337" si="399">O338+O341+O345+O348+O351</f>
        <v>254550000</v>
      </c>
      <c r="P337" s="43">
        <f t="shared" si="399"/>
        <v>254700000</v>
      </c>
      <c r="Q337" s="43">
        <v>2.547E8</v>
      </c>
      <c r="R337" s="101"/>
      <c r="S337" s="101"/>
      <c r="T337" s="99"/>
      <c r="U337" s="99"/>
      <c r="V337" s="99"/>
      <c r="W337" s="99"/>
      <c r="X337" s="99"/>
      <c r="Y337" s="99"/>
      <c r="Z337" s="99"/>
      <c r="AA337" s="99"/>
      <c r="AB337" s="99"/>
      <c r="AC337" s="99"/>
      <c r="AD337" s="99"/>
      <c r="AE337" s="99"/>
      <c r="AF337" s="99"/>
      <c r="AG337" s="99"/>
      <c r="AH337" s="99"/>
      <c r="AI337" s="99"/>
      <c r="AJ337" s="99"/>
      <c r="AK337" s="99"/>
      <c r="AL337" s="99"/>
      <c r="AM337" s="99"/>
    </row>
    <row r="338" ht="12.75" customHeight="1">
      <c r="A338" s="110" t="s">
        <v>40</v>
      </c>
      <c r="D338" s="145" t="s">
        <v>22</v>
      </c>
      <c r="G338" s="104"/>
      <c r="H338" s="133"/>
      <c r="I338" s="104"/>
      <c r="J338" s="134">
        <f t="shared" ref="J338:K338" si="400">J340</f>
        <v>47700000</v>
      </c>
      <c r="K338" s="46" t="str">
        <f t="shared" si="400"/>
        <v/>
      </c>
      <c r="L338" s="116">
        <f t="shared" si="362"/>
        <v>0</v>
      </c>
      <c r="M338" s="106"/>
      <c r="N338" s="105"/>
      <c r="O338" s="46">
        <f t="shared" ref="O338:P338" si="401">O340</f>
        <v>47700000</v>
      </c>
      <c r="P338" s="46">
        <f t="shared" si="401"/>
        <v>47700000</v>
      </c>
      <c r="Q338" s="46">
        <v>4.77E7</v>
      </c>
      <c r="R338" s="101"/>
      <c r="S338" s="101"/>
      <c r="T338" s="99"/>
      <c r="U338" s="99"/>
      <c r="V338" s="99"/>
      <c r="W338" s="99"/>
      <c r="X338" s="99"/>
      <c r="Y338" s="99"/>
      <c r="Z338" s="99"/>
      <c r="AA338" s="99"/>
      <c r="AB338" s="99"/>
      <c r="AC338" s="99"/>
      <c r="AD338" s="99"/>
      <c r="AE338" s="99"/>
      <c r="AF338" s="99"/>
      <c r="AG338" s="99"/>
      <c r="AH338" s="99"/>
      <c r="AI338" s="99"/>
      <c r="AJ338" s="99"/>
      <c r="AK338" s="99"/>
      <c r="AL338" s="99"/>
      <c r="AM338" s="99"/>
    </row>
    <row r="339" ht="12.75" customHeight="1">
      <c r="A339" s="104"/>
      <c r="B339" s="104"/>
      <c r="C339" s="104"/>
      <c r="D339" s="110" t="s">
        <v>23</v>
      </c>
      <c r="G339" s="104"/>
      <c r="H339" s="104"/>
      <c r="I339" s="104"/>
      <c r="J339" s="111"/>
      <c r="K339" s="111"/>
      <c r="L339" s="116" t="str">
        <f t="shared" si="362"/>
        <v>#DIV/0!</v>
      </c>
      <c r="M339" s="106"/>
      <c r="N339" s="105"/>
      <c r="O339" s="111"/>
      <c r="P339" s="111"/>
      <c r="Q339" s="111"/>
      <c r="R339" s="101"/>
      <c r="S339" s="101"/>
      <c r="T339" s="99"/>
      <c r="U339" s="99"/>
      <c r="V339" s="99"/>
      <c r="W339" s="99"/>
      <c r="X339" s="99"/>
      <c r="Y339" s="99"/>
      <c r="Z339" s="99"/>
      <c r="AA339" s="99"/>
      <c r="AB339" s="99"/>
      <c r="AC339" s="99"/>
      <c r="AD339" s="99"/>
      <c r="AE339" s="99"/>
      <c r="AF339" s="99"/>
      <c r="AG339" s="99"/>
      <c r="AH339" s="99"/>
      <c r="AI339" s="99"/>
      <c r="AJ339" s="99"/>
      <c r="AK339" s="99"/>
      <c r="AL339" s="99"/>
      <c r="AM339" s="99"/>
    </row>
    <row r="340" ht="15.75" customHeight="1">
      <c r="A340" s="104"/>
      <c r="B340" s="104"/>
      <c r="C340" s="104"/>
      <c r="D340" s="110" t="s">
        <v>24</v>
      </c>
      <c r="E340" s="110" t="s">
        <v>256</v>
      </c>
      <c r="G340" s="136">
        <v>900.0</v>
      </c>
      <c r="H340" s="136" t="s">
        <v>26</v>
      </c>
      <c r="I340" s="137">
        <v>53000.0</v>
      </c>
      <c r="J340" s="46">
        <f>G340*I340</f>
        <v>47700000</v>
      </c>
      <c r="K340" s="46"/>
      <c r="L340" s="116">
        <f t="shared" si="362"/>
        <v>0</v>
      </c>
      <c r="M340" s="106"/>
      <c r="N340" s="105"/>
      <c r="O340" s="46">
        <f>J340-K340</f>
        <v>47700000</v>
      </c>
      <c r="P340" s="46">
        <f>J340-M340</f>
        <v>47700000</v>
      </c>
      <c r="Q340" s="46">
        <v>4.77E7</v>
      </c>
      <c r="R340" s="101"/>
      <c r="S340" s="101"/>
      <c r="T340" s="99"/>
      <c r="U340" s="99"/>
      <c r="V340" s="99"/>
      <c r="W340" s="99"/>
      <c r="X340" s="99"/>
      <c r="Y340" s="99"/>
      <c r="Z340" s="99"/>
      <c r="AA340" s="99"/>
      <c r="AB340" s="99"/>
      <c r="AC340" s="99"/>
      <c r="AD340" s="99"/>
      <c r="AE340" s="99"/>
      <c r="AF340" s="99"/>
      <c r="AG340" s="99"/>
      <c r="AH340" s="99"/>
      <c r="AI340" s="99"/>
      <c r="AJ340" s="99"/>
      <c r="AK340" s="99"/>
      <c r="AL340" s="99"/>
      <c r="AM340" s="99"/>
    </row>
    <row r="341" ht="12.75" customHeight="1">
      <c r="A341" s="110" t="s">
        <v>63</v>
      </c>
      <c r="D341" s="145" t="s">
        <v>64</v>
      </c>
      <c r="G341" s="104"/>
      <c r="H341" s="133"/>
      <c r="I341" s="104"/>
      <c r="J341" s="134">
        <f t="shared" ref="J341:K341" si="402">SUM(J343:J344)</f>
        <v>125000000</v>
      </c>
      <c r="K341" s="46">
        <f t="shared" si="402"/>
        <v>150000</v>
      </c>
      <c r="L341" s="116">
        <f t="shared" si="362"/>
        <v>0.12</v>
      </c>
      <c r="M341" s="106"/>
      <c r="N341" s="105"/>
      <c r="O341" s="46">
        <f t="shared" ref="O341:P341" si="403">SUM(O343:O344)</f>
        <v>124850000</v>
      </c>
      <c r="P341" s="46">
        <f t="shared" si="403"/>
        <v>125000000</v>
      </c>
      <c r="Q341" s="46">
        <v>1.25E8</v>
      </c>
      <c r="R341" s="101"/>
      <c r="S341" s="101"/>
      <c r="T341" s="99"/>
      <c r="U341" s="99"/>
      <c r="V341" s="99"/>
      <c r="W341" s="99"/>
      <c r="X341" s="99"/>
      <c r="Y341" s="99"/>
      <c r="Z341" s="99"/>
      <c r="AA341" s="99"/>
      <c r="AB341" s="99"/>
      <c r="AC341" s="99"/>
      <c r="AD341" s="99"/>
      <c r="AE341" s="99"/>
      <c r="AF341" s="99"/>
      <c r="AG341" s="99"/>
      <c r="AH341" s="99"/>
      <c r="AI341" s="99"/>
      <c r="AJ341" s="99"/>
      <c r="AK341" s="99"/>
      <c r="AL341" s="99"/>
      <c r="AM341" s="99"/>
    </row>
    <row r="342" ht="12.75" customHeight="1">
      <c r="A342" s="104"/>
      <c r="B342" s="104"/>
      <c r="C342" s="104"/>
      <c r="D342" s="110" t="s">
        <v>23</v>
      </c>
      <c r="G342" s="104"/>
      <c r="H342" s="104"/>
      <c r="I342" s="104"/>
      <c r="J342" s="111"/>
      <c r="K342" s="111"/>
      <c r="L342" s="116" t="str">
        <f t="shared" si="362"/>
        <v>#DIV/0!</v>
      </c>
      <c r="M342" s="106"/>
      <c r="N342" s="105"/>
      <c r="O342" s="111"/>
      <c r="P342" s="111"/>
      <c r="Q342" s="111"/>
      <c r="R342" s="101"/>
      <c r="S342" s="101"/>
      <c r="T342" s="99"/>
      <c r="U342" s="99"/>
      <c r="V342" s="99"/>
      <c r="W342" s="99"/>
      <c r="X342" s="99"/>
      <c r="Y342" s="99"/>
      <c r="Z342" s="99"/>
      <c r="AA342" s="99"/>
      <c r="AB342" s="99"/>
      <c r="AC342" s="99"/>
      <c r="AD342" s="99"/>
      <c r="AE342" s="99"/>
      <c r="AF342" s="99"/>
      <c r="AG342" s="99"/>
      <c r="AH342" s="99"/>
      <c r="AI342" s="99"/>
      <c r="AJ342" s="99"/>
      <c r="AK342" s="99"/>
      <c r="AL342" s="99"/>
      <c r="AM342" s="99"/>
    </row>
    <row r="343" ht="15.75" customHeight="1">
      <c r="A343" s="104"/>
      <c r="B343" s="104"/>
      <c r="C343" s="104"/>
      <c r="D343" s="110" t="s">
        <v>24</v>
      </c>
      <c r="E343" s="110" t="s">
        <v>289</v>
      </c>
      <c r="G343" s="136">
        <v>1.0</v>
      </c>
      <c r="H343" s="136" t="s">
        <v>97</v>
      </c>
      <c r="I343" s="137">
        <v>9.5E7</v>
      </c>
      <c r="J343" s="46">
        <f t="shared" ref="J343:J344" si="404">G343*I343</f>
        <v>95000000</v>
      </c>
      <c r="K343" s="46">
        <v>150000.0</v>
      </c>
      <c r="L343" s="116">
        <f t="shared" si="362"/>
        <v>0.1578947368</v>
      </c>
      <c r="M343" s="106"/>
      <c r="N343" s="105"/>
      <c r="O343" s="46">
        <f t="shared" ref="O343:O344" si="405">J343-K343</f>
        <v>94850000</v>
      </c>
      <c r="P343" s="46">
        <f t="shared" ref="P343:P344" si="406">J343-M343</f>
        <v>95000000</v>
      </c>
      <c r="Q343" s="46">
        <v>9.5E7</v>
      </c>
      <c r="R343" s="101"/>
      <c r="S343" s="101"/>
      <c r="T343" s="99"/>
      <c r="U343" s="99"/>
      <c r="V343" s="99"/>
      <c r="W343" s="99"/>
      <c r="X343" s="99"/>
      <c r="Y343" s="99"/>
      <c r="Z343" s="99"/>
      <c r="AA343" s="99"/>
      <c r="AB343" s="99"/>
      <c r="AC343" s="99"/>
      <c r="AD343" s="99"/>
      <c r="AE343" s="99"/>
      <c r="AF343" s="99"/>
      <c r="AG343" s="99"/>
      <c r="AH343" s="99"/>
      <c r="AI343" s="99"/>
      <c r="AJ343" s="99"/>
      <c r="AK343" s="99"/>
      <c r="AL343" s="99"/>
      <c r="AM343" s="99"/>
    </row>
    <row r="344" ht="12.75" customHeight="1">
      <c r="A344" s="104"/>
      <c r="B344" s="104"/>
      <c r="C344" s="104"/>
      <c r="D344" s="110" t="s">
        <v>24</v>
      </c>
      <c r="E344" s="110" t="s">
        <v>349</v>
      </c>
      <c r="G344" s="136">
        <v>150.0</v>
      </c>
      <c r="H344" s="136" t="s">
        <v>26</v>
      </c>
      <c r="I344" s="137">
        <v>200000.0</v>
      </c>
      <c r="J344" s="46">
        <f t="shared" si="404"/>
        <v>30000000</v>
      </c>
      <c r="K344" s="46"/>
      <c r="L344" s="116">
        <f t="shared" si="362"/>
        <v>0</v>
      </c>
      <c r="M344" s="106"/>
      <c r="N344" s="105"/>
      <c r="O344" s="46">
        <f t="shared" si="405"/>
        <v>30000000</v>
      </c>
      <c r="P344" s="46">
        <f t="shared" si="406"/>
        <v>30000000</v>
      </c>
      <c r="Q344" s="46">
        <v>3.0E7</v>
      </c>
      <c r="R344" s="101"/>
      <c r="S344" s="101"/>
      <c r="T344" s="99"/>
      <c r="U344" s="99"/>
      <c r="V344" s="99"/>
      <c r="W344" s="99"/>
      <c r="X344" s="99"/>
      <c r="Y344" s="99"/>
      <c r="Z344" s="99"/>
      <c r="AA344" s="99"/>
      <c r="AB344" s="99"/>
      <c r="AC344" s="99"/>
      <c r="AD344" s="99"/>
      <c r="AE344" s="99"/>
      <c r="AF344" s="99"/>
      <c r="AG344" s="99"/>
      <c r="AH344" s="99"/>
      <c r="AI344" s="99"/>
      <c r="AJ344" s="99"/>
      <c r="AK344" s="99"/>
      <c r="AL344" s="99"/>
      <c r="AM344" s="99"/>
    </row>
    <row r="345" ht="12.75" customHeight="1">
      <c r="A345" s="110" t="s">
        <v>68</v>
      </c>
      <c r="D345" s="145" t="s">
        <v>69</v>
      </c>
      <c r="G345" s="104"/>
      <c r="H345" s="133"/>
      <c r="I345" s="104"/>
      <c r="J345" s="134">
        <f t="shared" ref="J345:K345" si="407">J347</f>
        <v>10000000</v>
      </c>
      <c r="K345" s="46" t="str">
        <f t="shared" si="407"/>
        <v/>
      </c>
      <c r="L345" s="116">
        <f t="shared" si="362"/>
        <v>0</v>
      </c>
      <c r="M345" s="106"/>
      <c r="N345" s="105"/>
      <c r="O345" s="46">
        <f t="shared" ref="O345:P345" si="408">O347</f>
        <v>10000000</v>
      </c>
      <c r="P345" s="46">
        <f t="shared" si="408"/>
        <v>10000000</v>
      </c>
      <c r="Q345" s="46">
        <v>1.0E7</v>
      </c>
      <c r="R345" s="101"/>
      <c r="S345" s="101"/>
      <c r="T345" s="99"/>
      <c r="U345" s="99"/>
      <c r="V345" s="99"/>
      <c r="W345" s="99"/>
      <c r="X345" s="99"/>
      <c r="Y345" s="99"/>
      <c r="Z345" s="99"/>
      <c r="AA345" s="99"/>
      <c r="AB345" s="99"/>
      <c r="AC345" s="99"/>
      <c r="AD345" s="99"/>
      <c r="AE345" s="99"/>
      <c r="AF345" s="99"/>
      <c r="AG345" s="99"/>
      <c r="AH345" s="99"/>
      <c r="AI345" s="99"/>
      <c r="AJ345" s="99"/>
      <c r="AK345" s="99"/>
      <c r="AL345" s="99"/>
      <c r="AM345" s="99"/>
    </row>
    <row r="346" ht="12.75" customHeight="1">
      <c r="A346" s="104"/>
      <c r="B346" s="104"/>
      <c r="C346" s="104"/>
      <c r="D346" s="110" t="s">
        <v>23</v>
      </c>
      <c r="G346" s="104"/>
      <c r="H346" s="104"/>
      <c r="I346" s="104"/>
      <c r="J346" s="111"/>
      <c r="K346" s="111"/>
      <c r="L346" s="116" t="str">
        <f t="shared" si="362"/>
        <v>#DIV/0!</v>
      </c>
      <c r="M346" s="106"/>
      <c r="N346" s="105"/>
      <c r="O346" s="111"/>
      <c r="P346" s="111"/>
      <c r="Q346" s="111"/>
      <c r="R346" s="101"/>
      <c r="S346" s="101"/>
      <c r="T346" s="99"/>
      <c r="U346" s="99"/>
      <c r="V346" s="99"/>
      <c r="W346" s="99"/>
      <c r="X346" s="99"/>
      <c r="Y346" s="99"/>
      <c r="Z346" s="99"/>
      <c r="AA346" s="99"/>
      <c r="AB346" s="99"/>
      <c r="AC346" s="99"/>
      <c r="AD346" s="99"/>
      <c r="AE346" s="99"/>
      <c r="AF346" s="99"/>
      <c r="AG346" s="99"/>
      <c r="AH346" s="99"/>
      <c r="AI346" s="99"/>
      <c r="AJ346" s="99"/>
      <c r="AK346" s="99"/>
      <c r="AL346" s="99"/>
      <c r="AM346" s="99"/>
    </row>
    <row r="347" ht="12.75" customHeight="1">
      <c r="A347" s="104"/>
      <c r="B347" s="104"/>
      <c r="C347" s="104"/>
      <c r="D347" s="110" t="s">
        <v>24</v>
      </c>
      <c r="E347" s="110" t="s">
        <v>70</v>
      </c>
      <c r="G347" s="136">
        <v>20.0</v>
      </c>
      <c r="H347" s="136" t="s">
        <v>26</v>
      </c>
      <c r="I347" s="137">
        <v>500000.0</v>
      </c>
      <c r="J347" s="46">
        <f>G347*I347</f>
        <v>10000000</v>
      </c>
      <c r="K347" s="46"/>
      <c r="L347" s="116">
        <f t="shared" si="362"/>
        <v>0</v>
      </c>
      <c r="M347" s="106"/>
      <c r="N347" s="105"/>
      <c r="O347" s="46">
        <f>J347-K347</f>
        <v>10000000</v>
      </c>
      <c r="P347" s="46">
        <f>J347-M347</f>
        <v>10000000</v>
      </c>
      <c r="Q347" s="46">
        <v>1.0E7</v>
      </c>
      <c r="R347" s="101"/>
      <c r="S347" s="101"/>
      <c r="T347" s="99"/>
      <c r="U347" s="99"/>
      <c r="V347" s="99"/>
      <c r="W347" s="99"/>
      <c r="X347" s="99"/>
      <c r="Y347" s="99"/>
      <c r="Z347" s="99"/>
      <c r="AA347" s="99"/>
      <c r="AB347" s="99"/>
      <c r="AC347" s="99"/>
      <c r="AD347" s="99"/>
      <c r="AE347" s="99"/>
      <c r="AF347" s="99"/>
      <c r="AG347" s="99"/>
      <c r="AH347" s="99"/>
      <c r="AI347" s="99"/>
      <c r="AJ347" s="99"/>
      <c r="AK347" s="99"/>
      <c r="AL347" s="99"/>
      <c r="AM347" s="99"/>
    </row>
    <row r="348" ht="12.75" customHeight="1">
      <c r="A348" s="110" t="s">
        <v>47</v>
      </c>
      <c r="D348" s="145" t="s">
        <v>48</v>
      </c>
      <c r="G348" s="104"/>
      <c r="H348" s="133"/>
      <c r="I348" s="104"/>
      <c r="J348" s="134">
        <f t="shared" ref="J348:K348" si="409">J350</f>
        <v>24000000</v>
      </c>
      <c r="K348" s="46" t="str">
        <f t="shared" si="409"/>
        <v/>
      </c>
      <c r="L348" s="116">
        <f t="shared" si="362"/>
        <v>0</v>
      </c>
      <c r="M348" s="106"/>
      <c r="N348" s="105"/>
      <c r="O348" s="46">
        <f t="shared" ref="O348:P348" si="410">O350</f>
        <v>24000000</v>
      </c>
      <c r="P348" s="46">
        <f t="shared" si="410"/>
        <v>24000000</v>
      </c>
      <c r="Q348" s="46">
        <v>2.4E7</v>
      </c>
      <c r="R348" s="101"/>
      <c r="S348" s="101"/>
      <c r="T348" s="99"/>
      <c r="U348" s="99"/>
      <c r="V348" s="99"/>
      <c r="W348" s="99"/>
      <c r="X348" s="99"/>
      <c r="Y348" s="99"/>
      <c r="Z348" s="99"/>
      <c r="AA348" s="99"/>
      <c r="AB348" s="99"/>
      <c r="AC348" s="99"/>
      <c r="AD348" s="99"/>
      <c r="AE348" s="99"/>
      <c r="AF348" s="99"/>
      <c r="AG348" s="99"/>
      <c r="AH348" s="99"/>
      <c r="AI348" s="99"/>
      <c r="AJ348" s="99"/>
      <c r="AK348" s="99"/>
      <c r="AL348" s="99"/>
      <c r="AM348" s="99"/>
    </row>
    <row r="349" ht="12.75" customHeight="1">
      <c r="A349" s="104"/>
      <c r="B349" s="104"/>
      <c r="C349" s="104"/>
      <c r="D349" s="110" t="s">
        <v>23</v>
      </c>
      <c r="G349" s="104"/>
      <c r="H349" s="104"/>
      <c r="I349" s="104"/>
      <c r="J349" s="111"/>
      <c r="K349" s="111"/>
      <c r="L349" s="116" t="str">
        <f t="shared" si="362"/>
        <v>#DIV/0!</v>
      </c>
      <c r="M349" s="106"/>
      <c r="N349" s="105"/>
      <c r="O349" s="111"/>
      <c r="P349" s="111"/>
      <c r="Q349" s="111"/>
      <c r="R349" s="101"/>
      <c r="S349" s="101"/>
      <c r="T349" s="99"/>
      <c r="U349" s="99"/>
      <c r="V349" s="99"/>
      <c r="W349" s="99"/>
      <c r="X349" s="99"/>
      <c r="Y349" s="99"/>
      <c r="Z349" s="99"/>
      <c r="AA349" s="99"/>
      <c r="AB349" s="99"/>
      <c r="AC349" s="99"/>
      <c r="AD349" s="99"/>
      <c r="AE349" s="99"/>
      <c r="AF349" s="99"/>
      <c r="AG349" s="99"/>
      <c r="AH349" s="99"/>
      <c r="AI349" s="99"/>
      <c r="AJ349" s="99"/>
      <c r="AK349" s="99"/>
      <c r="AL349" s="99"/>
      <c r="AM349" s="99"/>
    </row>
    <row r="350" ht="12.75" customHeight="1">
      <c r="A350" s="104"/>
      <c r="B350" s="104"/>
      <c r="C350" s="104"/>
      <c r="D350" s="110" t="s">
        <v>24</v>
      </c>
      <c r="E350" s="110" t="s">
        <v>255</v>
      </c>
      <c r="G350" s="136">
        <v>6.0</v>
      </c>
      <c r="H350" s="136" t="s">
        <v>26</v>
      </c>
      <c r="I350" s="137">
        <v>4000000.0</v>
      </c>
      <c r="J350" s="46">
        <f>G350*I350</f>
        <v>24000000</v>
      </c>
      <c r="K350" s="46"/>
      <c r="L350" s="116">
        <f t="shared" si="362"/>
        <v>0</v>
      </c>
      <c r="M350" s="106"/>
      <c r="N350" s="105"/>
      <c r="O350" s="46">
        <f>J350-K350</f>
        <v>24000000</v>
      </c>
      <c r="P350" s="46">
        <f>J350-M350</f>
        <v>24000000</v>
      </c>
      <c r="Q350" s="46">
        <v>2.4E7</v>
      </c>
      <c r="R350" s="101"/>
      <c r="S350" s="101"/>
      <c r="T350" s="99"/>
      <c r="U350" s="99"/>
      <c r="V350" s="99"/>
      <c r="W350" s="99"/>
      <c r="X350" s="99"/>
      <c r="Y350" s="99"/>
      <c r="Z350" s="99"/>
      <c r="AA350" s="99"/>
      <c r="AB350" s="99"/>
      <c r="AC350" s="99"/>
      <c r="AD350" s="99"/>
      <c r="AE350" s="99"/>
      <c r="AF350" s="99"/>
      <c r="AG350" s="99"/>
      <c r="AH350" s="99"/>
      <c r="AI350" s="99"/>
      <c r="AJ350" s="99"/>
      <c r="AK350" s="99"/>
      <c r="AL350" s="99"/>
      <c r="AM350" s="99"/>
    </row>
    <row r="351" ht="12.75" customHeight="1">
      <c r="A351" s="110" t="s">
        <v>58</v>
      </c>
      <c r="D351" s="145" t="s">
        <v>34</v>
      </c>
      <c r="G351" s="104"/>
      <c r="H351" s="133"/>
      <c r="I351" s="104"/>
      <c r="J351" s="134">
        <f t="shared" ref="J351:K351" si="411">J353</f>
        <v>48000000</v>
      </c>
      <c r="K351" s="46" t="str">
        <f t="shared" si="411"/>
        <v/>
      </c>
      <c r="L351" s="116">
        <f t="shared" si="362"/>
        <v>0</v>
      </c>
      <c r="M351" s="106"/>
      <c r="N351" s="105"/>
      <c r="O351" s="46">
        <f t="shared" ref="O351:P351" si="412">O353</f>
        <v>48000000</v>
      </c>
      <c r="P351" s="46">
        <f t="shared" si="412"/>
        <v>48000000</v>
      </c>
      <c r="Q351" s="46">
        <v>4.8E7</v>
      </c>
      <c r="R351" s="101"/>
      <c r="S351" s="101"/>
      <c r="T351" s="99"/>
      <c r="U351" s="99"/>
      <c r="V351" s="99"/>
      <c r="W351" s="99"/>
      <c r="X351" s="99"/>
      <c r="Y351" s="99"/>
      <c r="Z351" s="99"/>
      <c r="AA351" s="99"/>
      <c r="AB351" s="99"/>
      <c r="AC351" s="99"/>
      <c r="AD351" s="99"/>
      <c r="AE351" s="99"/>
      <c r="AF351" s="99"/>
      <c r="AG351" s="99"/>
      <c r="AH351" s="99"/>
      <c r="AI351" s="99"/>
      <c r="AJ351" s="99"/>
      <c r="AK351" s="99"/>
      <c r="AL351" s="99"/>
      <c r="AM351" s="99"/>
    </row>
    <row r="352" ht="12.75" customHeight="1">
      <c r="A352" s="104"/>
      <c r="B352" s="104"/>
      <c r="C352" s="104"/>
      <c r="D352" s="110" t="s">
        <v>23</v>
      </c>
      <c r="G352" s="104"/>
      <c r="H352" s="104"/>
      <c r="I352" s="104"/>
      <c r="J352" s="111"/>
      <c r="K352" s="111"/>
      <c r="L352" s="116" t="str">
        <f t="shared" si="362"/>
        <v>#DIV/0!</v>
      </c>
      <c r="M352" s="106"/>
      <c r="N352" s="105"/>
      <c r="O352" s="111"/>
      <c r="P352" s="111"/>
      <c r="Q352" s="111"/>
      <c r="R352" s="101"/>
      <c r="S352" s="101"/>
      <c r="T352" s="99"/>
      <c r="U352" s="99"/>
      <c r="V352" s="99"/>
      <c r="W352" s="99"/>
      <c r="X352" s="99"/>
      <c r="Y352" s="99"/>
      <c r="Z352" s="99"/>
      <c r="AA352" s="99"/>
      <c r="AB352" s="99"/>
      <c r="AC352" s="99"/>
      <c r="AD352" s="99"/>
      <c r="AE352" s="99"/>
      <c r="AF352" s="99"/>
      <c r="AG352" s="99"/>
      <c r="AH352" s="99"/>
      <c r="AI352" s="99"/>
      <c r="AJ352" s="99"/>
      <c r="AK352" s="99"/>
      <c r="AL352" s="99"/>
      <c r="AM352" s="99"/>
    </row>
    <row r="353" ht="15.75" customHeight="1">
      <c r="A353" s="104"/>
      <c r="B353" s="104"/>
      <c r="C353" s="104"/>
      <c r="D353" s="110" t="s">
        <v>24</v>
      </c>
      <c r="E353" s="110" t="s">
        <v>71</v>
      </c>
      <c r="G353" s="136">
        <v>96.0</v>
      </c>
      <c r="H353" s="136" t="s">
        <v>26</v>
      </c>
      <c r="I353" s="137">
        <v>500000.0</v>
      </c>
      <c r="J353" s="46">
        <f>G353*I353</f>
        <v>48000000</v>
      </c>
      <c r="K353" s="46"/>
      <c r="L353" s="116">
        <f t="shared" si="362"/>
        <v>0</v>
      </c>
      <c r="M353" s="106"/>
      <c r="N353" s="105"/>
      <c r="O353" s="46">
        <f>J353-K353</f>
        <v>48000000</v>
      </c>
      <c r="P353" s="46">
        <f>J353-M353</f>
        <v>48000000</v>
      </c>
      <c r="Q353" s="46">
        <v>4.8E7</v>
      </c>
      <c r="R353" s="101"/>
      <c r="S353" s="101"/>
      <c r="T353" s="99"/>
      <c r="U353" s="99"/>
      <c r="V353" s="99"/>
      <c r="W353" s="99"/>
      <c r="X353" s="99"/>
      <c r="Y353" s="99"/>
      <c r="Z353" s="99"/>
      <c r="AA353" s="99"/>
      <c r="AB353" s="99"/>
      <c r="AC353" s="99"/>
      <c r="AD353" s="99"/>
      <c r="AE353" s="99"/>
      <c r="AF353" s="99"/>
      <c r="AG353" s="99"/>
      <c r="AH353" s="99"/>
      <c r="AI353" s="99"/>
      <c r="AJ353" s="99"/>
      <c r="AK353" s="99"/>
      <c r="AL353" s="99"/>
      <c r="AM353" s="99"/>
    </row>
    <row r="354" ht="12.75" customHeight="1">
      <c r="A354" s="144" t="s">
        <v>72</v>
      </c>
      <c r="D354" s="144" t="s">
        <v>73</v>
      </c>
      <c r="G354" s="104"/>
      <c r="H354" s="128"/>
      <c r="I354" s="104"/>
      <c r="J354" s="129">
        <f t="shared" ref="J354:K354" si="413">J355+J360</f>
        <v>151200000</v>
      </c>
      <c r="K354" s="43">
        <f t="shared" si="413"/>
        <v>51356000</v>
      </c>
      <c r="L354" s="116">
        <f t="shared" si="362"/>
        <v>33.96560847</v>
      </c>
      <c r="M354" s="106"/>
      <c r="N354" s="105"/>
      <c r="O354" s="43">
        <f t="shared" ref="O354:P354" si="414">O355+O360</f>
        <v>99844000</v>
      </c>
      <c r="P354" s="43">
        <f t="shared" si="414"/>
        <v>151200000</v>
      </c>
      <c r="Q354" s="43">
        <v>1.512E8</v>
      </c>
      <c r="R354" s="101"/>
      <c r="S354" s="101"/>
      <c r="T354" s="99"/>
      <c r="U354" s="99"/>
      <c r="V354" s="99"/>
      <c r="W354" s="99"/>
      <c r="X354" s="99"/>
      <c r="Y354" s="99"/>
      <c r="Z354" s="99"/>
      <c r="AA354" s="99"/>
      <c r="AB354" s="99"/>
      <c r="AC354" s="99"/>
      <c r="AD354" s="99"/>
      <c r="AE354" s="99"/>
      <c r="AF354" s="99"/>
      <c r="AG354" s="99"/>
      <c r="AH354" s="99"/>
      <c r="AI354" s="99"/>
      <c r="AJ354" s="99"/>
      <c r="AK354" s="99"/>
      <c r="AL354" s="99"/>
      <c r="AM354" s="99"/>
    </row>
    <row r="355" ht="12.75" customHeight="1">
      <c r="A355" s="110" t="s">
        <v>74</v>
      </c>
      <c r="D355" s="145" t="s">
        <v>75</v>
      </c>
      <c r="G355" s="104"/>
      <c r="H355" s="133"/>
      <c r="I355" s="104"/>
      <c r="J355" s="134">
        <f t="shared" ref="J355:K355" si="415">SUM(J357:J359)</f>
        <v>142700000</v>
      </c>
      <c r="K355" s="46">
        <f t="shared" si="415"/>
        <v>51356000</v>
      </c>
      <c r="L355" s="116">
        <f t="shared" si="362"/>
        <v>35.98878767</v>
      </c>
      <c r="M355" s="106"/>
      <c r="N355" s="105"/>
      <c r="O355" s="46">
        <f t="shared" ref="O355:P355" si="416">SUM(O357:O359)</f>
        <v>91344000</v>
      </c>
      <c r="P355" s="46">
        <f t="shared" si="416"/>
        <v>142700000</v>
      </c>
      <c r="Q355" s="46">
        <v>1.427E8</v>
      </c>
      <c r="R355" s="101"/>
      <c r="S355" s="101"/>
      <c r="T355" s="99"/>
      <c r="U355" s="99"/>
      <c r="V355" s="99"/>
      <c r="W355" s="99"/>
      <c r="X355" s="99"/>
      <c r="Y355" s="99"/>
      <c r="Z355" s="99"/>
      <c r="AA355" s="99"/>
      <c r="AB355" s="99"/>
      <c r="AC355" s="99"/>
      <c r="AD355" s="99"/>
      <c r="AE355" s="99"/>
      <c r="AF355" s="99"/>
      <c r="AG355" s="99"/>
      <c r="AH355" s="99"/>
      <c r="AI355" s="99"/>
      <c r="AJ355" s="99"/>
      <c r="AK355" s="99"/>
      <c r="AL355" s="99"/>
      <c r="AM355" s="99"/>
    </row>
    <row r="356" ht="12.75" customHeight="1">
      <c r="A356" s="104"/>
      <c r="B356" s="104"/>
      <c r="C356" s="104"/>
      <c r="D356" s="110" t="s">
        <v>23</v>
      </c>
      <c r="G356" s="104"/>
      <c r="H356" s="104"/>
      <c r="I356" s="104"/>
      <c r="J356" s="111"/>
      <c r="K356" s="111"/>
      <c r="L356" s="116" t="str">
        <f t="shared" si="362"/>
        <v>#DIV/0!</v>
      </c>
      <c r="M356" s="106"/>
      <c r="N356" s="105"/>
      <c r="O356" s="111"/>
      <c r="P356" s="111"/>
      <c r="Q356" s="111"/>
      <c r="R356" s="101"/>
      <c r="S356" s="101"/>
      <c r="T356" s="99"/>
      <c r="U356" s="99"/>
      <c r="V356" s="99"/>
      <c r="W356" s="99"/>
      <c r="X356" s="99"/>
      <c r="Y356" s="99"/>
      <c r="Z356" s="99"/>
      <c r="AA356" s="99"/>
      <c r="AB356" s="99"/>
      <c r="AC356" s="99"/>
      <c r="AD356" s="99"/>
      <c r="AE356" s="99"/>
      <c r="AF356" s="99"/>
      <c r="AG356" s="99"/>
      <c r="AH356" s="99"/>
      <c r="AI356" s="99"/>
      <c r="AJ356" s="99"/>
      <c r="AK356" s="99"/>
      <c r="AL356" s="99"/>
      <c r="AM356" s="99"/>
    </row>
    <row r="357" ht="12.75" customHeight="1">
      <c r="A357" s="104"/>
      <c r="B357" s="104"/>
      <c r="C357" s="104"/>
      <c r="D357" s="110" t="s">
        <v>24</v>
      </c>
      <c r="E357" s="110" t="s">
        <v>76</v>
      </c>
      <c r="G357" s="136">
        <v>20.0</v>
      </c>
      <c r="H357" s="136" t="s">
        <v>26</v>
      </c>
      <c r="I357" s="137">
        <v>5000000.0</v>
      </c>
      <c r="J357" s="46">
        <f t="shared" ref="J357:J359" si="417">G357*I357</f>
        <v>100000000</v>
      </c>
      <c r="K357" s="46">
        <v>4.7756E7</v>
      </c>
      <c r="L357" s="116">
        <f t="shared" si="362"/>
        <v>47.756</v>
      </c>
      <c r="M357" s="106"/>
      <c r="N357" s="105"/>
      <c r="O357" s="46">
        <f t="shared" ref="O357:O359" si="418">J357-K357</f>
        <v>52244000</v>
      </c>
      <c r="P357" s="46">
        <f t="shared" ref="P357:P359" si="419">J357-M357</f>
        <v>100000000</v>
      </c>
      <c r="Q357" s="46">
        <v>1.0E8</v>
      </c>
      <c r="R357" s="101"/>
      <c r="S357" s="101"/>
      <c r="T357" s="99"/>
      <c r="U357" s="99"/>
      <c r="V357" s="99"/>
      <c r="W357" s="99"/>
      <c r="X357" s="99"/>
      <c r="Y357" s="99"/>
      <c r="Z357" s="99"/>
      <c r="AA357" s="99"/>
      <c r="AB357" s="99"/>
      <c r="AC357" s="99"/>
      <c r="AD357" s="99"/>
      <c r="AE357" s="99"/>
      <c r="AF357" s="99"/>
      <c r="AG357" s="99"/>
      <c r="AH357" s="99"/>
      <c r="AI357" s="99"/>
      <c r="AJ357" s="99"/>
      <c r="AK357" s="99"/>
      <c r="AL357" s="99"/>
      <c r="AM357" s="99"/>
    </row>
    <row r="358" ht="15.75" customHeight="1">
      <c r="A358" s="104"/>
      <c r="B358" s="104"/>
      <c r="C358" s="104"/>
      <c r="D358" s="110" t="s">
        <v>24</v>
      </c>
      <c r="E358" s="110" t="s">
        <v>77</v>
      </c>
      <c r="G358" s="136">
        <v>30.0</v>
      </c>
      <c r="H358" s="136" t="s">
        <v>26</v>
      </c>
      <c r="I358" s="137">
        <v>850000.0</v>
      </c>
      <c r="J358" s="46">
        <f t="shared" si="417"/>
        <v>25500000</v>
      </c>
      <c r="K358" s="46"/>
      <c r="L358" s="116">
        <f t="shared" si="362"/>
        <v>0</v>
      </c>
      <c r="M358" s="106"/>
      <c r="N358" s="105"/>
      <c r="O358" s="46">
        <f t="shared" si="418"/>
        <v>25500000</v>
      </c>
      <c r="P358" s="46">
        <f t="shared" si="419"/>
        <v>25500000</v>
      </c>
      <c r="Q358" s="46">
        <v>2.55E7</v>
      </c>
      <c r="R358" s="101"/>
      <c r="S358" s="101"/>
      <c r="T358" s="99"/>
      <c r="U358" s="99"/>
      <c r="V358" s="99"/>
      <c r="W358" s="99"/>
      <c r="X358" s="99"/>
      <c r="Y358" s="99"/>
      <c r="Z358" s="99"/>
      <c r="AA358" s="99"/>
      <c r="AB358" s="99"/>
      <c r="AC358" s="99"/>
      <c r="AD358" s="99"/>
      <c r="AE358" s="99"/>
      <c r="AF358" s="99"/>
      <c r="AG358" s="99"/>
      <c r="AH358" s="99"/>
      <c r="AI358" s="99"/>
      <c r="AJ358" s="99"/>
      <c r="AK358" s="99"/>
      <c r="AL358" s="99"/>
      <c r="AM358" s="99"/>
    </row>
    <row r="359" ht="12.75" customHeight="1">
      <c r="A359" s="104"/>
      <c r="B359" s="104"/>
      <c r="C359" s="104"/>
      <c r="D359" s="110" t="s">
        <v>24</v>
      </c>
      <c r="E359" s="110" t="s">
        <v>78</v>
      </c>
      <c r="G359" s="136">
        <v>40.0</v>
      </c>
      <c r="H359" s="136" t="s">
        <v>26</v>
      </c>
      <c r="I359" s="137">
        <v>430000.0</v>
      </c>
      <c r="J359" s="46">
        <f t="shared" si="417"/>
        <v>17200000</v>
      </c>
      <c r="K359" s="46">
        <v>3600000.0</v>
      </c>
      <c r="L359" s="116">
        <f t="shared" si="362"/>
        <v>20.93023256</v>
      </c>
      <c r="M359" s="106"/>
      <c r="N359" s="105"/>
      <c r="O359" s="46">
        <f t="shared" si="418"/>
        <v>13600000</v>
      </c>
      <c r="P359" s="46">
        <f t="shared" si="419"/>
        <v>17200000</v>
      </c>
      <c r="Q359" s="46">
        <v>1.72E7</v>
      </c>
      <c r="R359" s="101"/>
      <c r="S359" s="101"/>
      <c r="T359" s="99"/>
      <c r="U359" s="99"/>
      <c r="V359" s="99"/>
      <c r="W359" s="99"/>
      <c r="X359" s="99"/>
      <c r="Y359" s="99"/>
      <c r="Z359" s="99"/>
      <c r="AA359" s="99"/>
      <c r="AB359" s="99"/>
      <c r="AC359" s="99"/>
      <c r="AD359" s="99"/>
      <c r="AE359" s="99"/>
      <c r="AF359" s="99"/>
      <c r="AG359" s="99"/>
      <c r="AH359" s="99"/>
      <c r="AI359" s="99"/>
      <c r="AJ359" s="99"/>
      <c r="AK359" s="99"/>
      <c r="AL359" s="99"/>
      <c r="AM359" s="99"/>
    </row>
    <row r="360" ht="12.75" customHeight="1">
      <c r="A360" s="110" t="s">
        <v>79</v>
      </c>
      <c r="D360" s="145" t="s">
        <v>80</v>
      </c>
      <c r="G360" s="104"/>
      <c r="H360" s="133"/>
      <c r="I360" s="104"/>
      <c r="J360" s="134">
        <f t="shared" ref="J360:K360" si="420">J362</f>
        <v>8500000</v>
      </c>
      <c r="K360" s="46" t="str">
        <f t="shared" si="420"/>
        <v/>
      </c>
      <c r="L360" s="116">
        <f t="shared" si="362"/>
        <v>0</v>
      </c>
      <c r="M360" s="106"/>
      <c r="N360" s="105"/>
      <c r="O360" s="46">
        <f t="shared" ref="O360:P360" si="421">O362</f>
        <v>8500000</v>
      </c>
      <c r="P360" s="46">
        <f t="shared" si="421"/>
        <v>8500000</v>
      </c>
      <c r="Q360" s="46">
        <v>8500000.0</v>
      </c>
      <c r="R360" s="101"/>
      <c r="S360" s="101"/>
      <c r="T360" s="99"/>
      <c r="U360" s="99"/>
      <c r="V360" s="99"/>
      <c r="W360" s="99"/>
      <c r="X360" s="99"/>
      <c r="Y360" s="99"/>
      <c r="Z360" s="99"/>
      <c r="AA360" s="99"/>
      <c r="AB360" s="99"/>
      <c r="AC360" s="99"/>
      <c r="AD360" s="99"/>
      <c r="AE360" s="99"/>
      <c r="AF360" s="99"/>
      <c r="AG360" s="99"/>
      <c r="AH360" s="99"/>
      <c r="AI360" s="99"/>
      <c r="AJ360" s="99"/>
      <c r="AK360" s="99"/>
      <c r="AL360" s="99"/>
      <c r="AM360" s="99"/>
    </row>
    <row r="361" ht="12.75" customHeight="1">
      <c r="A361" s="104"/>
      <c r="B361" s="104"/>
      <c r="C361" s="104"/>
      <c r="D361" s="110" t="s">
        <v>23</v>
      </c>
      <c r="G361" s="104"/>
      <c r="H361" s="104"/>
      <c r="I361" s="104"/>
      <c r="J361" s="111"/>
      <c r="K361" s="111"/>
      <c r="L361" s="116" t="str">
        <f t="shared" si="362"/>
        <v>#DIV/0!</v>
      </c>
      <c r="M361" s="106"/>
      <c r="N361" s="105"/>
      <c r="O361" s="111"/>
      <c r="P361" s="111"/>
      <c r="Q361" s="111"/>
      <c r="R361" s="101"/>
      <c r="S361" s="101"/>
      <c r="T361" s="99"/>
      <c r="U361" s="99"/>
      <c r="V361" s="99"/>
      <c r="W361" s="99"/>
      <c r="X361" s="99"/>
      <c r="Y361" s="99"/>
      <c r="Z361" s="99"/>
      <c r="AA361" s="99"/>
      <c r="AB361" s="99"/>
      <c r="AC361" s="99"/>
      <c r="AD361" s="99"/>
      <c r="AE361" s="99"/>
      <c r="AF361" s="99"/>
      <c r="AG361" s="99"/>
      <c r="AH361" s="99"/>
      <c r="AI361" s="99"/>
      <c r="AJ361" s="99"/>
      <c r="AK361" s="99"/>
      <c r="AL361" s="99"/>
      <c r="AM361" s="99"/>
    </row>
    <row r="362" ht="12.75" customHeight="1">
      <c r="A362" s="104"/>
      <c r="B362" s="104"/>
      <c r="C362" s="104"/>
      <c r="D362" s="110" t="s">
        <v>24</v>
      </c>
      <c r="E362" s="110" t="s">
        <v>81</v>
      </c>
      <c r="G362" s="136">
        <v>50.0</v>
      </c>
      <c r="H362" s="136" t="s">
        <v>26</v>
      </c>
      <c r="I362" s="137">
        <v>170000.0</v>
      </c>
      <c r="J362" s="46">
        <f>G362*I362</f>
        <v>8500000</v>
      </c>
      <c r="K362" s="46"/>
      <c r="L362" s="116">
        <f t="shared" si="362"/>
        <v>0</v>
      </c>
      <c r="M362" s="106"/>
      <c r="N362" s="105"/>
      <c r="O362" s="46">
        <f>J362-K362</f>
        <v>8500000</v>
      </c>
      <c r="P362" s="46">
        <f>J362-M362</f>
        <v>8500000</v>
      </c>
      <c r="Q362" s="46">
        <v>8500000.0</v>
      </c>
      <c r="R362" s="101"/>
      <c r="S362" s="101"/>
      <c r="T362" s="99"/>
      <c r="U362" s="99"/>
      <c r="V362" s="99"/>
      <c r="W362" s="99"/>
      <c r="X362" s="99"/>
      <c r="Y362" s="99"/>
      <c r="Z362" s="99"/>
      <c r="AA362" s="99"/>
      <c r="AB362" s="99"/>
      <c r="AC362" s="99"/>
      <c r="AD362" s="99"/>
      <c r="AE362" s="99"/>
      <c r="AF362" s="99"/>
      <c r="AG362" s="99"/>
      <c r="AH362" s="99"/>
      <c r="AI362" s="99"/>
      <c r="AJ362" s="99"/>
      <c r="AK362" s="99"/>
      <c r="AL362" s="99"/>
      <c r="AM362" s="99"/>
    </row>
    <row r="363" ht="12.75" customHeight="1">
      <c r="A363" s="144" t="s">
        <v>82</v>
      </c>
      <c r="D363" s="144" t="s">
        <v>83</v>
      </c>
      <c r="G363" s="104"/>
      <c r="H363" s="128"/>
      <c r="I363" s="104"/>
      <c r="J363" s="129">
        <f t="shared" ref="J363:K363" si="422">J364+J369</f>
        <v>1993500000</v>
      </c>
      <c r="K363" s="43">
        <f t="shared" si="422"/>
        <v>165311500</v>
      </c>
      <c r="L363" s="116">
        <f t="shared" si="362"/>
        <v>8.292525709</v>
      </c>
      <c r="M363" s="106"/>
      <c r="N363" s="105"/>
      <c r="O363" s="43">
        <f t="shared" ref="O363:P363" si="423">O364+O369</f>
        <v>1828188500</v>
      </c>
      <c r="P363" s="43">
        <f t="shared" si="423"/>
        <v>1993500000</v>
      </c>
      <c r="Q363" s="43">
        <v>1.9935E9</v>
      </c>
      <c r="R363" s="101"/>
      <c r="S363" s="101"/>
      <c r="T363" s="99"/>
      <c r="U363" s="99"/>
      <c r="V363" s="99"/>
      <c r="W363" s="99"/>
      <c r="X363" s="99"/>
      <c r="Y363" s="99"/>
      <c r="Z363" s="99"/>
      <c r="AA363" s="99"/>
      <c r="AB363" s="99"/>
      <c r="AC363" s="99"/>
      <c r="AD363" s="99"/>
      <c r="AE363" s="99"/>
      <c r="AF363" s="99"/>
      <c r="AG363" s="99"/>
      <c r="AH363" s="99"/>
      <c r="AI363" s="99"/>
      <c r="AJ363" s="99"/>
      <c r="AK363" s="99"/>
      <c r="AL363" s="99"/>
      <c r="AM363" s="99"/>
    </row>
    <row r="364" ht="12.75" customHeight="1">
      <c r="A364" s="110" t="s">
        <v>84</v>
      </c>
      <c r="D364" s="145" t="s">
        <v>85</v>
      </c>
      <c r="G364" s="104"/>
      <c r="H364" s="133"/>
      <c r="I364" s="104"/>
      <c r="J364" s="134">
        <f t="shared" ref="J364:K364" si="424">SUM(J366:J368)</f>
        <v>1867500000</v>
      </c>
      <c r="K364" s="46">
        <f t="shared" si="424"/>
        <v>165311500</v>
      </c>
      <c r="L364" s="116">
        <f t="shared" si="362"/>
        <v>8.852021419</v>
      </c>
      <c r="M364" s="106"/>
      <c r="N364" s="105"/>
      <c r="O364" s="46">
        <f t="shared" ref="O364:P364" si="425">SUM(O366:O368)</f>
        <v>1702188500</v>
      </c>
      <c r="P364" s="46">
        <f t="shared" si="425"/>
        <v>1867500000</v>
      </c>
      <c r="Q364" s="46">
        <v>1.8675E9</v>
      </c>
      <c r="R364" s="101"/>
      <c r="S364" s="101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99"/>
      <c r="AH364" s="99"/>
      <c r="AI364" s="99"/>
      <c r="AJ364" s="99"/>
      <c r="AK364" s="99"/>
      <c r="AL364" s="99"/>
      <c r="AM364" s="99"/>
    </row>
    <row r="365" ht="12.75" customHeight="1">
      <c r="A365" s="104"/>
      <c r="B365" s="104"/>
      <c r="C365" s="104"/>
      <c r="D365" s="110" t="s">
        <v>23</v>
      </c>
      <c r="G365" s="104"/>
      <c r="H365" s="104"/>
      <c r="I365" s="104"/>
      <c r="J365" s="111"/>
      <c r="K365" s="111"/>
      <c r="L365" s="116" t="str">
        <f t="shared" si="362"/>
        <v>#DIV/0!</v>
      </c>
      <c r="M365" s="106"/>
      <c r="N365" s="105"/>
      <c r="O365" s="111"/>
      <c r="P365" s="111"/>
      <c r="Q365" s="111"/>
      <c r="R365" s="101"/>
      <c r="S365" s="101"/>
      <c r="T365" s="99"/>
      <c r="U365" s="99"/>
      <c r="V365" s="99"/>
      <c r="W365" s="99"/>
      <c r="X365" s="99"/>
      <c r="Y365" s="99"/>
      <c r="Z365" s="99"/>
      <c r="AA365" s="99"/>
      <c r="AB365" s="99"/>
      <c r="AC365" s="99"/>
      <c r="AD365" s="99"/>
      <c r="AE365" s="99"/>
      <c r="AF365" s="99"/>
      <c r="AG365" s="99"/>
      <c r="AH365" s="99"/>
      <c r="AI365" s="99"/>
      <c r="AJ365" s="99"/>
      <c r="AK365" s="99"/>
      <c r="AL365" s="99"/>
      <c r="AM365" s="99"/>
    </row>
    <row r="366" ht="12.75" customHeight="1">
      <c r="A366" s="104"/>
      <c r="B366" s="104"/>
      <c r="C366" s="104"/>
      <c r="D366" s="110" t="s">
        <v>24</v>
      </c>
      <c r="E366" s="110" t="s">
        <v>259</v>
      </c>
      <c r="G366" s="136">
        <v>82125.0</v>
      </c>
      <c r="H366" s="136" t="s">
        <v>87</v>
      </c>
      <c r="I366" s="137">
        <v>15000.0</v>
      </c>
      <c r="J366" s="46">
        <f t="shared" ref="J366:J368" si="426">G366*I366</f>
        <v>1231875000</v>
      </c>
      <c r="K366" s="46">
        <v>1.23135E8</v>
      </c>
      <c r="L366" s="116">
        <f t="shared" si="362"/>
        <v>9.995738204</v>
      </c>
      <c r="M366" s="106"/>
      <c r="N366" s="105"/>
      <c r="O366" s="46">
        <f t="shared" ref="O366:O368" si="427">J366-K366</f>
        <v>1108740000</v>
      </c>
      <c r="P366" s="46">
        <f t="shared" ref="P366:P368" si="428">J366-M366</f>
        <v>1231875000</v>
      </c>
      <c r="Q366" s="46">
        <v>1.231875E9</v>
      </c>
      <c r="R366" s="101"/>
      <c r="S366" s="101"/>
      <c r="T366" s="99"/>
      <c r="U366" s="99"/>
      <c r="V366" s="99"/>
      <c r="W366" s="99"/>
      <c r="X366" s="99"/>
      <c r="Y366" s="99"/>
      <c r="Z366" s="99"/>
      <c r="AA366" s="99"/>
      <c r="AB366" s="99"/>
      <c r="AC366" s="99"/>
      <c r="AD366" s="99"/>
      <c r="AE366" s="99"/>
      <c r="AF366" s="99"/>
      <c r="AG366" s="99"/>
      <c r="AH366" s="99"/>
      <c r="AI366" s="99"/>
      <c r="AJ366" s="99"/>
      <c r="AK366" s="99"/>
      <c r="AL366" s="99"/>
      <c r="AM366" s="99"/>
    </row>
    <row r="367" ht="12.75" customHeight="1">
      <c r="A367" s="104"/>
      <c r="B367" s="104"/>
      <c r="C367" s="104"/>
      <c r="D367" s="110" t="s">
        <v>24</v>
      </c>
      <c r="E367" s="110" t="s">
        <v>88</v>
      </c>
      <c r="G367" s="136">
        <v>9000.0</v>
      </c>
      <c r="H367" s="136" t="s">
        <v>87</v>
      </c>
      <c r="I367" s="137">
        <v>25000.0</v>
      </c>
      <c r="J367" s="46">
        <f t="shared" si="426"/>
        <v>225000000</v>
      </c>
      <c r="K367" s="46">
        <v>1309000.0</v>
      </c>
      <c r="L367" s="116">
        <f t="shared" si="362"/>
        <v>0.5817777778</v>
      </c>
      <c r="M367" s="106"/>
      <c r="N367" s="105"/>
      <c r="O367" s="46">
        <f t="shared" si="427"/>
        <v>223691000</v>
      </c>
      <c r="P367" s="46">
        <f t="shared" si="428"/>
        <v>225000000</v>
      </c>
      <c r="Q367" s="46">
        <v>2.25E8</v>
      </c>
      <c r="R367" s="101"/>
      <c r="S367" s="101"/>
      <c r="T367" s="99"/>
      <c r="U367" s="99"/>
      <c r="V367" s="99"/>
      <c r="W367" s="99"/>
      <c r="X367" s="99"/>
      <c r="Y367" s="99"/>
      <c r="Z367" s="99"/>
      <c r="AA367" s="99"/>
      <c r="AB367" s="99"/>
      <c r="AC367" s="99"/>
      <c r="AD367" s="99"/>
      <c r="AE367" s="99"/>
      <c r="AF367" s="99"/>
      <c r="AG367" s="99"/>
      <c r="AH367" s="99"/>
      <c r="AI367" s="99"/>
      <c r="AJ367" s="99"/>
      <c r="AK367" s="99"/>
      <c r="AL367" s="99"/>
      <c r="AM367" s="99"/>
    </row>
    <row r="368" ht="12.75" customHeight="1">
      <c r="A368" s="104"/>
      <c r="B368" s="104"/>
      <c r="C368" s="104"/>
      <c r="D368" s="110" t="s">
        <v>24</v>
      </c>
      <c r="E368" s="110" t="s">
        <v>260</v>
      </c>
      <c r="G368" s="136">
        <v>54750.0</v>
      </c>
      <c r="H368" s="136" t="s">
        <v>87</v>
      </c>
      <c r="I368" s="137">
        <v>7500.0</v>
      </c>
      <c r="J368" s="46">
        <f t="shared" si="426"/>
        <v>410625000</v>
      </c>
      <c r="K368" s="46">
        <v>4.08675E7</v>
      </c>
      <c r="L368" s="116">
        <f t="shared" si="362"/>
        <v>9.952511416</v>
      </c>
      <c r="M368" s="106"/>
      <c r="N368" s="105"/>
      <c r="O368" s="46">
        <f t="shared" si="427"/>
        <v>369757500</v>
      </c>
      <c r="P368" s="46">
        <f t="shared" si="428"/>
        <v>410625000</v>
      </c>
      <c r="Q368" s="46">
        <v>4.10625E8</v>
      </c>
      <c r="R368" s="101"/>
      <c r="S368" s="101"/>
      <c r="T368" s="99"/>
      <c r="U368" s="99"/>
      <c r="V368" s="99"/>
      <c r="W368" s="99"/>
      <c r="X368" s="99"/>
      <c r="Y368" s="99"/>
      <c r="Z368" s="99"/>
      <c r="AA368" s="99"/>
      <c r="AB368" s="99"/>
      <c r="AC368" s="99"/>
      <c r="AD368" s="99"/>
      <c r="AE368" s="99"/>
      <c r="AF368" s="99"/>
      <c r="AG368" s="99"/>
      <c r="AH368" s="99"/>
      <c r="AI368" s="99"/>
      <c r="AJ368" s="99"/>
      <c r="AK368" s="99"/>
      <c r="AL368" s="99"/>
      <c r="AM368" s="99"/>
    </row>
    <row r="369" ht="12.75" customHeight="1">
      <c r="A369" s="110" t="s">
        <v>63</v>
      </c>
      <c r="D369" s="145" t="s">
        <v>64</v>
      </c>
      <c r="G369" s="104"/>
      <c r="H369" s="133"/>
      <c r="I369" s="104"/>
      <c r="J369" s="134">
        <f>SUM(J371:J372)</f>
        <v>126000000</v>
      </c>
      <c r="K369" s="46">
        <f>K371+K372</f>
        <v>0</v>
      </c>
      <c r="L369" s="116">
        <f t="shared" si="362"/>
        <v>0</v>
      </c>
      <c r="M369" s="146">
        <f t="shared" ref="M369:P369" si="429">M371+M372</f>
        <v>0</v>
      </c>
      <c r="N369" s="46">
        <f t="shared" si="429"/>
        <v>0</v>
      </c>
      <c r="O369" s="46">
        <f t="shared" si="429"/>
        <v>126000000</v>
      </c>
      <c r="P369" s="46">
        <f t="shared" si="429"/>
        <v>126000000</v>
      </c>
      <c r="Q369" s="46">
        <v>1.26E8</v>
      </c>
      <c r="R369" s="101"/>
      <c r="S369" s="101"/>
      <c r="T369" s="99"/>
      <c r="U369" s="99"/>
      <c r="V369" s="99"/>
      <c r="W369" s="99"/>
      <c r="X369" s="99"/>
      <c r="Y369" s="99"/>
      <c r="Z369" s="99"/>
      <c r="AA369" s="99"/>
      <c r="AB369" s="99"/>
      <c r="AC369" s="99"/>
      <c r="AD369" s="99"/>
      <c r="AE369" s="99"/>
      <c r="AF369" s="99"/>
      <c r="AG369" s="99"/>
      <c r="AH369" s="99"/>
      <c r="AI369" s="99"/>
      <c r="AJ369" s="99"/>
      <c r="AK369" s="99"/>
      <c r="AL369" s="99"/>
      <c r="AM369" s="99"/>
    </row>
    <row r="370" ht="12.75" customHeight="1">
      <c r="A370" s="104"/>
      <c r="B370" s="104"/>
      <c r="C370" s="104"/>
      <c r="D370" s="110" t="s">
        <v>23</v>
      </c>
      <c r="G370" s="104"/>
      <c r="H370" s="104"/>
      <c r="I370" s="104"/>
      <c r="J370" s="111"/>
      <c r="K370" s="111"/>
      <c r="L370" s="116" t="str">
        <f t="shared" si="362"/>
        <v>#DIV/0!</v>
      </c>
      <c r="M370" s="106"/>
      <c r="N370" s="105"/>
      <c r="O370" s="111"/>
      <c r="P370" s="111"/>
      <c r="Q370" s="111"/>
      <c r="R370" s="101"/>
      <c r="S370" s="101"/>
      <c r="T370" s="99"/>
      <c r="U370" s="99"/>
      <c r="V370" s="99"/>
      <c r="W370" s="99"/>
      <c r="X370" s="99"/>
      <c r="Y370" s="99"/>
      <c r="Z370" s="99"/>
      <c r="AA370" s="99"/>
      <c r="AB370" s="99"/>
      <c r="AC370" s="99"/>
      <c r="AD370" s="99"/>
      <c r="AE370" s="99"/>
      <c r="AF370" s="99"/>
      <c r="AG370" s="99"/>
      <c r="AH370" s="99"/>
      <c r="AI370" s="99"/>
      <c r="AJ370" s="99"/>
      <c r="AK370" s="99"/>
      <c r="AL370" s="99"/>
      <c r="AM370" s="99"/>
    </row>
    <row r="371" ht="12.75" customHeight="1">
      <c r="A371" s="104"/>
      <c r="B371" s="104"/>
      <c r="C371" s="104"/>
      <c r="D371" s="110" t="s">
        <v>24</v>
      </c>
      <c r="E371" s="110" t="s">
        <v>90</v>
      </c>
      <c r="G371" s="136">
        <v>180.0</v>
      </c>
      <c r="H371" s="136" t="s">
        <v>87</v>
      </c>
      <c r="I371" s="137">
        <v>500000.0</v>
      </c>
      <c r="J371" s="46">
        <f t="shared" ref="J371:J372" si="430">G371*I371</f>
        <v>90000000</v>
      </c>
      <c r="K371" s="46"/>
      <c r="L371" s="116">
        <f t="shared" si="362"/>
        <v>0</v>
      </c>
      <c r="M371" s="106"/>
      <c r="N371" s="105"/>
      <c r="O371" s="46">
        <f t="shared" ref="O371:O372" si="431">J371-K371</f>
        <v>90000000</v>
      </c>
      <c r="P371" s="46">
        <f t="shared" ref="P371:P372" si="432">J371-M371</f>
        <v>90000000</v>
      </c>
      <c r="Q371" s="46">
        <v>9.0E7</v>
      </c>
      <c r="R371" s="101"/>
      <c r="S371" s="101"/>
      <c r="T371" s="99"/>
      <c r="U371" s="99"/>
      <c r="V371" s="99"/>
      <c r="W371" s="99"/>
      <c r="X371" s="99"/>
      <c r="Y371" s="99"/>
      <c r="Z371" s="99"/>
      <c r="AA371" s="99"/>
      <c r="AB371" s="99"/>
      <c r="AC371" s="99"/>
      <c r="AD371" s="99"/>
      <c r="AE371" s="99"/>
      <c r="AF371" s="99"/>
      <c r="AG371" s="99"/>
      <c r="AH371" s="99"/>
      <c r="AI371" s="99"/>
      <c r="AJ371" s="99"/>
      <c r="AK371" s="99"/>
      <c r="AL371" s="99"/>
      <c r="AM371" s="99"/>
    </row>
    <row r="372" ht="12.75" customHeight="1">
      <c r="A372" s="104"/>
      <c r="B372" s="104"/>
      <c r="C372" s="104"/>
      <c r="D372" s="110" t="s">
        <v>24</v>
      </c>
      <c r="E372" s="110" t="s">
        <v>261</v>
      </c>
      <c r="G372" s="136">
        <v>900.0</v>
      </c>
      <c r="H372" s="136" t="s">
        <v>87</v>
      </c>
      <c r="I372" s="137">
        <v>40000.0</v>
      </c>
      <c r="J372" s="46">
        <f t="shared" si="430"/>
        <v>36000000</v>
      </c>
      <c r="K372" s="46"/>
      <c r="L372" s="116">
        <f t="shared" si="362"/>
        <v>0</v>
      </c>
      <c r="M372" s="106"/>
      <c r="N372" s="105"/>
      <c r="O372" s="46">
        <f t="shared" si="431"/>
        <v>36000000</v>
      </c>
      <c r="P372" s="46">
        <f t="shared" si="432"/>
        <v>36000000</v>
      </c>
      <c r="Q372" s="46">
        <v>3.6E7</v>
      </c>
      <c r="R372" s="101"/>
      <c r="S372" s="101"/>
      <c r="T372" s="99"/>
      <c r="U372" s="99"/>
      <c r="V372" s="99"/>
      <c r="W372" s="99"/>
      <c r="X372" s="99"/>
      <c r="Y372" s="99"/>
      <c r="Z372" s="99"/>
      <c r="AA372" s="99"/>
      <c r="AB372" s="99"/>
      <c r="AC372" s="99"/>
      <c r="AD372" s="99"/>
      <c r="AE372" s="99"/>
      <c r="AF372" s="99"/>
      <c r="AG372" s="99"/>
      <c r="AH372" s="99"/>
      <c r="AI372" s="99"/>
      <c r="AJ372" s="99"/>
      <c r="AK372" s="99"/>
      <c r="AL372" s="99"/>
      <c r="AM372" s="99"/>
    </row>
    <row r="373" ht="12.75" customHeight="1">
      <c r="A373" s="144" t="s">
        <v>92</v>
      </c>
      <c r="D373" s="144" t="s">
        <v>93</v>
      </c>
      <c r="G373" s="104"/>
      <c r="H373" s="128"/>
      <c r="I373" s="104"/>
      <c r="J373" s="129">
        <f t="shared" ref="J373:K373" si="433">J374</f>
        <v>42756000</v>
      </c>
      <c r="K373" s="43">
        <f t="shared" si="433"/>
        <v>0</v>
      </c>
      <c r="L373" s="116">
        <f t="shared" si="362"/>
        <v>0</v>
      </c>
      <c r="M373" s="106"/>
      <c r="N373" s="105"/>
      <c r="O373" s="43">
        <f t="shared" ref="O373:P373" si="434">O374</f>
        <v>42756000</v>
      </c>
      <c r="P373" s="43">
        <f t="shared" si="434"/>
        <v>42756000</v>
      </c>
      <c r="Q373" s="43">
        <v>4.2756E7</v>
      </c>
      <c r="R373" s="101"/>
      <c r="S373" s="101"/>
      <c r="T373" s="99"/>
      <c r="U373" s="99"/>
      <c r="V373" s="99"/>
      <c r="W373" s="99"/>
      <c r="X373" s="99"/>
      <c r="Y373" s="99"/>
      <c r="Z373" s="99"/>
      <c r="AA373" s="99"/>
      <c r="AB373" s="99"/>
      <c r="AC373" s="99"/>
      <c r="AD373" s="99"/>
      <c r="AE373" s="99"/>
      <c r="AF373" s="99"/>
      <c r="AG373" s="99"/>
      <c r="AH373" s="99"/>
      <c r="AI373" s="99"/>
      <c r="AJ373" s="99"/>
      <c r="AK373" s="99"/>
      <c r="AL373" s="99"/>
      <c r="AM373" s="99"/>
    </row>
    <row r="374" ht="12.75" customHeight="1">
      <c r="A374" s="110" t="s">
        <v>68</v>
      </c>
      <c r="D374" s="145" t="s">
        <v>69</v>
      </c>
      <c r="G374" s="104"/>
      <c r="H374" s="133"/>
      <c r="I374" s="104"/>
      <c r="J374" s="134">
        <f t="shared" ref="J374:K374" si="435">SUM(J376:J377)</f>
        <v>42756000</v>
      </c>
      <c r="K374" s="46">
        <f t="shared" si="435"/>
        <v>0</v>
      </c>
      <c r="L374" s="116">
        <f t="shared" si="362"/>
        <v>0</v>
      </c>
      <c r="M374" s="106"/>
      <c r="N374" s="105"/>
      <c r="O374" s="46">
        <f t="shared" ref="O374:P374" si="436">SUM(O376:O377)</f>
        <v>42756000</v>
      </c>
      <c r="P374" s="46">
        <f t="shared" si="436"/>
        <v>42756000</v>
      </c>
      <c r="Q374" s="46">
        <v>4.2756E7</v>
      </c>
      <c r="R374" s="101"/>
      <c r="S374" s="101"/>
      <c r="T374" s="99"/>
      <c r="U374" s="99"/>
      <c r="V374" s="99"/>
      <c r="W374" s="99"/>
      <c r="X374" s="99"/>
      <c r="Y374" s="99"/>
      <c r="Z374" s="99"/>
      <c r="AA374" s="99"/>
      <c r="AB374" s="99"/>
      <c r="AC374" s="99"/>
      <c r="AD374" s="99"/>
      <c r="AE374" s="99"/>
      <c r="AF374" s="99"/>
      <c r="AG374" s="99"/>
      <c r="AH374" s="99"/>
      <c r="AI374" s="99"/>
      <c r="AJ374" s="99"/>
      <c r="AK374" s="99"/>
      <c r="AL374" s="99"/>
      <c r="AM374" s="99"/>
    </row>
    <row r="375" ht="12.75" customHeight="1">
      <c r="A375" s="104"/>
      <c r="B375" s="104"/>
      <c r="C375" s="104"/>
      <c r="D375" s="110" t="s">
        <v>23</v>
      </c>
      <c r="G375" s="104"/>
      <c r="H375" s="104"/>
      <c r="I375" s="104"/>
      <c r="J375" s="111"/>
      <c r="K375" s="111"/>
      <c r="L375" s="116" t="str">
        <f t="shared" si="362"/>
        <v>#DIV/0!</v>
      </c>
      <c r="M375" s="106"/>
      <c r="N375" s="105"/>
      <c r="O375" s="111"/>
      <c r="P375" s="111"/>
      <c r="Q375" s="111"/>
      <c r="R375" s="101"/>
      <c r="S375" s="101"/>
      <c r="T375" s="99"/>
      <c r="U375" s="99"/>
      <c r="V375" s="99"/>
      <c r="W375" s="99"/>
      <c r="X375" s="99"/>
      <c r="Y375" s="99"/>
      <c r="Z375" s="99"/>
      <c r="AA375" s="99"/>
      <c r="AB375" s="99"/>
      <c r="AC375" s="99"/>
      <c r="AD375" s="99"/>
      <c r="AE375" s="99"/>
      <c r="AF375" s="99"/>
      <c r="AG375" s="99"/>
      <c r="AH375" s="99"/>
      <c r="AI375" s="99"/>
      <c r="AJ375" s="99"/>
      <c r="AK375" s="99"/>
      <c r="AL375" s="99"/>
      <c r="AM375" s="99"/>
    </row>
    <row r="376" ht="12.75" customHeight="1">
      <c r="A376" s="104"/>
      <c r="B376" s="104"/>
      <c r="C376" s="104"/>
      <c r="D376" s="110" t="s">
        <v>24</v>
      </c>
      <c r="E376" s="110" t="s">
        <v>94</v>
      </c>
      <c r="G376" s="136">
        <v>12.0</v>
      </c>
      <c r="H376" s="136" t="s">
        <v>95</v>
      </c>
      <c r="I376" s="137">
        <v>2500000.0</v>
      </c>
      <c r="J376" s="46">
        <f t="shared" ref="J376:J377" si="437">G376*I376</f>
        <v>30000000</v>
      </c>
      <c r="K376" s="46"/>
      <c r="L376" s="116">
        <f t="shared" si="362"/>
        <v>0</v>
      </c>
      <c r="M376" s="106"/>
      <c r="N376" s="105"/>
      <c r="O376" s="46">
        <f t="shared" ref="O376:O377" si="438">J376-K376</f>
        <v>30000000</v>
      </c>
      <c r="P376" s="46">
        <f t="shared" ref="P376:P377" si="439">J376-M376</f>
        <v>30000000</v>
      </c>
      <c r="Q376" s="46">
        <v>3.0E7</v>
      </c>
      <c r="R376" s="101"/>
      <c r="S376" s="101"/>
      <c r="T376" s="99"/>
      <c r="U376" s="99"/>
      <c r="V376" s="99"/>
      <c r="W376" s="99"/>
      <c r="X376" s="99"/>
      <c r="Y376" s="99"/>
      <c r="Z376" s="99"/>
      <c r="AA376" s="99"/>
      <c r="AB376" s="99"/>
      <c r="AC376" s="99"/>
      <c r="AD376" s="99"/>
      <c r="AE376" s="99"/>
      <c r="AF376" s="99"/>
      <c r="AG376" s="99"/>
      <c r="AH376" s="99"/>
      <c r="AI376" s="99"/>
      <c r="AJ376" s="99"/>
      <c r="AK376" s="99"/>
      <c r="AL376" s="99"/>
      <c r="AM376" s="99"/>
    </row>
    <row r="377" ht="12.75" customHeight="1">
      <c r="A377" s="104"/>
      <c r="B377" s="104"/>
      <c r="C377" s="104"/>
      <c r="D377" s="110" t="s">
        <v>24</v>
      </c>
      <c r="E377" s="110" t="s">
        <v>290</v>
      </c>
      <c r="G377" s="136">
        <v>1.0</v>
      </c>
      <c r="H377" s="136" t="s">
        <v>97</v>
      </c>
      <c r="I377" s="137">
        <v>1.2756E7</v>
      </c>
      <c r="J377" s="46">
        <f t="shared" si="437"/>
        <v>12756000</v>
      </c>
      <c r="K377" s="46"/>
      <c r="L377" s="116">
        <f t="shared" si="362"/>
        <v>0</v>
      </c>
      <c r="M377" s="106"/>
      <c r="N377" s="105"/>
      <c r="O377" s="46">
        <f t="shared" si="438"/>
        <v>12756000</v>
      </c>
      <c r="P377" s="46">
        <f t="shared" si="439"/>
        <v>12756000</v>
      </c>
      <c r="Q377" s="46">
        <v>1.2756E7</v>
      </c>
      <c r="R377" s="101"/>
      <c r="S377" s="101"/>
      <c r="T377" s="99"/>
      <c r="U377" s="99"/>
      <c r="V377" s="99"/>
      <c r="W377" s="99"/>
      <c r="X377" s="99"/>
      <c r="Y377" s="99"/>
      <c r="Z377" s="99"/>
      <c r="AA377" s="99"/>
      <c r="AB377" s="99"/>
      <c r="AC377" s="99"/>
      <c r="AD377" s="99"/>
      <c r="AE377" s="99"/>
      <c r="AF377" s="99"/>
      <c r="AG377" s="99"/>
      <c r="AH377" s="99"/>
      <c r="AI377" s="99"/>
      <c r="AJ377" s="99"/>
      <c r="AK377" s="99"/>
      <c r="AL377" s="99"/>
      <c r="AM377" s="99"/>
    </row>
    <row r="378" ht="12.75" customHeight="1">
      <c r="A378" s="144" t="s">
        <v>98</v>
      </c>
      <c r="D378" s="144" t="s">
        <v>99</v>
      </c>
      <c r="G378" s="104"/>
      <c r="H378" s="128"/>
      <c r="I378" s="104"/>
      <c r="J378" s="129">
        <f t="shared" ref="J378:K378" si="440">J379+J388</f>
        <v>6760000</v>
      </c>
      <c r="K378" s="43">
        <f t="shared" si="440"/>
        <v>0</v>
      </c>
      <c r="L378" s="116">
        <f t="shared" si="362"/>
        <v>0</v>
      </c>
      <c r="M378" s="106"/>
      <c r="N378" s="105"/>
      <c r="O378" s="43">
        <f t="shared" ref="O378:P378" si="441">O379+O388</f>
        <v>6760000</v>
      </c>
      <c r="P378" s="43">
        <f t="shared" si="441"/>
        <v>6760000</v>
      </c>
      <c r="Q378" s="43">
        <v>6760000.0</v>
      </c>
      <c r="R378" s="101"/>
      <c r="S378" s="101"/>
      <c r="T378" s="99"/>
      <c r="U378" s="99"/>
      <c r="V378" s="99"/>
      <c r="W378" s="99"/>
      <c r="X378" s="99"/>
      <c r="Y378" s="99"/>
      <c r="Z378" s="99"/>
      <c r="AA378" s="99"/>
      <c r="AB378" s="99"/>
      <c r="AC378" s="99"/>
      <c r="AD378" s="99"/>
      <c r="AE378" s="99"/>
      <c r="AF378" s="99"/>
      <c r="AG378" s="99"/>
      <c r="AH378" s="99"/>
      <c r="AI378" s="99"/>
      <c r="AJ378" s="99"/>
      <c r="AK378" s="99"/>
      <c r="AL378" s="99"/>
      <c r="AM378" s="99"/>
    </row>
    <row r="379" ht="12.75" customHeight="1">
      <c r="A379" s="110" t="s">
        <v>100</v>
      </c>
      <c r="D379" s="145" t="s">
        <v>101</v>
      </c>
      <c r="G379" s="104"/>
      <c r="H379" s="133"/>
      <c r="I379" s="104"/>
      <c r="J379" s="134">
        <f t="shared" ref="J379:K379" si="442">SUM(J381:J387)</f>
        <v>5600000</v>
      </c>
      <c r="K379" s="46">
        <f t="shared" si="442"/>
        <v>0</v>
      </c>
      <c r="L379" s="116">
        <f t="shared" si="362"/>
        <v>0</v>
      </c>
      <c r="M379" s="106"/>
      <c r="N379" s="105"/>
      <c r="O379" s="46">
        <f t="shared" ref="O379:P379" si="443">SUM(O381:O387)</f>
        <v>5600000</v>
      </c>
      <c r="P379" s="46">
        <f t="shared" si="443"/>
        <v>5600000</v>
      </c>
      <c r="Q379" s="46">
        <v>5600000.0</v>
      </c>
      <c r="R379" s="101"/>
      <c r="S379" s="101"/>
      <c r="T379" s="99"/>
      <c r="U379" s="99"/>
      <c r="V379" s="99"/>
      <c r="W379" s="99"/>
      <c r="X379" s="99"/>
      <c r="Y379" s="99"/>
      <c r="Z379" s="99"/>
      <c r="AA379" s="99"/>
      <c r="AB379" s="99"/>
      <c r="AC379" s="99"/>
      <c r="AD379" s="99"/>
      <c r="AE379" s="99"/>
      <c r="AF379" s="99"/>
      <c r="AG379" s="99"/>
      <c r="AH379" s="99"/>
      <c r="AI379" s="99"/>
      <c r="AJ379" s="99"/>
      <c r="AK379" s="99"/>
      <c r="AL379" s="99"/>
      <c r="AM379" s="99"/>
    </row>
    <row r="380" ht="12.75" customHeight="1">
      <c r="A380" s="104"/>
      <c r="B380" s="104"/>
      <c r="C380" s="104"/>
      <c r="D380" s="110" t="s">
        <v>23</v>
      </c>
      <c r="G380" s="104"/>
      <c r="H380" s="104"/>
      <c r="I380" s="104"/>
      <c r="J380" s="111"/>
      <c r="K380" s="111"/>
      <c r="L380" s="116" t="str">
        <f t="shared" si="362"/>
        <v>#DIV/0!</v>
      </c>
      <c r="M380" s="106"/>
      <c r="N380" s="105"/>
      <c r="O380" s="111"/>
      <c r="P380" s="111"/>
      <c r="Q380" s="111"/>
      <c r="R380" s="101"/>
      <c r="S380" s="101"/>
      <c r="T380" s="99"/>
      <c r="U380" s="99"/>
      <c r="V380" s="99"/>
      <c r="W380" s="99"/>
      <c r="X380" s="99"/>
      <c r="Y380" s="99"/>
      <c r="Z380" s="99"/>
      <c r="AA380" s="99"/>
      <c r="AB380" s="99"/>
      <c r="AC380" s="99"/>
      <c r="AD380" s="99"/>
      <c r="AE380" s="99"/>
      <c r="AF380" s="99"/>
      <c r="AG380" s="99"/>
      <c r="AH380" s="99"/>
      <c r="AI380" s="99"/>
      <c r="AJ380" s="99"/>
      <c r="AK380" s="99"/>
      <c r="AL380" s="99"/>
      <c r="AM380" s="99"/>
    </row>
    <row r="381" ht="12.75" customHeight="1">
      <c r="A381" s="104"/>
      <c r="B381" s="104"/>
      <c r="C381" s="104"/>
      <c r="D381" s="110" t="s">
        <v>24</v>
      </c>
      <c r="E381" s="110" t="s">
        <v>102</v>
      </c>
      <c r="G381" s="136">
        <v>2.0</v>
      </c>
      <c r="H381" s="136" t="s">
        <v>95</v>
      </c>
      <c r="I381" s="137">
        <v>350000.0</v>
      </c>
      <c r="J381" s="46">
        <f t="shared" ref="J381:J387" si="444">G381*I381</f>
        <v>700000</v>
      </c>
      <c r="K381" s="46"/>
      <c r="L381" s="116">
        <f t="shared" si="362"/>
        <v>0</v>
      </c>
      <c r="M381" s="106"/>
      <c r="N381" s="105"/>
      <c r="O381" s="46">
        <f t="shared" ref="O381:O387" si="445">J381-K381</f>
        <v>700000</v>
      </c>
      <c r="P381" s="46">
        <f t="shared" ref="P381:P387" si="446">J381-M381</f>
        <v>700000</v>
      </c>
      <c r="Q381" s="46">
        <v>700000.0</v>
      </c>
      <c r="R381" s="101"/>
      <c r="S381" s="101"/>
      <c r="T381" s="99"/>
      <c r="U381" s="99"/>
      <c r="V381" s="99"/>
      <c r="W381" s="99"/>
      <c r="X381" s="99"/>
      <c r="Y381" s="99"/>
      <c r="Z381" s="99"/>
      <c r="AA381" s="99"/>
      <c r="AB381" s="99"/>
      <c r="AC381" s="99"/>
      <c r="AD381" s="99"/>
      <c r="AE381" s="99"/>
      <c r="AF381" s="99"/>
      <c r="AG381" s="99"/>
      <c r="AH381" s="99"/>
      <c r="AI381" s="99"/>
      <c r="AJ381" s="99"/>
      <c r="AK381" s="99"/>
      <c r="AL381" s="99"/>
      <c r="AM381" s="99"/>
    </row>
    <row r="382" ht="12.75" customHeight="1">
      <c r="A382" s="104"/>
      <c r="B382" s="104"/>
      <c r="C382" s="104"/>
      <c r="D382" s="110" t="s">
        <v>24</v>
      </c>
      <c r="E382" s="110" t="s">
        <v>103</v>
      </c>
      <c r="G382" s="136">
        <v>2.0</v>
      </c>
      <c r="H382" s="136" t="s">
        <v>95</v>
      </c>
      <c r="I382" s="137">
        <v>225000.0</v>
      </c>
      <c r="J382" s="46">
        <f t="shared" si="444"/>
        <v>450000</v>
      </c>
      <c r="K382" s="46"/>
      <c r="L382" s="116">
        <f t="shared" si="362"/>
        <v>0</v>
      </c>
      <c r="M382" s="106"/>
      <c r="N382" s="105"/>
      <c r="O382" s="46">
        <f t="shared" si="445"/>
        <v>450000</v>
      </c>
      <c r="P382" s="46">
        <f t="shared" si="446"/>
        <v>450000</v>
      </c>
      <c r="Q382" s="46">
        <v>450000.0</v>
      </c>
      <c r="R382" s="101"/>
      <c r="S382" s="101"/>
      <c r="T382" s="99"/>
      <c r="U382" s="99"/>
      <c r="V382" s="99"/>
      <c r="W382" s="99"/>
      <c r="X382" s="99"/>
      <c r="Y382" s="99"/>
      <c r="Z382" s="99"/>
      <c r="AA382" s="99"/>
      <c r="AB382" s="99"/>
      <c r="AC382" s="99"/>
      <c r="AD382" s="99"/>
      <c r="AE382" s="99"/>
      <c r="AF382" s="99"/>
      <c r="AG382" s="99"/>
      <c r="AH382" s="99"/>
      <c r="AI382" s="99"/>
      <c r="AJ382" s="99"/>
      <c r="AK382" s="99"/>
      <c r="AL382" s="99"/>
      <c r="AM382" s="99"/>
    </row>
    <row r="383" ht="15.75" customHeight="1">
      <c r="A383" s="104"/>
      <c r="B383" s="104"/>
      <c r="C383" s="104"/>
      <c r="D383" s="110" t="s">
        <v>24</v>
      </c>
      <c r="E383" s="110" t="s">
        <v>104</v>
      </c>
      <c r="G383" s="136">
        <v>2.0</v>
      </c>
      <c r="H383" s="136" t="s">
        <v>95</v>
      </c>
      <c r="I383" s="137">
        <v>450000.0</v>
      </c>
      <c r="J383" s="46">
        <f t="shared" si="444"/>
        <v>900000</v>
      </c>
      <c r="K383" s="46"/>
      <c r="L383" s="116">
        <f t="shared" si="362"/>
        <v>0</v>
      </c>
      <c r="M383" s="106"/>
      <c r="N383" s="105"/>
      <c r="O383" s="46">
        <f t="shared" si="445"/>
        <v>900000</v>
      </c>
      <c r="P383" s="46">
        <f t="shared" si="446"/>
        <v>900000</v>
      </c>
      <c r="Q383" s="46">
        <v>900000.0</v>
      </c>
      <c r="R383" s="101"/>
      <c r="S383" s="101"/>
      <c r="T383" s="99"/>
      <c r="U383" s="99"/>
      <c r="V383" s="99"/>
      <c r="W383" s="99"/>
      <c r="X383" s="99"/>
      <c r="Y383" s="99"/>
      <c r="Z383" s="99"/>
      <c r="AA383" s="99"/>
      <c r="AB383" s="99"/>
      <c r="AC383" s="99"/>
      <c r="AD383" s="99"/>
      <c r="AE383" s="99"/>
      <c r="AF383" s="99"/>
      <c r="AG383" s="99"/>
      <c r="AH383" s="99"/>
      <c r="AI383" s="99"/>
      <c r="AJ383" s="99"/>
      <c r="AK383" s="99"/>
      <c r="AL383" s="99"/>
      <c r="AM383" s="99"/>
    </row>
    <row r="384" ht="12.75" customHeight="1">
      <c r="A384" s="104"/>
      <c r="B384" s="104"/>
      <c r="C384" s="104"/>
      <c r="D384" s="110" t="s">
        <v>24</v>
      </c>
      <c r="E384" s="110" t="s">
        <v>105</v>
      </c>
      <c r="G384" s="136">
        <v>2.0</v>
      </c>
      <c r="H384" s="136" t="s">
        <v>95</v>
      </c>
      <c r="I384" s="137">
        <v>250000.0</v>
      </c>
      <c r="J384" s="46">
        <f t="shared" si="444"/>
        <v>500000</v>
      </c>
      <c r="K384" s="46"/>
      <c r="L384" s="116">
        <f t="shared" si="362"/>
        <v>0</v>
      </c>
      <c r="M384" s="106"/>
      <c r="N384" s="105"/>
      <c r="O384" s="46">
        <f t="shared" si="445"/>
        <v>500000</v>
      </c>
      <c r="P384" s="46">
        <f t="shared" si="446"/>
        <v>500000</v>
      </c>
      <c r="Q384" s="46">
        <v>500000.0</v>
      </c>
      <c r="R384" s="101"/>
      <c r="S384" s="101"/>
      <c r="T384" s="99"/>
      <c r="U384" s="99"/>
      <c r="V384" s="99"/>
      <c r="W384" s="99"/>
      <c r="X384" s="99"/>
      <c r="Y384" s="99"/>
      <c r="Z384" s="99"/>
      <c r="AA384" s="99"/>
      <c r="AB384" s="99"/>
      <c r="AC384" s="99"/>
      <c r="AD384" s="99"/>
      <c r="AE384" s="99"/>
      <c r="AF384" s="99"/>
      <c r="AG384" s="99"/>
      <c r="AH384" s="99"/>
      <c r="AI384" s="99"/>
      <c r="AJ384" s="99"/>
      <c r="AK384" s="99"/>
      <c r="AL384" s="99"/>
      <c r="AM384" s="99"/>
    </row>
    <row r="385" ht="12.75" customHeight="1">
      <c r="A385" s="104"/>
      <c r="B385" s="104"/>
      <c r="C385" s="104"/>
      <c r="D385" s="110" t="s">
        <v>24</v>
      </c>
      <c r="E385" s="110" t="s">
        <v>106</v>
      </c>
      <c r="G385" s="136">
        <v>2.0</v>
      </c>
      <c r="H385" s="136" t="s">
        <v>95</v>
      </c>
      <c r="I385" s="137">
        <v>100000.0</v>
      </c>
      <c r="J385" s="46">
        <f t="shared" si="444"/>
        <v>200000</v>
      </c>
      <c r="K385" s="46"/>
      <c r="L385" s="116">
        <f t="shared" si="362"/>
        <v>0</v>
      </c>
      <c r="M385" s="106"/>
      <c r="N385" s="105"/>
      <c r="O385" s="46">
        <f t="shared" si="445"/>
        <v>200000</v>
      </c>
      <c r="P385" s="46">
        <f t="shared" si="446"/>
        <v>200000</v>
      </c>
      <c r="Q385" s="46">
        <v>200000.0</v>
      </c>
      <c r="R385" s="101"/>
      <c r="S385" s="101"/>
      <c r="T385" s="99"/>
      <c r="U385" s="99"/>
      <c r="V385" s="99"/>
      <c r="W385" s="99"/>
      <c r="X385" s="99"/>
      <c r="Y385" s="99"/>
      <c r="Z385" s="99"/>
      <c r="AA385" s="99"/>
      <c r="AB385" s="99"/>
      <c r="AC385" s="99"/>
      <c r="AD385" s="99"/>
      <c r="AE385" s="99"/>
      <c r="AF385" s="99"/>
      <c r="AG385" s="99"/>
      <c r="AH385" s="99"/>
      <c r="AI385" s="99"/>
      <c r="AJ385" s="99"/>
      <c r="AK385" s="99"/>
      <c r="AL385" s="99"/>
      <c r="AM385" s="99"/>
    </row>
    <row r="386" ht="12.75" customHeight="1">
      <c r="A386" s="104"/>
      <c r="B386" s="104"/>
      <c r="C386" s="104"/>
      <c r="D386" s="110" t="s">
        <v>24</v>
      </c>
      <c r="E386" s="110" t="s">
        <v>107</v>
      </c>
      <c r="G386" s="136">
        <v>2.0</v>
      </c>
      <c r="H386" s="136" t="s">
        <v>95</v>
      </c>
      <c r="I386" s="137">
        <v>725000.0</v>
      </c>
      <c r="J386" s="46">
        <f t="shared" si="444"/>
        <v>1450000</v>
      </c>
      <c r="K386" s="46"/>
      <c r="L386" s="116">
        <f t="shared" si="362"/>
        <v>0</v>
      </c>
      <c r="M386" s="106"/>
      <c r="N386" s="105"/>
      <c r="O386" s="46">
        <f t="shared" si="445"/>
        <v>1450000</v>
      </c>
      <c r="P386" s="46">
        <f t="shared" si="446"/>
        <v>1450000</v>
      </c>
      <c r="Q386" s="46">
        <v>1450000.0</v>
      </c>
      <c r="R386" s="101"/>
      <c r="S386" s="101"/>
      <c r="T386" s="99"/>
      <c r="U386" s="99"/>
      <c r="V386" s="99"/>
      <c r="W386" s="99"/>
      <c r="X386" s="99"/>
      <c r="Y386" s="99"/>
      <c r="Z386" s="99"/>
      <c r="AA386" s="99"/>
      <c r="AB386" s="99"/>
      <c r="AC386" s="99"/>
      <c r="AD386" s="99"/>
      <c r="AE386" s="99"/>
      <c r="AF386" s="99"/>
      <c r="AG386" s="99"/>
      <c r="AH386" s="99"/>
      <c r="AI386" s="99"/>
      <c r="AJ386" s="99"/>
      <c r="AK386" s="99"/>
      <c r="AL386" s="99"/>
      <c r="AM386" s="99"/>
    </row>
    <row r="387" ht="15.75" customHeight="1">
      <c r="A387" s="104"/>
      <c r="B387" s="104"/>
      <c r="C387" s="104"/>
      <c r="D387" s="110" t="s">
        <v>24</v>
      </c>
      <c r="E387" s="110" t="s">
        <v>108</v>
      </c>
      <c r="G387" s="136">
        <v>2.0</v>
      </c>
      <c r="H387" s="136" t="s">
        <v>95</v>
      </c>
      <c r="I387" s="137">
        <v>700000.0</v>
      </c>
      <c r="J387" s="46">
        <f t="shared" si="444"/>
        <v>1400000</v>
      </c>
      <c r="K387" s="46"/>
      <c r="L387" s="116">
        <f t="shared" si="362"/>
        <v>0</v>
      </c>
      <c r="M387" s="106"/>
      <c r="N387" s="105"/>
      <c r="O387" s="46">
        <f t="shared" si="445"/>
        <v>1400000</v>
      </c>
      <c r="P387" s="46">
        <f t="shared" si="446"/>
        <v>1400000</v>
      </c>
      <c r="Q387" s="46">
        <v>1400000.0</v>
      </c>
      <c r="R387" s="101"/>
      <c r="S387" s="101"/>
      <c r="T387" s="99"/>
      <c r="U387" s="99"/>
      <c r="V387" s="99"/>
      <c r="W387" s="99"/>
      <c r="X387" s="99"/>
      <c r="Y387" s="99"/>
      <c r="Z387" s="99"/>
      <c r="AA387" s="99"/>
      <c r="AB387" s="99"/>
      <c r="AC387" s="99"/>
      <c r="AD387" s="99"/>
      <c r="AE387" s="99"/>
      <c r="AF387" s="99"/>
      <c r="AG387" s="99"/>
      <c r="AH387" s="99"/>
      <c r="AI387" s="99"/>
      <c r="AJ387" s="99"/>
      <c r="AK387" s="99"/>
      <c r="AL387" s="99"/>
      <c r="AM387" s="99"/>
    </row>
    <row r="388" ht="12.75" customHeight="1">
      <c r="A388" s="110" t="s">
        <v>68</v>
      </c>
      <c r="D388" s="145" t="s">
        <v>69</v>
      </c>
      <c r="G388" s="104"/>
      <c r="H388" s="133"/>
      <c r="I388" s="104"/>
      <c r="J388" s="134">
        <f t="shared" ref="J388:K388" si="447">SUM(J390:J393)</f>
        <v>1160000</v>
      </c>
      <c r="K388" s="46">
        <f t="shared" si="447"/>
        <v>0</v>
      </c>
      <c r="L388" s="116">
        <f t="shared" si="362"/>
        <v>0</v>
      </c>
      <c r="M388" s="106"/>
      <c r="N388" s="105"/>
      <c r="O388" s="46">
        <f t="shared" ref="O388:P388" si="448">SUM(O390:O393)</f>
        <v>1160000</v>
      </c>
      <c r="P388" s="46">
        <f t="shared" si="448"/>
        <v>1160000</v>
      </c>
      <c r="Q388" s="46">
        <v>1160000.0</v>
      </c>
      <c r="R388" s="101"/>
      <c r="S388" s="101"/>
      <c r="T388" s="99"/>
      <c r="U388" s="99"/>
      <c r="V388" s="99"/>
      <c r="W388" s="99"/>
      <c r="X388" s="99"/>
      <c r="Y388" s="99"/>
      <c r="Z388" s="99"/>
      <c r="AA388" s="99"/>
      <c r="AB388" s="99"/>
      <c r="AC388" s="99"/>
      <c r="AD388" s="99"/>
      <c r="AE388" s="99"/>
      <c r="AF388" s="99"/>
      <c r="AG388" s="99"/>
      <c r="AH388" s="99"/>
      <c r="AI388" s="99"/>
      <c r="AJ388" s="99"/>
      <c r="AK388" s="99"/>
      <c r="AL388" s="99"/>
      <c r="AM388" s="99"/>
    </row>
    <row r="389" ht="12.75" customHeight="1">
      <c r="A389" s="104"/>
      <c r="B389" s="104"/>
      <c r="C389" s="104"/>
      <c r="D389" s="110" t="s">
        <v>23</v>
      </c>
      <c r="G389" s="104"/>
      <c r="H389" s="104"/>
      <c r="I389" s="104"/>
      <c r="J389" s="111"/>
      <c r="K389" s="111"/>
      <c r="L389" s="116" t="str">
        <f t="shared" si="362"/>
        <v>#DIV/0!</v>
      </c>
      <c r="M389" s="106"/>
      <c r="N389" s="105"/>
      <c r="O389" s="111"/>
      <c r="P389" s="111"/>
      <c r="Q389" s="111"/>
      <c r="R389" s="101"/>
      <c r="S389" s="101"/>
      <c r="T389" s="99"/>
      <c r="U389" s="99"/>
      <c r="V389" s="99"/>
      <c r="W389" s="99"/>
      <c r="X389" s="99"/>
      <c r="Y389" s="99"/>
      <c r="Z389" s="99"/>
      <c r="AA389" s="99"/>
      <c r="AB389" s="99"/>
      <c r="AC389" s="99"/>
      <c r="AD389" s="99"/>
      <c r="AE389" s="99"/>
      <c r="AF389" s="99"/>
      <c r="AG389" s="99"/>
      <c r="AH389" s="99"/>
      <c r="AI389" s="99"/>
      <c r="AJ389" s="99"/>
      <c r="AK389" s="99"/>
      <c r="AL389" s="99"/>
      <c r="AM389" s="99"/>
    </row>
    <row r="390" ht="12.75" customHeight="1">
      <c r="A390" s="104"/>
      <c r="B390" s="104"/>
      <c r="C390" s="104"/>
      <c r="D390" s="110" t="s">
        <v>24</v>
      </c>
      <c r="E390" s="110" t="s">
        <v>109</v>
      </c>
      <c r="G390" s="136">
        <v>10.0</v>
      </c>
      <c r="H390" s="136" t="s">
        <v>95</v>
      </c>
      <c r="I390" s="137">
        <v>50000.0</v>
      </c>
      <c r="J390" s="46">
        <f t="shared" ref="J390:J393" si="449">G390*I390</f>
        <v>500000</v>
      </c>
      <c r="K390" s="46"/>
      <c r="L390" s="116">
        <f t="shared" si="362"/>
        <v>0</v>
      </c>
      <c r="M390" s="106"/>
      <c r="N390" s="105"/>
      <c r="O390" s="46">
        <f t="shared" ref="O390:O393" si="450">J390-K390</f>
        <v>500000</v>
      </c>
      <c r="P390" s="46">
        <f t="shared" ref="P390:P393" si="451">J390-M390</f>
        <v>500000</v>
      </c>
      <c r="Q390" s="46">
        <v>500000.0</v>
      </c>
      <c r="R390" s="101"/>
      <c r="S390" s="101"/>
      <c r="T390" s="99"/>
      <c r="U390" s="99"/>
      <c r="V390" s="99"/>
      <c r="W390" s="99"/>
      <c r="X390" s="99"/>
      <c r="Y390" s="99"/>
      <c r="Z390" s="99"/>
      <c r="AA390" s="99"/>
      <c r="AB390" s="99"/>
      <c r="AC390" s="99"/>
      <c r="AD390" s="99"/>
      <c r="AE390" s="99"/>
      <c r="AF390" s="99"/>
      <c r="AG390" s="99"/>
      <c r="AH390" s="99"/>
      <c r="AI390" s="99"/>
      <c r="AJ390" s="99"/>
      <c r="AK390" s="99"/>
      <c r="AL390" s="99"/>
      <c r="AM390" s="99"/>
    </row>
    <row r="391" ht="12.75" customHeight="1">
      <c r="A391" s="104"/>
      <c r="B391" s="104"/>
      <c r="C391" s="104"/>
      <c r="D391" s="110" t="s">
        <v>24</v>
      </c>
      <c r="E391" s="110" t="s">
        <v>110</v>
      </c>
      <c r="G391" s="136">
        <v>2.0</v>
      </c>
      <c r="H391" s="136" t="s">
        <v>95</v>
      </c>
      <c r="I391" s="137">
        <v>100000.0</v>
      </c>
      <c r="J391" s="46">
        <f t="shared" si="449"/>
        <v>200000</v>
      </c>
      <c r="K391" s="46"/>
      <c r="L391" s="116">
        <f t="shared" si="362"/>
        <v>0</v>
      </c>
      <c r="M391" s="106"/>
      <c r="N391" s="105"/>
      <c r="O391" s="46">
        <f t="shared" si="450"/>
        <v>200000</v>
      </c>
      <c r="P391" s="46">
        <f t="shared" si="451"/>
        <v>200000</v>
      </c>
      <c r="Q391" s="46">
        <v>200000.0</v>
      </c>
      <c r="R391" s="101"/>
      <c r="S391" s="101"/>
      <c r="T391" s="99"/>
      <c r="U391" s="99"/>
      <c r="V391" s="99"/>
      <c r="W391" s="99"/>
      <c r="X391" s="99"/>
      <c r="Y391" s="99"/>
      <c r="Z391" s="99"/>
      <c r="AA391" s="99"/>
      <c r="AB391" s="99"/>
      <c r="AC391" s="99"/>
      <c r="AD391" s="99"/>
      <c r="AE391" s="99"/>
      <c r="AF391" s="99"/>
      <c r="AG391" s="99"/>
      <c r="AH391" s="99"/>
      <c r="AI391" s="99"/>
      <c r="AJ391" s="99"/>
      <c r="AK391" s="99"/>
      <c r="AL391" s="99"/>
      <c r="AM391" s="99"/>
    </row>
    <row r="392" ht="12.75" customHeight="1">
      <c r="A392" s="104"/>
      <c r="B392" s="104"/>
      <c r="C392" s="104"/>
      <c r="D392" s="110" t="s">
        <v>24</v>
      </c>
      <c r="E392" s="110" t="s">
        <v>111</v>
      </c>
      <c r="G392" s="136">
        <v>2.0</v>
      </c>
      <c r="H392" s="136" t="s">
        <v>95</v>
      </c>
      <c r="I392" s="137">
        <v>200000.0</v>
      </c>
      <c r="J392" s="46">
        <f t="shared" si="449"/>
        <v>400000</v>
      </c>
      <c r="K392" s="46"/>
      <c r="L392" s="116">
        <f t="shared" si="362"/>
        <v>0</v>
      </c>
      <c r="M392" s="106"/>
      <c r="N392" s="105"/>
      <c r="O392" s="46">
        <f t="shared" si="450"/>
        <v>400000</v>
      </c>
      <c r="P392" s="46">
        <f t="shared" si="451"/>
        <v>400000</v>
      </c>
      <c r="Q392" s="46">
        <v>400000.0</v>
      </c>
      <c r="R392" s="101"/>
      <c r="S392" s="101"/>
      <c r="T392" s="99"/>
      <c r="U392" s="99"/>
      <c r="V392" s="99"/>
      <c r="W392" s="99"/>
      <c r="X392" s="99"/>
      <c r="Y392" s="99"/>
      <c r="Z392" s="99"/>
      <c r="AA392" s="99"/>
      <c r="AB392" s="99"/>
      <c r="AC392" s="99"/>
      <c r="AD392" s="99"/>
      <c r="AE392" s="99"/>
      <c r="AF392" s="99"/>
      <c r="AG392" s="99"/>
      <c r="AH392" s="99"/>
      <c r="AI392" s="99"/>
      <c r="AJ392" s="99"/>
      <c r="AK392" s="99"/>
      <c r="AL392" s="99"/>
      <c r="AM392" s="99"/>
    </row>
    <row r="393" ht="12.75" customHeight="1">
      <c r="A393" s="104"/>
      <c r="B393" s="104"/>
      <c r="C393" s="104"/>
      <c r="D393" s="110" t="s">
        <v>24</v>
      </c>
      <c r="E393" s="110" t="s">
        <v>112</v>
      </c>
      <c r="G393" s="136">
        <v>2.0</v>
      </c>
      <c r="H393" s="136" t="s">
        <v>95</v>
      </c>
      <c r="I393" s="137">
        <v>30000.0</v>
      </c>
      <c r="J393" s="46">
        <f t="shared" si="449"/>
        <v>60000</v>
      </c>
      <c r="K393" s="46"/>
      <c r="L393" s="116">
        <f t="shared" si="362"/>
        <v>0</v>
      </c>
      <c r="M393" s="106"/>
      <c r="N393" s="105"/>
      <c r="O393" s="46">
        <f t="shared" si="450"/>
        <v>60000</v>
      </c>
      <c r="P393" s="46">
        <f t="shared" si="451"/>
        <v>60000</v>
      </c>
      <c r="Q393" s="46">
        <v>60000.0</v>
      </c>
      <c r="R393" s="101"/>
      <c r="S393" s="101"/>
      <c r="T393" s="99"/>
      <c r="U393" s="99"/>
      <c r="V393" s="99"/>
      <c r="W393" s="99"/>
      <c r="X393" s="99"/>
      <c r="Y393" s="99"/>
      <c r="Z393" s="99"/>
      <c r="AA393" s="99"/>
      <c r="AB393" s="99"/>
      <c r="AC393" s="99"/>
      <c r="AD393" s="99"/>
      <c r="AE393" s="99"/>
      <c r="AF393" s="99"/>
      <c r="AG393" s="99"/>
      <c r="AH393" s="99"/>
      <c r="AI393" s="99"/>
      <c r="AJ393" s="99"/>
      <c r="AK393" s="99"/>
      <c r="AL393" s="99"/>
      <c r="AM393" s="99"/>
    </row>
    <row r="394" ht="12.75" customHeight="1">
      <c r="A394" s="144" t="s">
        <v>113</v>
      </c>
      <c r="D394" s="144" t="s">
        <v>114</v>
      </c>
      <c r="G394" s="104"/>
      <c r="H394" s="128"/>
      <c r="I394" s="104"/>
      <c r="J394" s="129">
        <f t="shared" ref="J394:K394" si="452">J395</f>
        <v>616125000</v>
      </c>
      <c r="K394" s="43">
        <f t="shared" si="452"/>
        <v>0</v>
      </c>
      <c r="L394" s="116">
        <f t="shared" si="362"/>
        <v>0</v>
      </c>
      <c r="M394" s="106"/>
      <c r="N394" s="105"/>
      <c r="O394" s="43">
        <f t="shared" ref="O394:P394" si="453">O395</f>
        <v>616125000</v>
      </c>
      <c r="P394" s="43">
        <f t="shared" si="453"/>
        <v>616125000</v>
      </c>
      <c r="Q394" s="43">
        <v>6.16125E8</v>
      </c>
      <c r="R394" s="101"/>
      <c r="S394" s="101"/>
      <c r="T394" s="99"/>
      <c r="U394" s="99"/>
      <c r="V394" s="99"/>
      <c r="W394" s="99"/>
      <c r="X394" s="99"/>
      <c r="Y394" s="99"/>
      <c r="Z394" s="99"/>
      <c r="AA394" s="99"/>
      <c r="AB394" s="99"/>
      <c r="AC394" s="99"/>
      <c r="AD394" s="99"/>
      <c r="AE394" s="99"/>
      <c r="AF394" s="99"/>
      <c r="AG394" s="99"/>
      <c r="AH394" s="99"/>
      <c r="AI394" s="99"/>
      <c r="AJ394" s="99"/>
      <c r="AK394" s="99"/>
      <c r="AL394" s="99"/>
      <c r="AM394" s="99"/>
    </row>
    <row r="395" ht="12.75" customHeight="1">
      <c r="A395" s="110" t="s">
        <v>68</v>
      </c>
      <c r="D395" s="145" t="s">
        <v>69</v>
      </c>
      <c r="G395" s="104"/>
      <c r="H395" s="133"/>
      <c r="I395" s="104"/>
      <c r="J395" s="134">
        <f t="shared" ref="J395:K395" si="454">SUM(J397:J407)</f>
        <v>616125000</v>
      </c>
      <c r="K395" s="46">
        <f t="shared" si="454"/>
        <v>0</v>
      </c>
      <c r="L395" s="116">
        <f t="shared" si="362"/>
        <v>0</v>
      </c>
      <c r="M395" s="106"/>
      <c r="N395" s="105"/>
      <c r="O395" s="46">
        <f t="shared" ref="O395:P395" si="455">SUM(O397:O407)</f>
        <v>616125000</v>
      </c>
      <c r="P395" s="46">
        <f t="shared" si="455"/>
        <v>616125000</v>
      </c>
      <c r="Q395" s="46">
        <v>6.16125E8</v>
      </c>
      <c r="R395" s="101"/>
      <c r="S395" s="101"/>
      <c r="T395" s="99"/>
      <c r="U395" s="99"/>
      <c r="V395" s="99"/>
      <c r="W395" s="99"/>
      <c r="X395" s="99"/>
      <c r="Y395" s="99"/>
      <c r="Z395" s="99"/>
      <c r="AA395" s="99"/>
      <c r="AB395" s="99"/>
      <c r="AC395" s="99"/>
      <c r="AD395" s="99"/>
      <c r="AE395" s="99"/>
      <c r="AF395" s="99"/>
      <c r="AG395" s="99"/>
      <c r="AH395" s="99"/>
      <c r="AI395" s="99"/>
      <c r="AJ395" s="99"/>
      <c r="AK395" s="99"/>
      <c r="AL395" s="99"/>
      <c r="AM395" s="99"/>
    </row>
    <row r="396" ht="12.75" customHeight="1">
      <c r="A396" s="104"/>
      <c r="B396" s="104"/>
      <c r="C396" s="104"/>
      <c r="D396" s="110" t="s">
        <v>23</v>
      </c>
      <c r="G396" s="104"/>
      <c r="H396" s="104"/>
      <c r="I396" s="104"/>
      <c r="J396" s="111"/>
      <c r="K396" s="111"/>
      <c r="L396" s="116" t="str">
        <f t="shared" si="362"/>
        <v>#DIV/0!</v>
      </c>
      <c r="M396" s="106"/>
      <c r="N396" s="105"/>
      <c r="O396" s="111"/>
      <c r="P396" s="111"/>
      <c r="Q396" s="111"/>
      <c r="R396" s="101"/>
      <c r="S396" s="101"/>
      <c r="T396" s="99"/>
      <c r="U396" s="99"/>
      <c r="V396" s="99"/>
      <c r="W396" s="99"/>
      <c r="X396" s="99"/>
      <c r="Y396" s="99"/>
      <c r="Z396" s="99"/>
      <c r="AA396" s="99"/>
      <c r="AB396" s="99"/>
      <c r="AC396" s="99"/>
      <c r="AD396" s="99"/>
      <c r="AE396" s="99"/>
      <c r="AF396" s="99"/>
      <c r="AG396" s="99"/>
      <c r="AH396" s="99"/>
      <c r="AI396" s="99"/>
      <c r="AJ396" s="99"/>
      <c r="AK396" s="99"/>
      <c r="AL396" s="99"/>
      <c r="AM396" s="99"/>
    </row>
    <row r="397" ht="12.75" customHeight="1">
      <c r="A397" s="104"/>
      <c r="B397" s="104"/>
      <c r="C397" s="104"/>
      <c r="D397" s="110" t="s">
        <v>24</v>
      </c>
      <c r="E397" s="110" t="s">
        <v>262</v>
      </c>
      <c r="G397" s="136">
        <v>150.0</v>
      </c>
      <c r="H397" s="136" t="s">
        <v>95</v>
      </c>
      <c r="I397" s="137">
        <v>110000.0</v>
      </c>
      <c r="J397" s="46">
        <f t="shared" ref="J397:J407" si="456">G397*I397</f>
        <v>16500000</v>
      </c>
      <c r="K397" s="46"/>
      <c r="L397" s="116">
        <f t="shared" si="362"/>
        <v>0</v>
      </c>
      <c r="M397" s="106"/>
      <c r="N397" s="105"/>
      <c r="O397" s="46">
        <f t="shared" ref="O397:O407" si="457">J397-K397</f>
        <v>16500000</v>
      </c>
      <c r="P397" s="46">
        <f t="shared" ref="P397:P407" si="458">J397-M397</f>
        <v>16500000</v>
      </c>
      <c r="Q397" s="46">
        <v>1.65E7</v>
      </c>
      <c r="R397" s="101"/>
      <c r="S397" s="101"/>
      <c r="T397" s="99"/>
      <c r="U397" s="99"/>
      <c r="V397" s="99"/>
      <c r="W397" s="99"/>
      <c r="X397" s="99"/>
      <c r="Y397" s="99"/>
      <c r="Z397" s="99"/>
      <c r="AA397" s="99"/>
      <c r="AB397" s="99"/>
      <c r="AC397" s="99"/>
      <c r="AD397" s="99"/>
      <c r="AE397" s="99"/>
      <c r="AF397" s="99"/>
      <c r="AG397" s="99"/>
      <c r="AH397" s="99"/>
      <c r="AI397" s="99"/>
      <c r="AJ397" s="99"/>
      <c r="AK397" s="99"/>
      <c r="AL397" s="99"/>
      <c r="AM397" s="99"/>
    </row>
    <row r="398" ht="12.75" customHeight="1">
      <c r="A398" s="104"/>
      <c r="B398" s="104"/>
      <c r="C398" s="104"/>
      <c r="D398" s="110" t="s">
        <v>24</v>
      </c>
      <c r="E398" s="110" t="s">
        <v>263</v>
      </c>
      <c r="G398" s="136">
        <v>150.0</v>
      </c>
      <c r="H398" s="136" t="s">
        <v>95</v>
      </c>
      <c r="I398" s="137">
        <v>120000.0</v>
      </c>
      <c r="J398" s="46">
        <f t="shared" si="456"/>
        <v>18000000</v>
      </c>
      <c r="K398" s="46"/>
      <c r="L398" s="116">
        <f t="shared" si="362"/>
        <v>0</v>
      </c>
      <c r="M398" s="106"/>
      <c r="N398" s="105"/>
      <c r="O398" s="46">
        <f t="shared" si="457"/>
        <v>18000000</v>
      </c>
      <c r="P398" s="46">
        <f t="shared" si="458"/>
        <v>18000000</v>
      </c>
      <c r="Q398" s="46">
        <v>1.8E7</v>
      </c>
      <c r="R398" s="101"/>
      <c r="S398" s="101"/>
      <c r="T398" s="99"/>
      <c r="U398" s="99"/>
      <c r="V398" s="99"/>
      <c r="W398" s="99"/>
      <c r="X398" s="99"/>
      <c r="Y398" s="99"/>
      <c r="Z398" s="99"/>
      <c r="AA398" s="99"/>
      <c r="AB398" s="99"/>
      <c r="AC398" s="99"/>
      <c r="AD398" s="99"/>
      <c r="AE398" s="99"/>
      <c r="AF398" s="99"/>
      <c r="AG398" s="99"/>
      <c r="AH398" s="99"/>
      <c r="AI398" s="99"/>
      <c r="AJ398" s="99"/>
      <c r="AK398" s="99"/>
      <c r="AL398" s="99"/>
      <c r="AM398" s="99"/>
    </row>
    <row r="399" ht="12.75" customHeight="1">
      <c r="A399" s="104"/>
      <c r="B399" s="104"/>
      <c r="C399" s="104"/>
      <c r="D399" s="110" t="s">
        <v>24</v>
      </c>
      <c r="E399" s="110" t="s">
        <v>264</v>
      </c>
      <c r="G399" s="136">
        <v>150.0</v>
      </c>
      <c r="H399" s="136" t="s">
        <v>95</v>
      </c>
      <c r="I399" s="137">
        <v>150000.0</v>
      </c>
      <c r="J399" s="46">
        <f t="shared" si="456"/>
        <v>22500000</v>
      </c>
      <c r="K399" s="46"/>
      <c r="L399" s="116">
        <f t="shared" si="362"/>
        <v>0</v>
      </c>
      <c r="M399" s="106"/>
      <c r="N399" s="105"/>
      <c r="O399" s="46">
        <f t="shared" si="457"/>
        <v>22500000</v>
      </c>
      <c r="P399" s="46">
        <f t="shared" si="458"/>
        <v>22500000</v>
      </c>
      <c r="Q399" s="46">
        <v>2.25E7</v>
      </c>
      <c r="R399" s="101"/>
      <c r="S399" s="101"/>
      <c r="T399" s="99"/>
      <c r="U399" s="99"/>
      <c r="V399" s="99"/>
      <c r="W399" s="99"/>
      <c r="X399" s="99"/>
      <c r="Y399" s="99"/>
      <c r="Z399" s="99"/>
      <c r="AA399" s="99"/>
      <c r="AB399" s="99"/>
      <c r="AC399" s="99"/>
      <c r="AD399" s="99"/>
      <c r="AE399" s="99"/>
      <c r="AF399" s="99"/>
      <c r="AG399" s="99"/>
      <c r="AH399" s="99"/>
      <c r="AI399" s="99"/>
      <c r="AJ399" s="99"/>
      <c r="AK399" s="99"/>
      <c r="AL399" s="99"/>
      <c r="AM399" s="99"/>
    </row>
    <row r="400" ht="12.75" customHeight="1">
      <c r="A400" s="104"/>
      <c r="B400" s="104"/>
      <c r="C400" s="104"/>
      <c r="D400" s="110" t="s">
        <v>24</v>
      </c>
      <c r="E400" s="110" t="s">
        <v>265</v>
      </c>
      <c r="G400" s="136">
        <v>150.0</v>
      </c>
      <c r="H400" s="136" t="s">
        <v>95</v>
      </c>
      <c r="I400" s="137">
        <v>100000.0</v>
      </c>
      <c r="J400" s="46">
        <f t="shared" si="456"/>
        <v>15000000</v>
      </c>
      <c r="K400" s="46"/>
      <c r="L400" s="116">
        <f t="shared" si="362"/>
        <v>0</v>
      </c>
      <c r="M400" s="106"/>
      <c r="N400" s="105"/>
      <c r="O400" s="46">
        <f t="shared" si="457"/>
        <v>15000000</v>
      </c>
      <c r="P400" s="46">
        <f t="shared" si="458"/>
        <v>15000000</v>
      </c>
      <c r="Q400" s="46">
        <v>1.5E7</v>
      </c>
      <c r="R400" s="101"/>
      <c r="S400" s="101"/>
      <c r="T400" s="99"/>
      <c r="U400" s="99"/>
      <c r="V400" s="99"/>
      <c r="W400" s="99"/>
      <c r="X400" s="99"/>
      <c r="Y400" s="99"/>
      <c r="Z400" s="99"/>
      <c r="AA400" s="99"/>
      <c r="AB400" s="99"/>
      <c r="AC400" s="99"/>
      <c r="AD400" s="99"/>
      <c r="AE400" s="99"/>
      <c r="AF400" s="99"/>
      <c r="AG400" s="99"/>
      <c r="AH400" s="99"/>
      <c r="AI400" s="99"/>
      <c r="AJ400" s="99"/>
      <c r="AK400" s="99"/>
      <c r="AL400" s="99"/>
      <c r="AM400" s="99"/>
    </row>
    <row r="401" ht="12.75" customHeight="1">
      <c r="A401" s="104"/>
      <c r="B401" s="104"/>
      <c r="C401" s="104"/>
      <c r="D401" s="110" t="s">
        <v>24</v>
      </c>
      <c r="E401" s="110" t="s">
        <v>266</v>
      </c>
      <c r="G401" s="136">
        <v>150.0</v>
      </c>
      <c r="H401" s="136" t="s">
        <v>95</v>
      </c>
      <c r="I401" s="137">
        <v>350000.0</v>
      </c>
      <c r="J401" s="46">
        <f t="shared" si="456"/>
        <v>52500000</v>
      </c>
      <c r="K401" s="46"/>
      <c r="L401" s="116">
        <f t="shared" si="362"/>
        <v>0</v>
      </c>
      <c r="M401" s="106"/>
      <c r="N401" s="105"/>
      <c r="O401" s="46">
        <f t="shared" si="457"/>
        <v>52500000</v>
      </c>
      <c r="P401" s="46">
        <f t="shared" si="458"/>
        <v>52500000</v>
      </c>
      <c r="Q401" s="46">
        <v>5.25E7</v>
      </c>
      <c r="R401" s="101"/>
      <c r="S401" s="101"/>
      <c r="T401" s="99"/>
      <c r="U401" s="99"/>
      <c r="V401" s="99"/>
      <c r="W401" s="99"/>
      <c r="X401" s="99"/>
      <c r="Y401" s="99"/>
      <c r="Z401" s="99"/>
      <c r="AA401" s="99"/>
      <c r="AB401" s="99"/>
      <c r="AC401" s="99"/>
      <c r="AD401" s="99"/>
      <c r="AE401" s="99"/>
      <c r="AF401" s="99"/>
      <c r="AG401" s="99"/>
      <c r="AH401" s="99"/>
      <c r="AI401" s="99"/>
      <c r="AJ401" s="99"/>
      <c r="AK401" s="99"/>
      <c r="AL401" s="99"/>
      <c r="AM401" s="99"/>
    </row>
    <row r="402" ht="12.75" customHeight="1">
      <c r="A402" s="104"/>
      <c r="B402" s="104"/>
      <c r="C402" s="104"/>
      <c r="D402" s="110" t="s">
        <v>24</v>
      </c>
      <c r="E402" s="110" t="s">
        <v>267</v>
      </c>
      <c r="G402" s="136">
        <v>75.0</v>
      </c>
      <c r="H402" s="136" t="s">
        <v>95</v>
      </c>
      <c r="I402" s="137">
        <v>175000.0</v>
      </c>
      <c r="J402" s="46">
        <f t="shared" si="456"/>
        <v>13125000</v>
      </c>
      <c r="K402" s="46"/>
      <c r="L402" s="116">
        <f t="shared" si="362"/>
        <v>0</v>
      </c>
      <c r="M402" s="106"/>
      <c r="N402" s="105"/>
      <c r="O402" s="46">
        <f t="shared" si="457"/>
        <v>13125000</v>
      </c>
      <c r="P402" s="46">
        <f t="shared" si="458"/>
        <v>13125000</v>
      </c>
      <c r="Q402" s="46">
        <v>1.3125E7</v>
      </c>
      <c r="R402" s="101"/>
      <c r="S402" s="101"/>
      <c r="T402" s="99"/>
      <c r="U402" s="99"/>
      <c r="V402" s="99"/>
      <c r="W402" s="99"/>
      <c r="X402" s="99"/>
      <c r="Y402" s="99"/>
      <c r="Z402" s="99"/>
      <c r="AA402" s="99"/>
      <c r="AB402" s="99"/>
      <c r="AC402" s="99"/>
      <c r="AD402" s="99"/>
      <c r="AE402" s="99"/>
      <c r="AF402" s="99"/>
      <c r="AG402" s="99"/>
      <c r="AH402" s="99"/>
      <c r="AI402" s="99"/>
      <c r="AJ402" s="99"/>
      <c r="AK402" s="99"/>
      <c r="AL402" s="99"/>
      <c r="AM402" s="99"/>
    </row>
    <row r="403" ht="12.75" customHeight="1">
      <c r="A403" s="104"/>
      <c r="B403" s="104"/>
      <c r="C403" s="104"/>
      <c r="D403" s="110" t="s">
        <v>24</v>
      </c>
      <c r="E403" s="110" t="s">
        <v>268</v>
      </c>
      <c r="G403" s="136">
        <v>525.0</v>
      </c>
      <c r="H403" s="136" t="s">
        <v>95</v>
      </c>
      <c r="I403" s="137">
        <v>150000.0</v>
      </c>
      <c r="J403" s="46">
        <f t="shared" si="456"/>
        <v>78750000</v>
      </c>
      <c r="K403" s="46"/>
      <c r="L403" s="116">
        <f t="shared" si="362"/>
        <v>0</v>
      </c>
      <c r="M403" s="106"/>
      <c r="N403" s="105"/>
      <c r="O403" s="46">
        <f t="shared" si="457"/>
        <v>78750000</v>
      </c>
      <c r="P403" s="46">
        <f t="shared" si="458"/>
        <v>78750000</v>
      </c>
      <c r="Q403" s="46">
        <v>7.875E7</v>
      </c>
      <c r="R403" s="101"/>
      <c r="S403" s="101"/>
      <c r="T403" s="99"/>
      <c r="U403" s="99"/>
      <c r="V403" s="99"/>
      <c r="W403" s="99"/>
      <c r="X403" s="99"/>
      <c r="Y403" s="99"/>
      <c r="Z403" s="99"/>
      <c r="AA403" s="99"/>
      <c r="AB403" s="99"/>
      <c r="AC403" s="99"/>
      <c r="AD403" s="99"/>
      <c r="AE403" s="99"/>
      <c r="AF403" s="99"/>
      <c r="AG403" s="99"/>
      <c r="AH403" s="99"/>
      <c r="AI403" s="99"/>
      <c r="AJ403" s="99"/>
      <c r="AK403" s="99"/>
      <c r="AL403" s="99"/>
      <c r="AM403" s="99"/>
    </row>
    <row r="404" ht="12.75" customHeight="1">
      <c r="A404" s="104"/>
      <c r="B404" s="104"/>
      <c r="C404" s="104"/>
      <c r="D404" s="110" t="s">
        <v>24</v>
      </c>
      <c r="E404" s="110" t="s">
        <v>269</v>
      </c>
      <c r="G404" s="136">
        <v>525.0</v>
      </c>
      <c r="H404" s="136" t="s">
        <v>95</v>
      </c>
      <c r="I404" s="137">
        <v>200000.0</v>
      </c>
      <c r="J404" s="46">
        <f t="shared" si="456"/>
        <v>105000000</v>
      </c>
      <c r="K404" s="46"/>
      <c r="L404" s="116">
        <f t="shared" si="362"/>
        <v>0</v>
      </c>
      <c r="M404" s="106"/>
      <c r="N404" s="105"/>
      <c r="O404" s="46">
        <f t="shared" si="457"/>
        <v>105000000</v>
      </c>
      <c r="P404" s="46">
        <f t="shared" si="458"/>
        <v>105000000</v>
      </c>
      <c r="Q404" s="46">
        <v>1.05E8</v>
      </c>
      <c r="R404" s="101"/>
      <c r="S404" s="101"/>
      <c r="T404" s="99"/>
      <c r="U404" s="99"/>
      <c r="V404" s="99"/>
      <c r="W404" s="99"/>
      <c r="X404" s="99"/>
      <c r="Y404" s="99"/>
      <c r="Z404" s="99"/>
      <c r="AA404" s="99"/>
      <c r="AB404" s="99"/>
      <c r="AC404" s="99"/>
      <c r="AD404" s="99"/>
      <c r="AE404" s="99"/>
      <c r="AF404" s="99"/>
      <c r="AG404" s="99"/>
      <c r="AH404" s="99"/>
      <c r="AI404" s="99"/>
      <c r="AJ404" s="99"/>
      <c r="AK404" s="99"/>
      <c r="AL404" s="99"/>
      <c r="AM404" s="99"/>
    </row>
    <row r="405" ht="15.75" customHeight="1">
      <c r="A405" s="104"/>
      <c r="B405" s="104"/>
      <c r="C405" s="104"/>
      <c r="D405" s="110" t="s">
        <v>24</v>
      </c>
      <c r="E405" s="110" t="s">
        <v>270</v>
      </c>
      <c r="G405" s="136">
        <v>900.0</v>
      </c>
      <c r="H405" s="136" t="s">
        <v>95</v>
      </c>
      <c r="I405" s="137">
        <v>250000.0</v>
      </c>
      <c r="J405" s="46">
        <f t="shared" si="456"/>
        <v>225000000</v>
      </c>
      <c r="K405" s="46"/>
      <c r="L405" s="116">
        <f t="shared" si="362"/>
        <v>0</v>
      </c>
      <c r="M405" s="106"/>
      <c r="N405" s="105"/>
      <c r="O405" s="46">
        <f t="shared" si="457"/>
        <v>225000000</v>
      </c>
      <c r="P405" s="46">
        <f t="shared" si="458"/>
        <v>225000000</v>
      </c>
      <c r="Q405" s="46">
        <v>2.25E8</v>
      </c>
      <c r="R405" s="101"/>
      <c r="S405" s="101"/>
      <c r="T405" s="99"/>
      <c r="U405" s="99"/>
      <c r="V405" s="99"/>
      <c r="W405" s="99"/>
      <c r="X405" s="99"/>
      <c r="Y405" s="99"/>
      <c r="Z405" s="99"/>
      <c r="AA405" s="99"/>
      <c r="AB405" s="99"/>
      <c r="AC405" s="99"/>
      <c r="AD405" s="99"/>
      <c r="AE405" s="99"/>
      <c r="AF405" s="99"/>
      <c r="AG405" s="99"/>
      <c r="AH405" s="99"/>
      <c r="AI405" s="99"/>
      <c r="AJ405" s="99"/>
      <c r="AK405" s="99"/>
      <c r="AL405" s="99"/>
      <c r="AM405" s="99"/>
    </row>
    <row r="406" ht="12.75" customHeight="1">
      <c r="A406" s="104"/>
      <c r="B406" s="104"/>
      <c r="C406" s="104"/>
      <c r="D406" s="110" t="s">
        <v>24</v>
      </c>
      <c r="E406" s="110" t="s">
        <v>271</v>
      </c>
      <c r="G406" s="136">
        <v>540.0</v>
      </c>
      <c r="H406" s="136" t="s">
        <v>95</v>
      </c>
      <c r="I406" s="137">
        <v>100000.0</v>
      </c>
      <c r="J406" s="46">
        <f t="shared" si="456"/>
        <v>54000000</v>
      </c>
      <c r="K406" s="46"/>
      <c r="L406" s="116">
        <f t="shared" si="362"/>
        <v>0</v>
      </c>
      <c r="M406" s="106"/>
      <c r="N406" s="105"/>
      <c r="O406" s="46">
        <f t="shared" si="457"/>
        <v>54000000</v>
      </c>
      <c r="P406" s="46">
        <f t="shared" si="458"/>
        <v>54000000</v>
      </c>
      <c r="Q406" s="46">
        <v>5.4E7</v>
      </c>
      <c r="R406" s="101"/>
      <c r="S406" s="101"/>
      <c r="T406" s="99"/>
      <c r="U406" s="99"/>
      <c r="V406" s="99"/>
      <c r="W406" s="99"/>
      <c r="X406" s="99"/>
      <c r="Y406" s="99"/>
      <c r="Z406" s="99"/>
      <c r="AA406" s="99"/>
      <c r="AB406" s="99"/>
      <c r="AC406" s="99"/>
      <c r="AD406" s="99"/>
      <c r="AE406" s="99"/>
      <c r="AF406" s="99"/>
      <c r="AG406" s="99"/>
      <c r="AH406" s="99"/>
      <c r="AI406" s="99"/>
      <c r="AJ406" s="99"/>
      <c r="AK406" s="99"/>
      <c r="AL406" s="99"/>
      <c r="AM406" s="99"/>
    </row>
    <row r="407" ht="12.75" customHeight="1">
      <c r="A407" s="104"/>
      <c r="B407" s="104"/>
      <c r="C407" s="104"/>
      <c r="D407" s="110" t="s">
        <v>24</v>
      </c>
      <c r="E407" s="110" t="s">
        <v>272</v>
      </c>
      <c r="G407" s="136">
        <v>315.0</v>
      </c>
      <c r="H407" s="136" t="s">
        <v>95</v>
      </c>
      <c r="I407" s="137">
        <v>50000.0</v>
      </c>
      <c r="J407" s="46">
        <f t="shared" si="456"/>
        <v>15750000</v>
      </c>
      <c r="K407" s="46"/>
      <c r="L407" s="116">
        <f t="shared" si="362"/>
        <v>0</v>
      </c>
      <c r="M407" s="106"/>
      <c r="N407" s="105"/>
      <c r="O407" s="46">
        <f t="shared" si="457"/>
        <v>15750000</v>
      </c>
      <c r="P407" s="46">
        <f t="shared" si="458"/>
        <v>15750000</v>
      </c>
      <c r="Q407" s="46">
        <v>1.575E7</v>
      </c>
      <c r="R407" s="101"/>
      <c r="S407" s="101"/>
      <c r="T407" s="99"/>
      <c r="U407" s="99"/>
      <c r="V407" s="99"/>
      <c r="W407" s="99"/>
      <c r="X407" s="99"/>
      <c r="Y407" s="99"/>
      <c r="Z407" s="99"/>
      <c r="AA407" s="99"/>
      <c r="AB407" s="99"/>
      <c r="AC407" s="99"/>
      <c r="AD407" s="99"/>
      <c r="AE407" s="99"/>
      <c r="AF407" s="99"/>
      <c r="AG407" s="99"/>
      <c r="AH407" s="99"/>
      <c r="AI407" s="99"/>
      <c r="AJ407" s="99"/>
      <c r="AK407" s="99"/>
      <c r="AL407" s="99"/>
      <c r="AM407" s="99"/>
    </row>
    <row r="408" ht="12.75" customHeight="1">
      <c r="A408" s="144" t="s">
        <v>126</v>
      </c>
      <c r="D408" s="144" t="s">
        <v>127</v>
      </c>
      <c r="G408" s="104"/>
      <c r="H408" s="128"/>
      <c r="I408" s="104"/>
      <c r="J408" s="129">
        <f t="shared" ref="J408:K408" si="459">J409</f>
        <v>190740000</v>
      </c>
      <c r="K408" s="43">
        <f t="shared" si="459"/>
        <v>0</v>
      </c>
      <c r="L408" s="116">
        <f t="shared" si="362"/>
        <v>0</v>
      </c>
      <c r="M408" s="106"/>
      <c r="N408" s="105"/>
      <c r="O408" s="43">
        <f t="shared" ref="O408:P408" si="460">O409</f>
        <v>190740000</v>
      </c>
      <c r="P408" s="43">
        <f t="shared" si="460"/>
        <v>190740000</v>
      </c>
      <c r="Q408" s="43">
        <v>1.9074E8</v>
      </c>
      <c r="R408" s="101"/>
      <c r="S408" s="101"/>
      <c r="T408" s="99"/>
      <c r="U408" s="99"/>
      <c r="V408" s="99"/>
      <c r="W408" s="99"/>
      <c r="X408" s="99"/>
      <c r="Y408" s="99"/>
      <c r="Z408" s="99"/>
      <c r="AA408" s="99"/>
      <c r="AB408" s="99"/>
      <c r="AC408" s="99"/>
      <c r="AD408" s="99"/>
      <c r="AE408" s="99"/>
      <c r="AF408" s="99"/>
      <c r="AG408" s="99"/>
      <c r="AH408" s="99"/>
      <c r="AI408" s="99"/>
      <c r="AJ408" s="99"/>
      <c r="AK408" s="99"/>
      <c r="AL408" s="99"/>
      <c r="AM408" s="99"/>
    </row>
    <row r="409" ht="12.75" customHeight="1">
      <c r="A409" s="110" t="s">
        <v>68</v>
      </c>
      <c r="D409" s="145" t="s">
        <v>69</v>
      </c>
      <c r="G409" s="104"/>
      <c r="H409" s="133"/>
      <c r="I409" s="104"/>
      <c r="J409" s="134">
        <f t="shared" ref="J409:K409" si="461">SUM(J411:J415)</f>
        <v>190740000</v>
      </c>
      <c r="K409" s="46">
        <f t="shared" si="461"/>
        <v>0</v>
      </c>
      <c r="L409" s="116">
        <f t="shared" si="362"/>
        <v>0</v>
      </c>
      <c r="M409" s="106"/>
      <c r="N409" s="105"/>
      <c r="O409" s="46">
        <f t="shared" ref="O409:P409" si="462">SUM(O411:O415)</f>
        <v>190740000</v>
      </c>
      <c r="P409" s="46">
        <f t="shared" si="462"/>
        <v>190740000</v>
      </c>
      <c r="Q409" s="46">
        <v>1.9074E8</v>
      </c>
      <c r="R409" s="101"/>
      <c r="S409" s="101"/>
      <c r="T409" s="99"/>
      <c r="U409" s="99"/>
      <c r="V409" s="99"/>
      <c r="W409" s="99"/>
      <c r="X409" s="99"/>
      <c r="Y409" s="99"/>
      <c r="Z409" s="99"/>
      <c r="AA409" s="99"/>
      <c r="AB409" s="99"/>
      <c r="AC409" s="99"/>
      <c r="AD409" s="99"/>
      <c r="AE409" s="99"/>
      <c r="AF409" s="99"/>
      <c r="AG409" s="99"/>
      <c r="AH409" s="99"/>
      <c r="AI409" s="99"/>
      <c r="AJ409" s="99"/>
      <c r="AK409" s="99"/>
      <c r="AL409" s="99"/>
      <c r="AM409" s="99"/>
    </row>
    <row r="410" ht="12.75" customHeight="1">
      <c r="A410" s="104"/>
      <c r="B410" s="104"/>
      <c r="C410" s="104"/>
      <c r="D410" s="110" t="s">
        <v>23</v>
      </c>
      <c r="G410" s="104"/>
      <c r="H410" s="104"/>
      <c r="I410" s="104"/>
      <c r="J410" s="111"/>
      <c r="K410" s="111"/>
      <c r="L410" s="116" t="str">
        <f t="shared" si="362"/>
        <v>#DIV/0!</v>
      </c>
      <c r="M410" s="106"/>
      <c r="N410" s="105"/>
      <c r="O410" s="111"/>
      <c r="P410" s="111"/>
      <c r="Q410" s="111"/>
      <c r="R410" s="101"/>
      <c r="S410" s="101"/>
      <c r="T410" s="99"/>
      <c r="U410" s="99"/>
      <c r="V410" s="99"/>
      <c r="W410" s="99"/>
      <c r="X410" s="99"/>
      <c r="Y410" s="99"/>
      <c r="Z410" s="99"/>
      <c r="AA410" s="99"/>
      <c r="AB410" s="99"/>
      <c r="AC410" s="99"/>
      <c r="AD410" s="99"/>
      <c r="AE410" s="99"/>
      <c r="AF410" s="99"/>
      <c r="AG410" s="99"/>
      <c r="AH410" s="99"/>
      <c r="AI410" s="99"/>
      <c r="AJ410" s="99"/>
      <c r="AK410" s="99"/>
      <c r="AL410" s="99"/>
      <c r="AM410" s="99"/>
    </row>
    <row r="411" ht="12.75" customHeight="1">
      <c r="A411" s="104"/>
      <c r="B411" s="104"/>
      <c r="C411" s="104"/>
      <c r="D411" s="110" t="s">
        <v>24</v>
      </c>
      <c r="E411" s="110" t="s">
        <v>128</v>
      </c>
      <c r="G411" s="136">
        <v>88.0</v>
      </c>
      <c r="H411" s="136" t="s">
        <v>233</v>
      </c>
      <c r="I411" s="137">
        <v>110000.0</v>
      </c>
      <c r="J411" s="46">
        <f t="shared" ref="J411:J415" si="463">G411*I411</f>
        <v>9680000</v>
      </c>
      <c r="K411" s="46"/>
      <c r="L411" s="116">
        <f t="shared" si="362"/>
        <v>0</v>
      </c>
      <c r="M411" s="106"/>
      <c r="N411" s="105"/>
      <c r="O411" s="46">
        <f t="shared" ref="O411:O415" si="464">J411-K411</f>
        <v>9680000</v>
      </c>
      <c r="P411" s="46">
        <f t="shared" ref="P411:P415" si="465">J411-M411</f>
        <v>9680000</v>
      </c>
      <c r="Q411" s="46">
        <v>9680000.0</v>
      </c>
      <c r="R411" s="101"/>
      <c r="S411" s="101"/>
      <c r="T411" s="99"/>
      <c r="U411" s="99"/>
      <c r="V411" s="99"/>
      <c r="W411" s="99"/>
      <c r="X411" s="99"/>
      <c r="Y411" s="99"/>
      <c r="Z411" s="99"/>
      <c r="AA411" s="99"/>
      <c r="AB411" s="99"/>
      <c r="AC411" s="99"/>
      <c r="AD411" s="99"/>
      <c r="AE411" s="99"/>
      <c r="AF411" s="99"/>
      <c r="AG411" s="99"/>
      <c r="AH411" s="99"/>
      <c r="AI411" s="99"/>
      <c r="AJ411" s="99"/>
      <c r="AK411" s="99"/>
      <c r="AL411" s="99"/>
      <c r="AM411" s="99"/>
    </row>
    <row r="412" ht="12.75" customHeight="1">
      <c r="A412" s="104"/>
      <c r="B412" s="104"/>
      <c r="C412" s="104"/>
      <c r="D412" s="110" t="s">
        <v>24</v>
      </c>
      <c r="E412" s="110" t="s">
        <v>130</v>
      </c>
      <c r="G412" s="136">
        <v>88.0</v>
      </c>
      <c r="H412" s="136" t="s">
        <v>233</v>
      </c>
      <c r="I412" s="137">
        <v>120000.0</v>
      </c>
      <c r="J412" s="46">
        <f t="shared" si="463"/>
        <v>10560000</v>
      </c>
      <c r="K412" s="46"/>
      <c r="L412" s="116">
        <f t="shared" si="362"/>
        <v>0</v>
      </c>
      <c r="M412" s="106"/>
      <c r="N412" s="105"/>
      <c r="O412" s="46">
        <f t="shared" si="464"/>
        <v>10560000</v>
      </c>
      <c r="P412" s="46">
        <f t="shared" si="465"/>
        <v>10560000</v>
      </c>
      <c r="Q412" s="46">
        <v>1.056E7</v>
      </c>
      <c r="R412" s="101"/>
      <c r="S412" s="101"/>
      <c r="T412" s="99"/>
      <c r="U412" s="99"/>
      <c r="V412" s="99"/>
      <c r="W412" s="99"/>
      <c r="X412" s="99"/>
      <c r="Y412" s="99"/>
      <c r="Z412" s="99"/>
      <c r="AA412" s="99"/>
      <c r="AB412" s="99"/>
      <c r="AC412" s="99"/>
      <c r="AD412" s="99"/>
      <c r="AE412" s="99"/>
      <c r="AF412" s="99"/>
      <c r="AG412" s="99"/>
      <c r="AH412" s="99"/>
      <c r="AI412" s="99"/>
      <c r="AJ412" s="99"/>
      <c r="AK412" s="99"/>
      <c r="AL412" s="99"/>
      <c r="AM412" s="99"/>
    </row>
    <row r="413" ht="12.75" customHeight="1">
      <c r="A413" s="104"/>
      <c r="B413" s="104"/>
      <c r="C413" s="104"/>
      <c r="D413" s="110" t="s">
        <v>24</v>
      </c>
      <c r="E413" s="110" t="s">
        <v>131</v>
      </c>
      <c r="G413" s="136">
        <v>88.0</v>
      </c>
      <c r="H413" s="136" t="s">
        <v>233</v>
      </c>
      <c r="I413" s="137">
        <v>350000.0</v>
      </c>
      <c r="J413" s="46">
        <f t="shared" si="463"/>
        <v>30800000</v>
      </c>
      <c r="K413" s="46"/>
      <c r="L413" s="116">
        <f t="shared" si="362"/>
        <v>0</v>
      </c>
      <c r="M413" s="106"/>
      <c r="N413" s="105"/>
      <c r="O413" s="46">
        <f t="shared" si="464"/>
        <v>30800000</v>
      </c>
      <c r="P413" s="46">
        <f t="shared" si="465"/>
        <v>30800000</v>
      </c>
      <c r="Q413" s="46">
        <v>3.08E7</v>
      </c>
      <c r="R413" s="101"/>
      <c r="S413" s="101"/>
      <c r="T413" s="99"/>
      <c r="U413" s="99"/>
      <c r="V413" s="99"/>
      <c r="W413" s="99"/>
      <c r="X413" s="99"/>
      <c r="Y413" s="99"/>
      <c r="Z413" s="99"/>
      <c r="AA413" s="99"/>
      <c r="AB413" s="99"/>
      <c r="AC413" s="99"/>
      <c r="AD413" s="99"/>
      <c r="AE413" s="99"/>
      <c r="AF413" s="99"/>
      <c r="AG413" s="99"/>
      <c r="AH413" s="99"/>
      <c r="AI413" s="99"/>
      <c r="AJ413" s="99"/>
      <c r="AK413" s="99"/>
      <c r="AL413" s="99"/>
      <c r="AM413" s="99"/>
    </row>
    <row r="414" ht="12.75" customHeight="1">
      <c r="A414" s="104"/>
      <c r="B414" s="104"/>
      <c r="C414" s="104"/>
      <c r="D414" s="110" t="s">
        <v>24</v>
      </c>
      <c r="E414" s="110" t="s">
        <v>132</v>
      </c>
      <c r="G414" s="136">
        <v>44.0</v>
      </c>
      <c r="H414" s="136" t="s">
        <v>233</v>
      </c>
      <c r="I414" s="137">
        <v>175000.0</v>
      </c>
      <c r="J414" s="46">
        <f t="shared" si="463"/>
        <v>7700000</v>
      </c>
      <c r="K414" s="46"/>
      <c r="L414" s="116">
        <f t="shared" si="362"/>
        <v>0</v>
      </c>
      <c r="M414" s="106"/>
      <c r="N414" s="105"/>
      <c r="O414" s="46">
        <f t="shared" si="464"/>
        <v>7700000</v>
      </c>
      <c r="P414" s="46">
        <f t="shared" si="465"/>
        <v>7700000</v>
      </c>
      <c r="Q414" s="46">
        <v>7700000.0</v>
      </c>
      <c r="R414" s="101"/>
      <c r="S414" s="101"/>
      <c r="T414" s="99"/>
      <c r="U414" s="99"/>
      <c r="V414" s="99"/>
      <c r="W414" s="99"/>
      <c r="X414" s="99"/>
      <c r="Y414" s="99"/>
      <c r="Z414" s="99"/>
      <c r="AA414" s="99"/>
      <c r="AB414" s="99"/>
      <c r="AC414" s="99"/>
      <c r="AD414" s="99"/>
      <c r="AE414" s="99"/>
      <c r="AF414" s="99"/>
      <c r="AG414" s="99"/>
      <c r="AH414" s="99"/>
      <c r="AI414" s="99"/>
      <c r="AJ414" s="99"/>
      <c r="AK414" s="99"/>
      <c r="AL414" s="99"/>
      <c r="AM414" s="99"/>
    </row>
    <row r="415" ht="15.75" customHeight="1">
      <c r="A415" s="104"/>
      <c r="B415" s="104"/>
      <c r="C415" s="104"/>
      <c r="D415" s="110" t="s">
        <v>24</v>
      </c>
      <c r="E415" s="110" t="s">
        <v>133</v>
      </c>
      <c r="G415" s="136">
        <v>528.0</v>
      </c>
      <c r="H415" s="136" t="s">
        <v>233</v>
      </c>
      <c r="I415" s="137">
        <v>250000.0</v>
      </c>
      <c r="J415" s="46">
        <f t="shared" si="463"/>
        <v>132000000</v>
      </c>
      <c r="K415" s="46"/>
      <c r="L415" s="116">
        <f t="shared" si="362"/>
        <v>0</v>
      </c>
      <c r="M415" s="106"/>
      <c r="N415" s="105"/>
      <c r="O415" s="46">
        <f t="shared" si="464"/>
        <v>132000000</v>
      </c>
      <c r="P415" s="46">
        <f t="shared" si="465"/>
        <v>132000000</v>
      </c>
      <c r="Q415" s="46">
        <v>1.32E8</v>
      </c>
      <c r="R415" s="101"/>
      <c r="S415" s="101"/>
      <c r="T415" s="99"/>
      <c r="U415" s="99"/>
      <c r="V415" s="99"/>
      <c r="W415" s="99"/>
      <c r="X415" s="99"/>
      <c r="Y415" s="99"/>
      <c r="Z415" s="99"/>
      <c r="AA415" s="99"/>
      <c r="AB415" s="99"/>
      <c r="AC415" s="99"/>
      <c r="AD415" s="99"/>
      <c r="AE415" s="99"/>
      <c r="AF415" s="99"/>
      <c r="AG415" s="99"/>
      <c r="AH415" s="99"/>
      <c r="AI415" s="99"/>
      <c r="AJ415" s="99"/>
      <c r="AK415" s="99"/>
      <c r="AL415" s="99"/>
      <c r="AM415" s="99"/>
    </row>
    <row r="416" ht="12.75" customHeight="1">
      <c r="A416" s="144" t="s">
        <v>134</v>
      </c>
      <c r="D416" s="144" t="s">
        <v>273</v>
      </c>
      <c r="G416" s="104"/>
      <c r="H416" s="128"/>
      <c r="I416" s="104"/>
      <c r="J416" s="129">
        <f t="shared" ref="J416:K416" si="466">J417</f>
        <v>29670000</v>
      </c>
      <c r="K416" s="43">
        <f t="shared" si="466"/>
        <v>0</v>
      </c>
      <c r="L416" s="116">
        <f t="shared" si="362"/>
        <v>0</v>
      </c>
      <c r="M416" s="106"/>
      <c r="N416" s="105"/>
      <c r="O416" s="43">
        <f t="shared" ref="O416:P416" si="467">O417</f>
        <v>29670000</v>
      </c>
      <c r="P416" s="43">
        <f t="shared" si="467"/>
        <v>29670000</v>
      </c>
      <c r="Q416" s="43">
        <v>2.967E7</v>
      </c>
      <c r="R416" s="101"/>
      <c r="S416" s="101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99"/>
      <c r="AH416" s="99"/>
      <c r="AI416" s="99"/>
      <c r="AJ416" s="99"/>
      <c r="AK416" s="99"/>
      <c r="AL416" s="99"/>
      <c r="AM416" s="99"/>
    </row>
    <row r="417" ht="12.75" customHeight="1">
      <c r="A417" s="110" t="s">
        <v>68</v>
      </c>
      <c r="D417" s="145" t="s">
        <v>69</v>
      </c>
      <c r="G417" s="104"/>
      <c r="H417" s="133"/>
      <c r="I417" s="104"/>
      <c r="J417" s="134">
        <f t="shared" ref="J417:K417" si="468">SUM(J419:J423)</f>
        <v>29670000</v>
      </c>
      <c r="K417" s="46">
        <f t="shared" si="468"/>
        <v>0</v>
      </c>
      <c r="L417" s="116">
        <f t="shared" si="362"/>
        <v>0</v>
      </c>
      <c r="M417" s="106"/>
      <c r="N417" s="105"/>
      <c r="O417" s="46">
        <f t="shared" ref="O417:P417" si="469">SUM(O419:O423)</f>
        <v>29670000</v>
      </c>
      <c r="P417" s="46">
        <f t="shared" si="469"/>
        <v>29670000</v>
      </c>
      <c r="Q417" s="46">
        <v>2.967E7</v>
      </c>
      <c r="R417" s="101"/>
      <c r="S417" s="101"/>
      <c r="T417" s="99"/>
      <c r="U417" s="99"/>
      <c r="V417" s="99"/>
      <c r="W417" s="99"/>
      <c r="X417" s="99"/>
      <c r="Y417" s="99"/>
      <c r="Z417" s="99"/>
      <c r="AA417" s="99"/>
      <c r="AB417" s="99"/>
      <c r="AC417" s="99"/>
      <c r="AD417" s="99"/>
      <c r="AE417" s="99"/>
      <c r="AF417" s="99"/>
      <c r="AG417" s="99"/>
      <c r="AH417" s="99"/>
      <c r="AI417" s="99"/>
      <c r="AJ417" s="99"/>
      <c r="AK417" s="99"/>
      <c r="AL417" s="99"/>
      <c r="AM417" s="99"/>
    </row>
    <row r="418" ht="12.75" customHeight="1">
      <c r="A418" s="104"/>
      <c r="B418" s="104"/>
      <c r="C418" s="104"/>
      <c r="D418" s="110" t="s">
        <v>23</v>
      </c>
      <c r="G418" s="104"/>
      <c r="H418" s="104"/>
      <c r="I418" s="104"/>
      <c r="J418" s="111"/>
      <c r="K418" s="111"/>
      <c r="L418" s="116" t="str">
        <f t="shared" si="362"/>
        <v>#DIV/0!</v>
      </c>
      <c r="M418" s="106"/>
      <c r="N418" s="105"/>
      <c r="O418" s="111"/>
      <c r="P418" s="111"/>
      <c r="Q418" s="111"/>
      <c r="R418" s="101"/>
      <c r="S418" s="101"/>
      <c r="T418" s="99"/>
      <c r="U418" s="99"/>
      <c r="V418" s="99"/>
      <c r="W418" s="99"/>
      <c r="X418" s="99"/>
      <c r="Y418" s="99"/>
      <c r="Z418" s="99"/>
      <c r="AA418" s="99"/>
      <c r="AB418" s="99"/>
      <c r="AC418" s="99"/>
      <c r="AD418" s="99"/>
      <c r="AE418" s="99"/>
      <c r="AF418" s="99"/>
      <c r="AG418" s="99"/>
      <c r="AH418" s="99"/>
      <c r="AI418" s="99"/>
      <c r="AJ418" s="99"/>
      <c r="AK418" s="99"/>
      <c r="AL418" s="99"/>
      <c r="AM418" s="99"/>
    </row>
    <row r="419" ht="12.75" customHeight="1">
      <c r="A419" s="104"/>
      <c r="B419" s="104"/>
      <c r="C419" s="104"/>
      <c r="D419" s="110" t="s">
        <v>24</v>
      </c>
      <c r="E419" s="110" t="s">
        <v>274</v>
      </c>
      <c r="G419" s="136">
        <v>225.0</v>
      </c>
      <c r="H419" s="136" t="s">
        <v>95</v>
      </c>
      <c r="I419" s="137">
        <v>75000.0</v>
      </c>
      <c r="J419" s="46">
        <f t="shared" ref="J419:J423" si="470">G419*I419</f>
        <v>16875000</v>
      </c>
      <c r="K419" s="46"/>
      <c r="L419" s="116">
        <f t="shared" si="362"/>
        <v>0</v>
      </c>
      <c r="M419" s="106"/>
      <c r="N419" s="105"/>
      <c r="O419" s="46">
        <f t="shared" ref="O419:O423" si="471">J419-K419</f>
        <v>16875000</v>
      </c>
      <c r="P419" s="46">
        <f t="shared" ref="P419:P423" si="472">J419-M419</f>
        <v>16875000</v>
      </c>
      <c r="Q419" s="46">
        <v>1.6875E7</v>
      </c>
      <c r="R419" s="101"/>
      <c r="S419" s="101"/>
      <c r="T419" s="99"/>
      <c r="U419" s="99"/>
      <c r="V419" s="99"/>
      <c r="W419" s="99"/>
      <c r="X419" s="99"/>
      <c r="Y419" s="99"/>
      <c r="Z419" s="99"/>
      <c r="AA419" s="99"/>
      <c r="AB419" s="99"/>
      <c r="AC419" s="99"/>
      <c r="AD419" s="99"/>
      <c r="AE419" s="99"/>
      <c r="AF419" s="99"/>
      <c r="AG419" s="99"/>
      <c r="AH419" s="99"/>
      <c r="AI419" s="99"/>
      <c r="AJ419" s="99"/>
      <c r="AK419" s="99"/>
      <c r="AL419" s="99"/>
      <c r="AM419" s="99"/>
    </row>
    <row r="420" ht="12.75" customHeight="1">
      <c r="A420" s="104"/>
      <c r="B420" s="104"/>
      <c r="C420" s="104"/>
      <c r="D420" s="110" t="s">
        <v>24</v>
      </c>
      <c r="E420" s="110" t="s">
        <v>137</v>
      </c>
      <c r="G420" s="136">
        <v>2.0</v>
      </c>
      <c r="H420" s="136" t="s">
        <v>95</v>
      </c>
      <c r="I420" s="137">
        <v>360000.0</v>
      </c>
      <c r="J420" s="46">
        <f t="shared" si="470"/>
        <v>720000</v>
      </c>
      <c r="K420" s="46"/>
      <c r="L420" s="116">
        <f t="shared" si="362"/>
        <v>0</v>
      </c>
      <c r="M420" s="106"/>
      <c r="N420" s="105"/>
      <c r="O420" s="46">
        <f t="shared" si="471"/>
        <v>720000</v>
      </c>
      <c r="P420" s="46">
        <f t="shared" si="472"/>
        <v>720000</v>
      </c>
      <c r="Q420" s="46">
        <v>720000.0</v>
      </c>
      <c r="R420" s="101"/>
      <c r="S420" s="101"/>
      <c r="T420" s="99"/>
      <c r="U420" s="99"/>
      <c r="V420" s="99"/>
      <c r="W420" s="99"/>
      <c r="X420" s="99"/>
      <c r="Y420" s="99"/>
      <c r="Z420" s="99"/>
      <c r="AA420" s="99"/>
      <c r="AB420" s="99"/>
      <c r="AC420" s="99"/>
      <c r="AD420" s="99"/>
      <c r="AE420" s="99"/>
      <c r="AF420" s="99"/>
      <c r="AG420" s="99"/>
      <c r="AH420" s="99"/>
      <c r="AI420" s="99"/>
      <c r="AJ420" s="99"/>
      <c r="AK420" s="99"/>
      <c r="AL420" s="99"/>
      <c r="AM420" s="99"/>
    </row>
    <row r="421" ht="15.75" customHeight="1">
      <c r="A421" s="104"/>
      <c r="B421" s="104"/>
      <c r="C421" s="104"/>
      <c r="D421" s="110" t="s">
        <v>24</v>
      </c>
      <c r="E421" s="110" t="s">
        <v>275</v>
      </c>
      <c r="G421" s="136">
        <v>75.0</v>
      </c>
      <c r="H421" s="136" t="s">
        <v>95</v>
      </c>
      <c r="I421" s="137">
        <v>93000.0</v>
      </c>
      <c r="J421" s="46">
        <f t="shared" si="470"/>
        <v>6975000</v>
      </c>
      <c r="K421" s="46"/>
      <c r="L421" s="116">
        <f t="shared" si="362"/>
        <v>0</v>
      </c>
      <c r="M421" s="106"/>
      <c r="N421" s="105"/>
      <c r="O421" s="46">
        <f t="shared" si="471"/>
        <v>6975000</v>
      </c>
      <c r="P421" s="46">
        <f t="shared" si="472"/>
        <v>6975000</v>
      </c>
      <c r="Q421" s="46">
        <v>6975000.0</v>
      </c>
      <c r="R421" s="101"/>
      <c r="S421" s="101"/>
      <c r="T421" s="99"/>
      <c r="U421" s="99"/>
      <c r="V421" s="99"/>
      <c r="W421" s="99"/>
      <c r="X421" s="99"/>
      <c r="Y421" s="99"/>
      <c r="Z421" s="99"/>
      <c r="AA421" s="99"/>
      <c r="AB421" s="99"/>
      <c r="AC421" s="99"/>
      <c r="AD421" s="99"/>
      <c r="AE421" s="99"/>
      <c r="AF421" s="99"/>
      <c r="AG421" s="99"/>
      <c r="AH421" s="99"/>
      <c r="AI421" s="99"/>
      <c r="AJ421" s="99"/>
      <c r="AK421" s="99"/>
      <c r="AL421" s="99"/>
      <c r="AM421" s="99"/>
    </row>
    <row r="422" ht="12.75" customHeight="1">
      <c r="A422" s="104"/>
      <c r="B422" s="104"/>
      <c r="C422" s="104"/>
      <c r="D422" s="110" t="s">
        <v>24</v>
      </c>
      <c r="E422" s="110" t="s">
        <v>276</v>
      </c>
      <c r="G422" s="136">
        <v>75.0</v>
      </c>
      <c r="H422" s="136" t="s">
        <v>95</v>
      </c>
      <c r="I422" s="137">
        <v>53000.0</v>
      </c>
      <c r="J422" s="46">
        <f t="shared" si="470"/>
        <v>3975000</v>
      </c>
      <c r="K422" s="46"/>
      <c r="L422" s="116">
        <f t="shared" si="362"/>
        <v>0</v>
      </c>
      <c r="M422" s="106"/>
      <c r="N422" s="105"/>
      <c r="O422" s="46">
        <f t="shared" si="471"/>
        <v>3975000</v>
      </c>
      <c r="P422" s="46">
        <f t="shared" si="472"/>
        <v>3975000</v>
      </c>
      <c r="Q422" s="46">
        <v>3975000.0</v>
      </c>
      <c r="R422" s="101"/>
      <c r="S422" s="101"/>
      <c r="T422" s="99"/>
      <c r="U422" s="99"/>
      <c r="V422" s="99"/>
      <c r="W422" s="99"/>
      <c r="X422" s="99"/>
      <c r="Y422" s="99"/>
      <c r="Z422" s="99"/>
      <c r="AA422" s="99"/>
      <c r="AB422" s="99"/>
      <c r="AC422" s="99"/>
      <c r="AD422" s="99"/>
      <c r="AE422" s="99"/>
      <c r="AF422" s="99"/>
      <c r="AG422" s="99"/>
      <c r="AH422" s="99"/>
      <c r="AI422" s="99"/>
      <c r="AJ422" s="99"/>
      <c r="AK422" s="99"/>
      <c r="AL422" s="99"/>
      <c r="AM422" s="99"/>
    </row>
    <row r="423" ht="12.75" customHeight="1">
      <c r="A423" s="104"/>
      <c r="B423" s="104"/>
      <c r="C423" s="104"/>
      <c r="D423" s="110" t="s">
        <v>24</v>
      </c>
      <c r="E423" s="110" t="s">
        <v>277</v>
      </c>
      <c r="G423" s="136">
        <v>75.0</v>
      </c>
      <c r="H423" s="136" t="s">
        <v>95</v>
      </c>
      <c r="I423" s="137">
        <v>15000.0</v>
      </c>
      <c r="J423" s="46">
        <f t="shared" si="470"/>
        <v>1125000</v>
      </c>
      <c r="K423" s="46"/>
      <c r="L423" s="116">
        <f t="shared" si="362"/>
        <v>0</v>
      </c>
      <c r="M423" s="106"/>
      <c r="N423" s="105"/>
      <c r="O423" s="46">
        <f t="shared" si="471"/>
        <v>1125000</v>
      </c>
      <c r="P423" s="46">
        <f t="shared" si="472"/>
        <v>1125000</v>
      </c>
      <c r="Q423" s="46">
        <v>1125000.0</v>
      </c>
      <c r="R423" s="101"/>
      <c r="S423" s="101"/>
      <c r="T423" s="99"/>
      <c r="U423" s="99"/>
      <c r="V423" s="99"/>
      <c r="W423" s="99"/>
      <c r="X423" s="99"/>
      <c r="Y423" s="99"/>
      <c r="Z423" s="99"/>
      <c r="AA423" s="99"/>
      <c r="AB423" s="99"/>
      <c r="AC423" s="99"/>
      <c r="AD423" s="99"/>
      <c r="AE423" s="99"/>
      <c r="AF423" s="99"/>
      <c r="AG423" s="99"/>
      <c r="AH423" s="99"/>
      <c r="AI423" s="99"/>
      <c r="AJ423" s="99"/>
      <c r="AK423" s="99"/>
      <c r="AL423" s="99"/>
      <c r="AM423" s="99"/>
    </row>
    <row r="424" ht="12.75" customHeight="1">
      <c r="A424" s="144" t="s">
        <v>141</v>
      </c>
      <c r="D424" s="144" t="s">
        <v>142</v>
      </c>
      <c r="G424" s="104"/>
      <c r="H424" s="128"/>
      <c r="I424" s="104"/>
      <c r="J424" s="129">
        <f t="shared" ref="J424:K424" si="473">J425</f>
        <v>214250000</v>
      </c>
      <c r="K424" s="43">
        <f t="shared" si="473"/>
        <v>0</v>
      </c>
      <c r="L424" s="116">
        <f t="shared" si="362"/>
        <v>0</v>
      </c>
      <c r="M424" s="106"/>
      <c r="N424" s="105"/>
      <c r="O424" s="43">
        <f t="shared" ref="O424:P424" si="474">O425</f>
        <v>214250000</v>
      </c>
      <c r="P424" s="43">
        <f t="shared" si="474"/>
        <v>214250000</v>
      </c>
      <c r="Q424" s="43">
        <v>2.1425E8</v>
      </c>
      <c r="R424" s="101"/>
      <c r="S424" s="101"/>
      <c r="T424" s="99"/>
      <c r="U424" s="99"/>
      <c r="V424" s="99"/>
      <c r="W424" s="99"/>
      <c r="X424" s="99"/>
      <c r="Y424" s="99"/>
      <c r="Z424" s="99"/>
      <c r="AA424" s="99"/>
      <c r="AB424" s="99"/>
      <c r="AC424" s="99"/>
      <c r="AD424" s="99"/>
      <c r="AE424" s="99"/>
      <c r="AF424" s="99"/>
      <c r="AG424" s="99"/>
      <c r="AH424" s="99"/>
      <c r="AI424" s="99"/>
      <c r="AJ424" s="99"/>
      <c r="AK424" s="99"/>
      <c r="AL424" s="99"/>
      <c r="AM424" s="99"/>
    </row>
    <row r="425" ht="12.75" customHeight="1">
      <c r="A425" s="110" t="s">
        <v>68</v>
      </c>
      <c r="D425" s="145" t="s">
        <v>69</v>
      </c>
      <c r="G425" s="104"/>
      <c r="H425" s="133"/>
      <c r="I425" s="104"/>
      <c r="J425" s="134">
        <f t="shared" ref="J425:K425" si="475">SUM(J427:J429)</f>
        <v>214250000</v>
      </c>
      <c r="K425" s="46">
        <f t="shared" si="475"/>
        <v>0</v>
      </c>
      <c r="L425" s="116">
        <f t="shared" si="362"/>
        <v>0</v>
      </c>
      <c r="M425" s="106"/>
      <c r="N425" s="105"/>
      <c r="O425" s="46">
        <f t="shared" ref="O425:P425" si="476">SUM(O427:O429)</f>
        <v>214250000</v>
      </c>
      <c r="P425" s="46">
        <f t="shared" si="476"/>
        <v>214250000</v>
      </c>
      <c r="Q425" s="46">
        <v>2.1425E8</v>
      </c>
      <c r="R425" s="101"/>
      <c r="S425" s="101"/>
      <c r="T425" s="99"/>
      <c r="U425" s="99"/>
      <c r="V425" s="99"/>
      <c r="W425" s="99"/>
      <c r="X425" s="99"/>
      <c r="Y425" s="99"/>
      <c r="Z425" s="99"/>
      <c r="AA425" s="99"/>
      <c r="AB425" s="99"/>
      <c r="AC425" s="99"/>
      <c r="AD425" s="99"/>
      <c r="AE425" s="99"/>
      <c r="AF425" s="99"/>
      <c r="AG425" s="99"/>
      <c r="AH425" s="99"/>
      <c r="AI425" s="99"/>
      <c r="AJ425" s="99"/>
      <c r="AK425" s="99"/>
      <c r="AL425" s="99"/>
      <c r="AM425" s="99"/>
    </row>
    <row r="426" ht="12.75" customHeight="1">
      <c r="A426" s="104"/>
      <c r="B426" s="104"/>
      <c r="C426" s="104"/>
      <c r="D426" s="110" t="s">
        <v>23</v>
      </c>
      <c r="G426" s="104"/>
      <c r="H426" s="104"/>
      <c r="I426" s="104"/>
      <c r="J426" s="111"/>
      <c r="K426" s="111"/>
      <c r="L426" s="116" t="str">
        <f t="shared" si="362"/>
        <v>#DIV/0!</v>
      </c>
      <c r="M426" s="106"/>
      <c r="N426" s="105"/>
      <c r="O426" s="111"/>
      <c r="P426" s="111"/>
      <c r="Q426" s="111"/>
      <c r="R426" s="101"/>
      <c r="S426" s="101"/>
      <c r="T426" s="99"/>
      <c r="U426" s="99"/>
      <c r="V426" s="99"/>
      <c r="W426" s="99"/>
      <c r="X426" s="99"/>
      <c r="Y426" s="99"/>
      <c r="Z426" s="99"/>
      <c r="AA426" s="99"/>
      <c r="AB426" s="99"/>
      <c r="AC426" s="99"/>
      <c r="AD426" s="99"/>
      <c r="AE426" s="99"/>
      <c r="AF426" s="99"/>
      <c r="AG426" s="99"/>
      <c r="AH426" s="99"/>
      <c r="AI426" s="99"/>
      <c r="AJ426" s="99"/>
      <c r="AK426" s="99"/>
      <c r="AL426" s="99"/>
      <c r="AM426" s="99"/>
    </row>
    <row r="427" ht="15.75" customHeight="1">
      <c r="A427" s="104"/>
      <c r="B427" s="104"/>
      <c r="C427" s="104"/>
      <c r="D427" s="110" t="s">
        <v>24</v>
      </c>
      <c r="E427" s="110" t="s">
        <v>278</v>
      </c>
      <c r="G427" s="136">
        <v>75.0</v>
      </c>
      <c r="H427" s="136" t="s">
        <v>95</v>
      </c>
      <c r="I427" s="137">
        <v>2000000.0</v>
      </c>
      <c r="J427" s="46">
        <f t="shared" ref="J427:J429" si="477">G427*I427</f>
        <v>150000000</v>
      </c>
      <c r="K427" s="46"/>
      <c r="L427" s="116">
        <f t="shared" si="362"/>
        <v>0</v>
      </c>
      <c r="M427" s="106"/>
      <c r="N427" s="105"/>
      <c r="O427" s="46">
        <f t="shared" ref="O427:O429" si="478">J427-K427</f>
        <v>150000000</v>
      </c>
      <c r="P427" s="46">
        <f t="shared" ref="P427:P429" si="479">J427-M427</f>
        <v>150000000</v>
      </c>
      <c r="Q427" s="46">
        <v>1.5E8</v>
      </c>
      <c r="R427" s="101"/>
      <c r="S427" s="101"/>
      <c r="T427" s="99"/>
      <c r="U427" s="99"/>
      <c r="V427" s="99"/>
      <c r="W427" s="99"/>
      <c r="X427" s="99"/>
      <c r="Y427" s="99"/>
      <c r="Z427" s="99"/>
      <c r="AA427" s="99"/>
      <c r="AB427" s="99"/>
      <c r="AC427" s="99"/>
      <c r="AD427" s="99"/>
      <c r="AE427" s="99"/>
      <c r="AF427" s="99"/>
      <c r="AG427" s="99"/>
      <c r="AH427" s="99"/>
      <c r="AI427" s="99"/>
      <c r="AJ427" s="99"/>
      <c r="AK427" s="99"/>
      <c r="AL427" s="99"/>
      <c r="AM427" s="99"/>
    </row>
    <row r="428" ht="15.75" customHeight="1">
      <c r="A428" s="104"/>
      <c r="B428" s="104"/>
      <c r="C428" s="104"/>
      <c r="D428" s="110" t="s">
        <v>24</v>
      </c>
      <c r="E428" s="110" t="s">
        <v>279</v>
      </c>
      <c r="G428" s="136">
        <v>75.0</v>
      </c>
      <c r="H428" s="136" t="s">
        <v>95</v>
      </c>
      <c r="I428" s="137">
        <v>750000.0</v>
      </c>
      <c r="J428" s="46">
        <f t="shared" si="477"/>
        <v>56250000</v>
      </c>
      <c r="K428" s="46"/>
      <c r="L428" s="116">
        <f t="shared" si="362"/>
        <v>0</v>
      </c>
      <c r="M428" s="106"/>
      <c r="N428" s="105"/>
      <c r="O428" s="46">
        <f t="shared" si="478"/>
        <v>56250000</v>
      </c>
      <c r="P428" s="46">
        <f t="shared" si="479"/>
        <v>56250000</v>
      </c>
      <c r="Q428" s="46">
        <v>5.625E7</v>
      </c>
      <c r="R428" s="101"/>
      <c r="S428" s="101"/>
      <c r="T428" s="99"/>
      <c r="U428" s="99"/>
      <c r="V428" s="99"/>
      <c r="W428" s="99"/>
      <c r="X428" s="99"/>
      <c r="Y428" s="99"/>
      <c r="Z428" s="99"/>
      <c r="AA428" s="99"/>
      <c r="AB428" s="99"/>
      <c r="AC428" s="99"/>
      <c r="AD428" s="99"/>
      <c r="AE428" s="99"/>
      <c r="AF428" s="99"/>
      <c r="AG428" s="99"/>
      <c r="AH428" s="99"/>
      <c r="AI428" s="99"/>
      <c r="AJ428" s="99"/>
      <c r="AK428" s="99"/>
      <c r="AL428" s="99"/>
      <c r="AM428" s="99"/>
    </row>
    <row r="429" ht="15.75" customHeight="1">
      <c r="A429" s="104"/>
      <c r="B429" s="104"/>
      <c r="C429" s="104"/>
      <c r="D429" s="110" t="s">
        <v>24</v>
      </c>
      <c r="E429" s="110" t="s">
        <v>145</v>
      </c>
      <c r="G429" s="136">
        <v>4.0</v>
      </c>
      <c r="H429" s="136" t="s">
        <v>95</v>
      </c>
      <c r="I429" s="137">
        <v>2000000.0</v>
      </c>
      <c r="J429" s="46">
        <f t="shared" si="477"/>
        <v>8000000</v>
      </c>
      <c r="K429" s="46"/>
      <c r="L429" s="116">
        <f t="shared" si="362"/>
        <v>0</v>
      </c>
      <c r="M429" s="106"/>
      <c r="N429" s="105"/>
      <c r="O429" s="46">
        <f t="shared" si="478"/>
        <v>8000000</v>
      </c>
      <c r="P429" s="46">
        <f t="shared" si="479"/>
        <v>8000000</v>
      </c>
      <c r="Q429" s="46">
        <v>8000000.0</v>
      </c>
      <c r="R429" s="101"/>
      <c r="S429" s="101"/>
      <c r="T429" s="99"/>
      <c r="U429" s="99"/>
      <c r="V429" s="99"/>
      <c r="W429" s="99"/>
      <c r="X429" s="99"/>
      <c r="Y429" s="99"/>
      <c r="Z429" s="99"/>
      <c r="AA429" s="99"/>
      <c r="AB429" s="99"/>
      <c r="AC429" s="99"/>
      <c r="AD429" s="99"/>
      <c r="AE429" s="99"/>
      <c r="AF429" s="99"/>
      <c r="AG429" s="99"/>
      <c r="AH429" s="99"/>
      <c r="AI429" s="99"/>
      <c r="AJ429" s="99"/>
      <c r="AK429" s="99"/>
      <c r="AL429" s="99"/>
      <c r="AM429" s="99"/>
    </row>
    <row r="430" ht="12.75" customHeight="1">
      <c r="A430" s="144" t="s">
        <v>146</v>
      </c>
      <c r="D430" s="144" t="s">
        <v>147</v>
      </c>
      <c r="G430" s="104"/>
      <c r="H430" s="128"/>
      <c r="I430" s="104"/>
      <c r="J430" s="129">
        <f t="shared" ref="J430:K430" si="480">J431+J438</f>
        <v>257280000</v>
      </c>
      <c r="K430" s="43">
        <f t="shared" si="480"/>
        <v>680000</v>
      </c>
      <c r="L430" s="116">
        <f t="shared" si="362"/>
        <v>0.2643034826</v>
      </c>
      <c r="M430" s="106"/>
      <c r="N430" s="105"/>
      <c r="O430" s="43">
        <f t="shared" ref="O430:P430" si="481">O431+O438</f>
        <v>256600000</v>
      </c>
      <c r="P430" s="43">
        <f t="shared" si="481"/>
        <v>257280000</v>
      </c>
      <c r="Q430" s="43">
        <v>2.5728E8</v>
      </c>
      <c r="R430" s="101"/>
      <c r="S430" s="101"/>
      <c r="T430" s="99"/>
      <c r="U430" s="99"/>
      <c r="V430" s="99"/>
      <c r="W430" s="99"/>
      <c r="X430" s="99"/>
      <c r="Y430" s="99"/>
      <c r="Z430" s="99"/>
      <c r="AA430" s="99"/>
      <c r="AB430" s="99"/>
      <c r="AC430" s="99"/>
      <c r="AD430" s="99"/>
      <c r="AE430" s="99"/>
      <c r="AF430" s="99"/>
      <c r="AG430" s="99"/>
      <c r="AH430" s="99"/>
      <c r="AI430" s="99"/>
      <c r="AJ430" s="99"/>
      <c r="AK430" s="99"/>
      <c r="AL430" s="99"/>
      <c r="AM430" s="99"/>
    </row>
    <row r="431" ht="12.75" customHeight="1">
      <c r="A431" s="110" t="s">
        <v>74</v>
      </c>
      <c r="D431" s="145" t="s">
        <v>75</v>
      </c>
      <c r="G431" s="104"/>
      <c r="H431" s="133"/>
      <c r="I431" s="104"/>
      <c r="J431" s="134">
        <f t="shared" ref="J431:K431" si="482">SUM(J433:J437)</f>
        <v>233280000</v>
      </c>
      <c r="K431" s="46">
        <f t="shared" si="482"/>
        <v>0</v>
      </c>
      <c r="L431" s="116">
        <f t="shared" si="362"/>
        <v>0</v>
      </c>
      <c r="M431" s="106"/>
      <c r="N431" s="105"/>
      <c r="O431" s="46">
        <f t="shared" ref="O431:P431" si="483">SUM(O433:O437)</f>
        <v>233280000</v>
      </c>
      <c r="P431" s="46">
        <f t="shared" si="483"/>
        <v>233280000</v>
      </c>
      <c r="Q431" s="46">
        <v>2.3328E8</v>
      </c>
      <c r="R431" s="101"/>
      <c r="S431" s="101"/>
      <c r="T431" s="99"/>
      <c r="U431" s="99"/>
      <c r="V431" s="99"/>
      <c r="W431" s="99"/>
      <c r="X431" s="99"/>
      <c r="Y431" s="99"/>
      <c r="Z431" s="99"/>
      <c r="AA431" s="99"/>
      <c r="AB431" s="99"/>
      <c r="AC431" s="99"/>
      <c r="AD431" s="99"/>
      <c r="AE431" s="99"/>
      <c r="AF431" s="99"/>
      <c r="AG431" s="99"/>
      <c r="AH431" s="99"/>
      <c r="AI431" s="99"/>
      <c r="AJ431" s="99"/>
      <c r="AK431" s="99"/>
      <c r="AL431" s="99"/>
      <c r="AM431" s="99"/>
    </row>
    <row r="432" ht="12.75" customHeight="1">
      <c r="A432" s="104"/>
      <c r="B432" s="104"/>
      <c r="C432" s="104"/>
      <c r="D432" s="110" t="s">
        <v>23</v>
      </c>
      <c r="G432" s="104"/>
      <c r="H432" s="104"/>
      <c r="I432" s="104"/>
      <c r="J432" s="111"/>
      <c r="K432" s="111"/>
      <c r="L432" s="116" t="str">
        <f t="shared" si="362"/>
        <v>#DIV/0!</v>
      </c>
      <c r="M432" s="106"/>
      <c r="N432" s="105"/>
      <c r="O432" s="111"/>
      <c r="P432" s="111"/>
      <c r="Q432" s="111"/>
      <c r="R432" s="101"/>
      <c r="S432" s="101"/>
      <c r="T432" s="99"/>
      <c r="U432" s="99"/>
      <c r="V432" s="99"/>
      <c r="W432" s="99"/>
      <c r="X432" s="99"/>
      <c r="Y432" s="99"/>
      <c r="Z432" s="99"/>
      <c r="AA432" s="99"/>
      <c r="AB432" s="99"/>
      <c r="AC432" s="99"/>
      <c r="AD432" s="99"/>
      <c r="AE432" s="99"/>
      <c r="AF432" s="99"/>
      <c r="AG432" s="99"/>
      <c r="AH432" s="99"/>
      <c r="AI432" s="99"/>
      <c r="AJ432" s="99"/>
      <c r="AK432" s="99"/>
      <c r="AL432" s="99"/>
      <c r="AM432" s="99"/>
    </row>
    <row r="433" ht="12.75" customHeight="1">
      <c r="A433" s="104"/>
      <c r="B433" s="104"/>
      <c r="C433" s="104"/>
      <c r="D433" s="110" t="s">
        <v>24</v>
      </c>
      <c r="E433" s="110" t="s">
        <v>291</v>
      </c>
      <c r="G433" s="136">
        <v>75.0</v>
      </c>
      <c r="H433" s="136" t="s">
        <v>95</v>
      </c>
      <c r="I433" s="137">
        <v>430000.0</v>
      </c>
      <c r="J433" s="46">
        <f t="shared" ref="J433:J437" si="484">G433*I433</f>
        <v>32250000</v>
      </c>
      <c r="K433" s="46"/>
      <c r="L433" s="116">
        <f t="shared" si="362"/>
        <v>0</v>
      </c>
      <c r="M433" s="106"/>
      <c r="N433" s="105"/>
      <c r="O433" s="46">
        <f t="shared" ref="O433:O437" si="485">J433-K433</f>
        <v>32250000</v>
      </c>
      <c r="P433" s="46">
        <f t="shared" ref="P433:P437" si="486">J433-M433</f>
        <v>32250000</v>
      </c>
      <c r="Q433" s="46">
        <v>3.225E7</v>
      </c>
      <c r="R433" s="101"/>
      <c r="S433" s="101"/>
      <c r="T433" s="99"/>
      <c r="U433" s="99"/>
      <c r="V433" s="99"/>
      <c r="W433" s="99"/>
      <c r="X433" s="99"/>
      <c r="Y433" s="99"/>
      <c r="Z433" s="99"/>
      <c r="AA433" s="99"/>
      <c r="AB433" s="99"/>
      <c r="AC433" s="99"/>
      <c r="AD433" s="99"/>
      <c r="AE433" s="99"/>
      <c r="AF433" s="99"/>
      <c r="AG433" s="99"/>
      <c r="AH433" s="99"/>
      <c r="AI433" s="99"/>
      <c r="AJ433" s="99"/>
      <c r="AK433" s="99"/>
      <c r="AL433" s="99"/>
      <c r="AM433" s="99"/>
    </row>
    <row r="434" ht="15.75" customHeight="1">
      <c r="A434" s="104"/>
      <c r="B434" s="104"/>
      <c r="C434" s="104"/>
      <c r="D434" s="110" t="s">
        <v>24</v>
      </c>
      <c r="E434" s="110" t="s">
        <v>292</v>
      </c>
      <c r="G434" s="136">
        <v>50.0</v>
      </c>
      <c r="H434" s="136" t="s">
        <v>95</v>
      </c>
      <c r="I434" s="137">
        <v>670000.0</v>
      </c>
      <c r="J434" s="46">
        <f t="shared" si="484"/>
        <v>33500000</v>
      </c>
      <c r="K434" s="46"/>
      <c r="L434" s="116">
        <f t="shared" si="362"/>
        <v>0</v>
      </c>
      <c r="M434" s="106"/>
      <c r="N434" s="105"/>
      <c r="O434" s="46">
        <f t="shared" si="485"/>
        <v>33500000</v>
      </c>
      <c r="P434" s="46">
        <f t="shared" si="486"/>
        <v>33500000</v>
      </c>
      <c r="Q434" s="46">
        <v>3.35E7</v>
      </c>
      <c r="R434" s="101"/>
      <c r="S434" s="101"/>
      <c r="T434" s="99"/>
      <c r="U434" s="99"/>
      <c r="V434" s="99"/>
      <c r="W434" s="99"/>
      <c r="X434" s="99"/>
      <c r="Y434" s="99"/>
      <c r="Z434" s="99"/>
      <c r="AA434" s="99"/>
      <c r="AB434" s="99"/>
      <c r="AC434" s="99"/>
      <c r="AD434" s="99"/>
      <c r="AE434" s="99"/>
      <c r="AF434" s="99"/>
      <c r="AG434" s="99"/>
      <c r="AH434" s="99"/>
      <c r="AI434" s="99"/>
      <c r="AJ434" s="99"/>
      <c r="AK434" s="99"/>
      <c r="AL434" s="99"/>
      <c r="AM434" s="99"/>
    </row>
    <row r="435" ht="12.75" customHeight="1">
      <c r="A435" s="104"/>
      <c r="B435" s="104"/>
      <c r="C435" s="104"/>
      <c r="D435" s="110" t="s">
        <v>24</v>
      </c>
      <c r="E435" s="110" t="s">
        <v>293</v>
      </c>
      <c r="G435" s="136">
        <v>25.0</v>
      </c>
      <c r="H435" s="136" t="s">
        <v>95</v>
      </c>
      <c r="I435" s="137">
        <v>821200.0</v>
      </c>
      <c r="J435" s="46">
        <f t="shared" si="484"/>
        <v>20530000</v>
      </c>
      <c r="K435" s="46"/>
      <c r="L435" s="116">
        <f t="shared" si="362"/>
        <v>0</v>
      </c>
      <c r="M435" s="106"/>
      <c r="N435" s="105"/>
      <c r="O435" s="46">
        <f t="shared" si="485"/>
        <v>20530000</v>
      </c>
      <c r="P435" s="46">
        <f t="shared" si="486"/>
        <v>20530000</v>
      </c>
      <c r="Q435" s="46">
        <v>2.053E7</v>
      </c>
      <c r="R435" s="101"/>
      <c r="S435" s="101"/>
      <c r="T435" s="99"/>
      <c r="U435" s="99"/>
      <c r="V435" s="99"/>
      <c r="W435" s="99"/>
      <c r="X435" s="99"/>
      <c r="Y435" s="99"/>
      <c r="Z435" s="99"/>
      <c r="AA435" s="99"/>
      <c r="AB435" s="99"/>
      <c r="AC435" s="99"/>
      <c r="AD435" s="99"/>
      <c r="AE435" s="99"/>
      <c r="AF435" s="99"/>
      <c r="AG435" s="99"/>
      <c r="AH435" s="99"/>
      <c r="AI435" s="99"/>
      <c r="AJ435" s="99"/>
      <c r="AK435" s="99"/>
      <c r="AL435" s="99"/>
      <c r="AM435" s="99"/>
    </row>
    <row r="436" ht="15.75" customHeight="1">
      <c r="A436" s="104"/>
      <c r="B436" s="104"/>
      <c r="C436" s="104"/>
      <c r="D436" s="110" t="s">
        <v>24</v>
      </c>
      <c r="E436" s="110" t="s">
        <v>350</v>
      </c>
      <c r="G436" s="136">
        <v>150.0</v>
      </c>
      <c r="H436" s="136" t="s">
        <v>95</v>
      </c>
      <c r="I436" s="137">
        <v>500000.0</v>
      </c>
      <c r="J436" s="46">
        <f t="shared" si="484"/>
        <v>75000000</v>
      </c>
      <c r="K436" s="46"/>
      <c r="L436" s="116">
        <f t="shared" si="362"/>
        <v>0</v>
      </c>
      <c r="M436" s="106"/>
      <c r="N436" s="105"/>
      <c r="O436" s="46">
        <f t="shared" si="485"/>
        <v>75000000</v>
      </c>
      <c r="P436" s="46">
        <f t="shared" si="486"/>
        <v>75000000</v>
      </c>
      <c r="Q436" s="46">
        <v>7.5E7</v>
      </c>
      <c r="R436" s="101"/>
      <c r="S436" s="101"/>
      <c r="T436" s="99"/>
      <c r="U436" s="99"/>
      <c r="V436" s="99"/>
      <c r="W436" s="99"/>
      <c r="X436" s="99"/>
      <c r="Y436" s="99"/>
      <c r="Z436" s="99"/>
      <c r="AA436" s="99"/>
      <c r="AB436" s="99"/>
      <c r="AC436" s="99"/>
      <c r="AD436" s="99"/>
      <c r="AE436" s="99"/>
      <c r="AF436" s="99"/>
      <c r="AG436" s="99"/>
      <c r="AH436" s="99"/>
      <c r="AI436" s="99"/>
      <c r="AJ436" s="99"/>
      <c r="AK436" s="99"/>
      <c r="AL436" s="99"/>
      <c r="AM436" s="99"/>
    </row>
    <row r="437" ht="15.75" customHeight="1">
      <c r="A437" s="104"/>
      <c r="B437" s="104"/>
      <c r="C437" s="104"/>
      <c r="D437" s="110" t="s">
        <v>24</v>
      </c>
      <c r="E437" s="110" t="s">
        <v>351</v>
      </c>
      <c r="G437" s="136">
        <v>225.0</v>
      </c>
      <c r="H437" s="136" t="s">
        <v>95</v>
      </c>
      <c r="I437" s="137">
        <v>320000.0</v>
      </c>
      <c r="J437" s="46">
        <f t="shared" si="484"/>
        <v>72000000</v>
      </c>
      <c r="K437" s="46"/>
      <c r="L437" s="116">
        <f t="shared" si="362"/>
        <v>0</v>
      </c>
      <c r="M437" s="106"/>
      <c r="N437" s="105"/>
      <c r="O437" s="46">
        <f t="shared" si="485"/>
        <v>72000000</v>
      </c>
      <c r="P437" s="46">
        <f t="shared" si="486"/>
        <v>72000000</v>
      </c>
      <c r="Q437" s="46">
        <v>7.2E7</v>
      </c>
      <c r="R437" s="101"/>
      <c r="S437" s="101"/>
      <c r="T437" s="99"/>
      <c r="U437" s="99"/>
      <c r="V437" s="99"/>
      <c r="W437" s="99"/>
      <c r="X437" s="99"/>
      <c r="Y437" s="99"/>
      <c r="Z437" s="99"/>
      <c r="AA437" s="99"/>
      <c r="AB437" s="99"/>
      <c r="AC437" s="99"/>
      <c r="AD437" s="99"/>
      <c r="AE437" s="99"/>
      <c r="AF437" s="99"/>
      <c r="AG437" s="99"/>
      <c r="AH437" s="99"/>
      <c r="AI437" s="99"/>
      <c r="AJ437" s="99"/>
      <c r="AK437" s="99"/>
      <c r="AL437" s="99"/>
      <c r="AM437" s="99"/>
    </row>
    <row r="438" ht="12.75" customHeight="1">
      <c r="A438" s="110" t="s">
        <v>79</v>
      </c>
      <c r="D438" s="145" t="s">
        <v>80</v>
      </c>
      <c r="G438" s="104"/>
      <c r="H438" s="133"/>
      <c r="I438" s="104"/>
      <c r="J438" s="134">
        <f t="shared" ref="J438:K438" si="487">J440</f>
        <v>24000000</v>
      </c>
      <c r="K438" s="46">
        <f t="shared" si="487"/>
        <v>680000</v>
      </c>
      <c r="L438" s="116">
        <f t="shared" si="362"/>
        <v>2.833333333</v>
      </c>
      <c r="M438" s="106"/>
      <c r="N438" s="105"/>
      <c r="O438" s="46">
        <f t="shared" ref="O438:P438" si="488">O440</f>
        <v>23320000</v>
      </c>
      <c r="P438" s="46">
        <f t="shared" si="488"/>
        <v>24000000</v>
      </c>
      <c r="Q438" s="46">
        <v>2.4E7</v>
      </c>
      <c r="R438" s="101"/>
      <c r="S438" s="101"/>
      <c r="T438" s="99"/>
      <c r="U438" s="99"/>
      <c r="V438" s="99"/>
      <c r="W438" s="99"/>
      <c r="X438" s="99"/>
      <c r="Y438" s="99"/>
      <c r="Z438" s="99"/>
      <c r="AA438" s="99"/>
      <c r="AB438" s="99"/>
      <c r="AC438" s="99"/>
      <c r="AD438" s="99"/>
      <c r="AE438" s="99"/>
      <c r="AF438" s="99"/>
      <c r="AG438" s="99"/>
      <c r="AH438" s="99"/>
      <c r="AI438" s="99"/>
      <c r="AJ438" s="99"/>
      <c r="AK438" s="99"/>
      <c r="AL438" s="99"/>
      <c r="AM438" s="99"/>
    </row>
    <row r="439" ht="12.75" customHeight="1">
      <c r="A439" s="104"/>
      <c r="B439" s="104"/>
      <c r="C439" s="104"/>
      <c r="D439" s="110" t="s">
        <v>23</v>
      </c>
      <c r="G439" s="104"/>
      <c r="H439" s="104"/>
      <c r="I439" s="104"/>
      <c r="J439" s="111"/>
      <c r="K439" s="111"/>
      <c r="L439" s="116" t="str">
        <f t="shared" si="362"/>
        <v>#DIV/0!</v>
      </c>
      <c r="M439" s="106"/>
      <c r="N439" s="105"/>
      <c r="O439" s="111"/>
      <c r="P439" s="111"/>
      <c r="Q439" s="111"/>
      <c r="R439" s="101"/>
      <c r="S439" s="101"/>
      <c r="T439" s="99"/>
      <c r="U439" s="99"/>
      <c r="V439" s="99"/>
      <c r="W439" s="99"/>
      <c r="X439" s="99"/>
      <c r="Y439" s="99"/>
      <c r="Z439" s="99"/>
      <c r="AA439" s="99"/>
      <c r="AB439" s="99"/>
      <c r="AC439" s="99"/>
      <c r="AD439" s="99"/>
      <c r="AE439" s="99"/>
      <c r="AF439" s="99"/>
      <c r="AG439" s="99"/>
      <c r="AH439" s="99"/>
      <c r="AI439" s="99"/>
      <c r="AJ439" s="99"/>
      <c r="AK439" s="99"/>
      <c r="AL439" s="99"/>
      <c r="AM439" s="99"/>
    </row>
    <row r="440" ht="12.75" customHeight="1">
      <c r="A440" s="104"/>
      <c r="B440" s="104"/>
      <c r="C440" s="104"/>
      <c r="D440" s="110" t="s">
        <v>24</v>
      </c>
      <c r="E440" s="110" t="s">
        <v>296</v>
      </c>
      <c r="G440" s="136">
        <v>160.0</v>
      </c>
      <c r="H440" s="136" t="s">
        <v>95</v>
      </c>
      <c r="I440" s="137">
        <v>150000.0</v>
      </c>
      <c r="J440" s="46">
        <f>G440*I440</f>
        <v>24000000</v>
      </c>
      <c r="K440" s="46">
        <v>680000.0</v>
      </c>
      <c r="L440" s="116">
        <f t="shared" si="362"/>
        <v>2.833333333</v>
      </c>
      <c r="M440" s="106"/>
      <c r="N440" s="105"/>
      <c r="O440" s="46">
        <f>J440-K440</f>
        <v>23320000</v>
      </c>
      <c r="P440" s="46">
        <f>J440-M440</f>
        <v>24000000</v>
      </c>
      <c r="Q440" s="46">
        <v>2.4E7</v>
      </c>
      <c r="R440" s="101"/>
      <c r="S440" s="101"/>
      <c r="T440" s="99"/>
      <c r="U440" s="99"/>
      <c r="V440" s="99"/>
      <c r="W440" s="99"/>
      <c r="X440" s="99"/>
      <c r="Y440" s="99"/>
      <c r="Z440" s="99"/>
      <c r="AA440" s="99"/>
      <c r="AB440" s="99"/>
      <c r="AC440" s="99"/>
      <c r="AD440" s="99"/>
      <c r="AE440" s="99"/>
      <c r="AF440" s="99"/>
      <c r="AG440" s="99"/>
      <c r="AH440" s="99"/>
      <c r="AI440" s="99"/>
      <c r="AJ440" s="99"/>
      <c r="AK440" s="99"/>
      <c r="AL440" s="99"/>
      <c r="AM440" s="99"/>
    </row>
    <row r="441" ht="12.75" customHeight="1">
      <c r="A441" s="140" t="s">
        <v>18</v>
      </c>
      <c r="B441" s="121"/>
      <c r="C441" s="122"/>
      <c r="D441" s="140" t="s">
        <v>19</v>
      </c>
      <c r="E441" s="121"/>
      <c r="F441" s="122"/>
      <c r="G441" s="141" t="s">
        <v>306</v>
      </c>
      <c r="H441" s="141" t="s">
        <v>306</v>
      </c>
      <c r="I441" s="142"/>
      <c r="J441" s="125">
        <f t="shared" ref="J441:K441" si="489">J442+J456+J468+J481+J498+J507+J517+J522+J538+J552+J560+J568+J574</f>
        <v>3064496000</v>
      </c>
      <c r="K441" s="84">
        <f t="shared" si="489"/>
        <v>150042000</v>
      </c>
      <c r="L441" s="116">
        <f t="shared" si="362"/>
        <v>4.896139528</v>
      </c>
      <c r="M441" s="106"/>
      <c r="N441" s="105"/>
      <c r="O441" s="84">
        <f t="shared" ref="O441:P441" si="490">O442+O456+O468+O481+O498+O507+O517+O522+O538+O552+O560+O568+O574</f>
        <v>2914454000</v>
      </c>
      <c r="P441" s="84">
        <f t="shared" si="490"/>
        <v>3064496000</v>
      </c>
      <c r="Q441" s="143">
        <v>3.064496E9</v>
      </c>
      <c r="R441" s="101">
        <v>2.58167E8</v>
      </c>
      <c r="S441" s="101" t="s">
        <v>352</v>
      </c>
      <c r="T441" s="99"/>
      <c r="U441" s="99"/>
      <c r="V441" s="99"/>
      <c r="W441" s="99"/>
      <c r="X441" s="99"/>
      <c r="Y441" s="99"/>
      <c r="Z441" s="99"/>
      <c r="AA441" s="99"/>
      <c r="AB441" s="99"/>
      <c r="AC441" s="99"/>
      <c r="AD441" s="99"/>
      <c r="AE441" s="99"/>
      <c r="AF441" s="99"/>
      <c r="AG441" s="99"/>
      <c r="AH441" s="99"/>
      <c r="AI441" s="99"/>
      <c r="AJ441" s="99"/>
      <c r="AK441" s="99"/>
      <c r="AL441" s="99"/>
      <c r="AM441" s="99"/>
    </row>
    <row r="442" ht="12.75" customHeight="1">
      <c r="A442" s="144" t="s">
        <v>20</v>
      </c>
      <c r="D442" s="144" t="s">
        <v>21</v>
      </c>
      <c r="G442" s="104"/>
      <c r="H442" s="104"/>
      <c r="I442" s="104"/>
      <c r="J442" s="129">
        <f t="shared" ref="J442:K442" si="491">J443+J452</f>
        <v>142640000</v>
      </c>
      <c r="K442" s="43">
        <f t="shared" si="491"/>
        <v>0</v>
      </c>
      <c r="L442" s="116">
        <f t="shared" si="362"/>
        <v>0</v>
      </c>
      <c r="M442" s="106"/>
      <c r="N442" s="105"/>
      <c r="O442" s="43">
        <f t="shared" ref="O442:P442" si="492">O443+O452</f>
        <v>142640000</v>
      </c>
      <c r="P442" s="43">
        <f t="shared" si="492"/>
        <v>142640000</v>
      </c>
      <c r="Q442" s="43">
        <v>1.4264E8</v>
      </c>
      <c r="R442" s="101"/>
      <c r="S442" s="101"/>
      <c r="T442" s="99"/>
      <c r="U442" s="99"/>
      <c r="V442" s="99"/>
      <c r="W442" s="99"/>
      <c r="X442" s="99"/>
      <c r="Y442" s="99"/>
      <c r="Z442" s="99"/>
      <c r="AA442" s="99"/>
      <c r="AB442" s="99"/>
      <c r="AC442" s="99"/>
      <c r="AD442" s="99"/>
      <c r="AE442" s="99"/>
      <c r="AF442" s="99"/>
      <c r="AG442" s="99"/>
      <c r="AH442" s="99"/>
      <c r="AI442" s="99"/>
      <c r="AJ442" s="99"/>
      <c r="AK442" s="99"/>
      <c r="AL442" s="99"/>
      <c r="AM442" s="99"/>
    </row>
    <row r="443" ht="12.75" customHeight="1">
      <c r="A443" s="110" t="s">
        <v>40</v>
      </c>
      <c r="D443" s="145" t="s">
        <v>22</v>
      </c>
      <c r="G443" s="104"/>
      <c r="H443" s="104"/>
      <c r="I443" s="104"/>
      <c r="J443" s="134">
        <f t="shared" ref="J443:K443" si="493">SUM(J445:J451)</f>
        <v>130640000</v>
      </c>
      <c r="K443" s="46">
        <f t="shared" si="493"/>
        <v>0</v>
      </c>
      <c r="L443" s="116">
        <f t="shared" si="362"/>
        <v>0</v>
      </c>
      <c r="M443" s="106"/>
      <c r="N443" s="105"/>
      <c r="O443" s="46">
        <f t="shared" ref="O443:P443" si="494">SUM(O445:O451)</f>
        <v>130640000</v>
      </c>
      <c r="P443" s="46">
        <f t="shared" si="494"/>
        <v>130640000</v>
      </c>
      <c r="Q443" s="46">
        <v>1.3064E8</v>
      </c>
      <c r="R443" s="101"/>
      <c r="S443" s="101"/>
      <c r="T443" s="99"/>
      <c r="U443" s="99"/>
      <c r="V443" s="99"/>
      <c r="W443" s="99"/>
      <c r="X443" s="99"/>
      <c r="Y443" s="99"/>
      <c r="Z443" s="99"/>
      <c r="AA443" s="99"/>
      <c r="AB443" s="99"/>
      <c r="AC443" s="99"/>
      <c r="AD443" s="99"/>
      <c r="AE443" s="99"/>
      <c r="AF443" s="99"/>
      <c r="AG443" s="99"/>
      <c r="AH443" s="99"/>
      <c r="AI443" s="99"/>
      <c r="AJ443" s="99"/>
      <c r="AK443" s="99"/>
      <c r="AL443" s="99"/>
      <c r="AM443" s="99"/>
    </row>
    <row r="444" ht="12.75" customHeight="1">
      <c r="A444" s="104"/>
      <c r="B444" s="104"/>
      <c r="C444" s="104"/>
      <c r="D444" s="110" t="s">
        <v>23</v>
      </c>
      <c r="G444" s="104"/>
      <c r="H444" s="104"/>
      <c r="I444" s="104"/>
      <c r="J444" s="111"/>
      <c r="K444" s="111"/>
      <c r="L444" s="116" t="str">
        <f t="shared" si="362"/>
        <v>#DIV/0!</v>
      </c>
      <c r="M444" s="106"/>
      <c r="N444" s="105"/>
      <c r="O444" s="111"/>
      <c r="P444" s="111"/>
      <c r="Q444" s="111"/>
      <c r="R444" s="101"/>
      <c r="S444" s="101"/>
      <c r="T444" s="99"/>
      <c r="U444" s="99"/>
      <c r="V444" s="99"/>
      <c r="W444" s="99"/>
      <c r="X444" s="99"/>
      <c r="Y444" s="99"/>
      <c r="Z444" s="99"/>
      <c r="AA444" s="99"/>
      <c r="AB444" s="99"/>
      <c r="AC444" s="99"/>
      <c r="AD444" s="99"/>
      <c r="AE444" s="99"/>
      <c r="AF444" s="99"/>
      <c r="AG444" s="99"/>
      <c r="AH444" s="99"/>
      <c r="AI444" s="99"/>
      <c r="AJ444" s="99"/>
      <c r="AK444" s="99"/>
      <c r="AL444" s="99"/>
      <c r="AM444" s="99"/>
    </row>
    <row r="445" ht="12.75" customHeight="1">
      <c r="A445" s="104"/>
      <c r="B445" s="104"/>
      <c r="C445" s="104"/>
      <c r="D445" s="110" t="s">
        <v>24</v>
      </c>
      <c r="E445" s="110" t="s">
        <v>156</v>
      </c>
      <c r="G445" s="136">
        <v>24.0</v>
      </c>
      <c r="H445" s="136" t="s">
        <v>26</v>
      </c>
      <c r="I445" s="137">
        <v>500000.0</v>
      </c>
      <c r="J445" s="46">
        <f t="shared" ref="J445:J451" si="495">G445*I445</f>
        <v>12000000</v>
      </c>
      <c r="K445" s="46"/>
      <c r="L445" s="116">
        <f t="shared" si="362"/>
        <v>0</v>
      </c>
      <c r="M445" s="106"/>
      <c r="N445" s="105"/>
      <c r="O445" s="46">
        <f t="shared" ref="O445:O451" si="496">J445-K445</f>
        <v>12000000</v>
      </c>
      <c r="P445" s="46">
        <f t="shared" ref="P445:P451" si="497">J445-M445</f>
        <v>12000000</v>
      </c>
      <c r="Q445" s="46">
        <v>1.2E7</v>
      </c>
      <c r="R445" s="101"/>
      <c r="S445" s="101"/>
      <c r="T445" s="99"/>
      <c r="U445" s="99"/>
      <c r="V445" s="99"/>
      <c r="W445" s="99"/>
      <c r="X445" s="99"/>
      <c r="Y445" s="99"/>
      <c r="Z445" s="99"/>
      <c r="AA445" s="99"/>
      <c r="AB445" s="99"/>
      <c r="AC445" s="99"/>
      <c r="AD445" s="99"/>
      <c r="AE445" s="99"/>
      <c r="AF445" s="99"/>
      <c r="AG445" s="99"/>
      <c r="AH445" s="99"/>
      <c r="AI445" s="99"/>
      <c r="AJ445" s="99"/>
      <c r="AK445" s="99"/>
      <c r="AL445" s="99"/>
      <c r="AM445" s="99"/>
    </row>
    <row r="446" ht="12.75" customHeight="1">
      <c r="A446" s="104"/>
      <c r="B446" s="104"/>
      <c r="C446" s="104"/>
      <c r="D446" s="110" t="s">
        <v>24</v>
      </c>
      <c r="E446" s="110" t="s">
        <v>27</v>
      </c>
      <c r="G446" s="136">
        <v>2.0</v>
      </c>
      <c r="H446" s="136" t="s">
        <v>26</v>
      </c>
      <c r="I446" s="137">
        <v>2000000.0</v>
      </c>
      <c r="J446" s="46">
        <f t="shared" si="495"/>
        <v>4000000</v>
      </c>
      <c r="K446" s="46"/>
      <c r="L446" s="116">
        <f t="shared" si="362"/>
        <v>0</v>
      </c>
      <c r="M446" s="106"/>
      <c r="N446" s="105"/>
      <c r="O446" s="46">
        <f t="shared" si="496"/>
        <v>4000000</v>
      </c>
      <c r="P446" s="46">
        <f t="shared" si="497"/>
        <v>4000000</v>
      </c>
      <c r="Q446" s="46">
        <v>4000000.0</v>
      </c>
      <c r="R446" s="101"/>
      <c r="S446" s="101"/>
      <c r="T446" s="99"/>
      <c r="U446" s="99"/>
      <c r="V446" s="99"/>
      <c r="W446" s="99"/>
      <c r="X446" s="99"/>
      <c r="Y446" s="99"/>
      <c r="Z446" s="99"/>
      <c r="AA446" s="99"/>
      <c r="AB446" s="99"/>
      <c r="AC446" s="99"/>
      <c r="AD446" s="99"/>
      <c r="AE446" s="99"/>
      <c r="AF446" s="99"/>
      <c r="AG446" s="99"/>
      <c r="AH446" s="99"/>
      <c r="AI446" s="99"/>
      <c r="AJ446" s="99"/>
      <c r="AK446" s="99"/>
      <c r="AL446" s="99"/>
      <c r="AM446" s="99"/>
    </row>
    <row r="447" ht="15.75" customHeight="1">
      <c r="A447" s="104"/>
      <c r="B447" s="104"/>
      <c r="C447" s="104"/>
      <c r="D447" s="110" t="s">
        <v>24</v>
      </c>
      <c r="E447" s="110" t="s">
        <v>28</v>
      </c>
      <c r="G447" s="136">
        <v>10.0</v>
      </c>
      <c r="H447" s="136" t="s">
        <v>26</v>
      </c>
      <c r="I447" s="137">
        <v>500000.0</v>
      </c>
      <c r="J447" s="46">
        <f t="shared" si="495"/>
        <v>5000000</v>
      </c>
      <c r="K447" s="46"/>
      <c r="L447" s="116">
        <f t="shared" si="362"/>
        <v>0</v>
      </c>
      <c r="M447" s="106"/>
      <c r="N447" s="105"/>
      <c r="O447" s="46">
        <f t="shared" si="496"/>
        <v>5000000</v>
      </c>
      <c r="P447" s="46">
        <f t="shared" si="497"/>
        <v>5000000</v>
      </c>
      <c r="Q447" s="46">
        <v>5000000.0</v>
      </c>
      <c r="R447" s="101"/>
      <c r="S447" s="101"/>
      <c r="T447" s="99"/>
      <c r="U447" s="99"/>
      <c r="V447" s="99"/>
      <c r="W447" s="99"/>
      <c r="X447" s="99"/>
      <c r="Y447" s="99"/>
      <c r="Z447" s="99"/>
      <c r="AA447" s="99"/>
      <c r="AB447" s="99"/>
      <c r="AC447" s="99"/>
      <c r="AD447" s="99"/>
      <c r="AE447" s="99"/>
      <c r="AF447" s="99"/>
      <c r="AG447" s="99"/>
      <c r="AH447" s="99"/>
      <c r="AI447" s="99"/>
      <c r="AJ447" s="99"/>
      <c r="AK447" s="99"/>
      <c r="AL447" s="99"/>
      <c r="AM447" s="99"/>
    </row>
    <row r="448" ht="12.75" customHeight="1">
      <c r="A448" s="104"/>
      <c r="B448" s="104"/>
      <c r="C448" s="104"/>
      <c r="D448" s="110" t="s">
        <v>24</v>
      </c>
      <c r="E448" s="110" t="s">
        <v>157</v>
      </c>
      <c r="G448" s="136">
        <v>200.0</v>
      </c>
      <c r="H448" s="136" t="s">
        <v>26</v>
      </c>
      <c r="I448" s="137">
        <v>25000.0</v>
      </c>
      <c r="J448" s="46">
        <f t="shared" si="495"/>
        <v>5000000</v>
      </c>
      <c r="K448" s="46"/>
      <c r="L448" s="116">
        <f t="shared" si="362"/>
        <v>0</v>
      </c>
      <c r="M448" s="106"/>
      <c r="N448" s="105"/>
      <c r="O448" s="46">
        <f t="shared" si="496"/>
        <v>5000000</v>
      </c>
      <c r="P448" s="46">
        <f t="shared" si="497"/>
        <v>5000000</v>
      </c>
      <c r="Q448" s="46">
        <v>5000000.0</v>
      </c>
      <c r="R448" s="101"/>
      <c r="S448" s="101"/>
      <c r="T448" s="99"/>
      <c r="U448" s="99"/>
      <c r="V448" s="99"/>
      <c r="W448" s="99"/>
      <c r="X448" s="99"/>
      <c r="Y448" s="99"/>
      <c r="Z448" s="99"/>
      <c r="AA448" s="99"/>
      <c r="AB448" s="99"/>
      <c r="AC448" s="99"/>
      <c r="AD448" s="99"/>
      <c r="AE448" s="99"/>
      <c r="AF448" s="99"/>
      <c r="AG448" s="99"/>
      <c r="AH448" s="99"/>
      <c r="AI448" s="99"/>
      <c r="AJ448" s="99"/>
      <c r="AK448" s="99"/>
      <c r="AL448" s="99"/>
      <c r="AM448" s="99"/>
    </row>
    <row r="449" ht="15.75" customHeight="1">
      <c r="A449" s="104"/>
      <c r="B449" s="104"/>
      <c r="C449" s="104"/>
      <c r="D449" s="110" t="s">
        <v>24</v>
      </c>
      <c r="E449" s="110" t="s">
        <v>31</v>
      </c>
      <c r="G449" s="136">
        <v>320.0</v>
      </c>
      <c r="H449" s="136" t="s">
        <v>26</v>
      </c>
      <c r="I449" s="137">
        <v>53000.0</v>
      </c>
      <c r="J449" s="46">
        <f t="shared" si="495"/>
        <v>16960000</v>
      </c>
      <c r="K449" s="46"/>
      <c r="L449" s="116">
        <f t="shared" si="362"/>
        <v>0</v>
      </c>
      <c r="M449" s="106"/>
      <c r="N449" s="105"/>
      <c r="O449" s="46">
        <f t="shared" si="496"/>
        <v>16960000</v>
      </c>
      <c r="P449" s="46">
        <f t="shared" si="497"/>
        <v>16960000</v>
      </c>
      <c r="Q449" s="46">
        <v>1.696E7</v>
      </c>
      <c r="R449" s="101"/>
      <c r="S449" s="101"/>
      <c r="T449" s="99"/>
      <c r="U449" s="99"/>
      <c r="V449" s="99"/>
      <c r="W449" s="99"/>
      <c r="X449" s="99"/>
      <c r="Y449" s="99"/>
      <c r="Z449" s="99"/>
      <c r="AA449" s="99"/>
      <c r="AB449" s="99"/>
      <c r="AC449" s="99"/>
      <c r="AD449" s="99"/>
      <c r="AE449" s="99"/>
      <c r="AF449" s="99"/>
      <c r="AG449" s="99"/>
      <c r="AH449" s="99"/>
      <c r="AI449" s="99"/>
      <c r="AJ449" s="99"/>
      <c r="AK449" s="99"/>
      <c r="AL449" s="99"/>
      <c r="AM449" s="99"/>
    </row>
    <row r="450" ht="15.75" customHeight="1">
      <c r="A450" s="104"/>
      <c r="B450" s="104"/>
      <c r="C450" s="104"/>
      <c r="D450" s="110" t="s">
        <v>24</v>
      </c>
      <c r="E450" s="110" t="s">
        <v>32</v>
      </c>
      <c r="G450" s="136">
        <v>320.0</v>
      </c>
      <c r="H450" s="136" t="s">
        <v>26</v>
      </c>
      <c r="I450" s="137">
        <v>24000.0</v>
      </c>
      <c r="J450" s="46">
        <f t="shared" si="495"/>
        <v>7680000</v>
      </c>
      <c r="K450" s="46"/>
      <c r="L450" s="116">
        <f t="shared" si="362"/>
        <v>0</v>
      </c>
      <c r="M450" s="106"/>
      <c r="N450" s="105"/>
      <c r="O450" s="46">
        <f t="shared" si="496"/>
        <v>7680000</v>
      </c>
      <c r="P450" s="46">
        <f t="shared" si="497"/>
        <v>7680000</v>
      </c>
      <c r="Q450" s="46">
        <v>7680000.0</v>
      </c>
      <c r="R450" s="101"/>
      <c r="S450" s="101"/>
      <c r="T450" s="99"/>
      <c r="U450" s="99"/>
      <c r="V450" s="99"/>
      <c r="W450" s="99"/>
      <c r="X450" s="99"/>
      <c r="Y450" s="99"/>
      <c r="Z450" s="99"/>
      <c r="AA450" s="99"/>
      <c r="AB450" s="99"/>
      <c r="AC450" s="99"/>
      <c r="AD450" s="99"/>
      <c r="AE450" s="99"/>
      <c r="AF450" s="99"/>
      <c r="AG450" s="99"/>
      <c r="AH450" s="99"/>
      <c r="AI450" s="99"/>
      <c r="AJ450" s="99"/>
      <c r="AK450" s="99"/>
      <c r="AL450" s="99"/>
      <c r="AM450" s="99"/>
    </row>
    <row r="451" ht="15.75" customHeight="1">
      <c r="A451" s="104"/>
      <c r="B451" s="104"/>
      <c r="C451" s="104"/>
      <c r="D451" s="110" t="s">
        <v>24</v>
      </c>
      <c r="E451" s="110" t="s">
        <v>288</v>
      </c>
      <c r="G451" s="136">
        <v>100.0</v>
      </c>
      <c r="H451" s="136" t="s">
        <v>26</v>
      </c>
      <c r="I451" s="137">
        <v>800000.0</v>
      </c>
      <c r="J451" s="46">
        <f t="shared" si="495"/>
        <v>80000000</v>
      </c>
      <c r="K451" s="46"/>
      <c r="L451" s="116">
        <f t="shared" si="362"/>
        <v>0</v>
      </c>
      <c r="M451" s="106"/>
      <c r="N451" s="105"/>
      <c r="O451" s="46">
        <f t="shared" si="496"/>
        <v>80000000</v>
      </c>
      <c r="P451" s="46">
        <f t="shared" si="497"/>
        <v>80000000</v>
      </c>
      <c r="Q451" s="46">
        <v>8.0E7</v>
      </c>
      <c r="R451" s="101"/>
      <c r="S451" s="101"/>
      <c r="T451" s="99"/>
      <c r="U451" s="99"/>
      <c r="V451" s="99"/>
      <c r="W451" s="99"/>
      <c r="X451" s="99"/>
      <c r="Y451" s="99"/>
      <c r="Z451" s="99"/>
      <c r="AA451" s="99"/>
      <c r="AB451" s="99"/>
      <c r="AC451" s="99"/>
      <c r="AD451" s="99"/>
      <c r="AE451" s="99"/>
      <c r="AF451" s="99"/>
      <c r="AG451" s="99"/>
      <c r="AH451" s="99"/>
      <c r="AI451" s="99"/>
      <c r="AJ451" s="99"/>
      <c r="AK451" s="99"/>
      <c r="AL451" s="99"/>
      <c r="AM451" s="99"/>
    </row>
    <row r="452" ht="12.75" customHeight="1">
      <c r="A452" s="110" t="s">
        <v>58</v>
      </c>
      <c r="D452" s="145" t="s">
        <v>34</v>
      </c>
      <c r="G452" s="104"/>
      <c r="H452" s="133"/>
      <c r="I452" s="104"/>
      <c r="J452" s="134">
        <f t="shared" ref="J452:K452" si="498">SUM(J454:J455)</f>
        <v>12000000</v>
      </c>
      <c r="K452" s="46">
        <f t="shared" si="498"/>
        <v>0</v>
      </c>
      <c r="L452" s="116">
        <f t="shared" si="362"/>
        <v>0</v>
      </c>
      <c r="M452" s="106"/>
      <c r="N452" s="105"/>
      <c r="O452" s="46">
        <f t="shared" ref="O452:P452" si="499">SUM(O454:O455)</f>
        <v>12000000</v>
      </c>
      <c r="P452" s="46">
        <f t="shared" si="499"/>
        <v>12000000</v>
      </c>
      <c r="Q452" s="46">
        <v>1.2E7</v>
      </c>
      <c r="R452" s="101"/>
      <c r="S452" s="101"/>
      <c r="T452" s="99"/>
      <c r="U452" s="99"/>
      <c r="V452" s="99"/>
      <c r="W452" s="99"/>
      <c r="X452" s="99"/>
      <c r="Y452" s="99"/>
      <c r="Z452" s="99"/>
      <c r="AA452" s="99"/>
      <c r="AB452" s="99"/>
      <c r="AC452" s="99"/>
      <c r="AD452" s="99"/>
      <c r="AE452" s="99"/>
      <c r="AF452" s="99"/>
      <c r="AG452" s="99"/>
      <c r="AH452" s="99"/>
      <c r="AI452" s="99"/>
      <c r="AJ452" s="99"/>
      <c r="AK452" s="99"/>
      <c r="AL452" s="99"/>
      <c r="AM452" s="99"/>
    </row>
    <row r="453" ht="12.75" customHeight="1">
      <c r="A453" s="104"/>
      <c r="B453" s="104"/>
      <c r="C453" s="104"/>
      <c r="D453" s="110" t="s">
        <v>23</v>
      </c>
      <c r="G453" s="104"/>
      <c r="H453" s="104"/>
      <c r="I453" s="104"/>
      <c r="J453" s="111"/>
      <c r="K453" s="111"/>
      <c r="L453" s="116" t="str">
        <f t="shared" si="362"/>
        <v>#DIV/0!</v>
      </c>
      <c r="M453" s="106"/>
      <c r="N453" s="105"/>
      <c r="O453" s="111"/>
      <c r="P453" s="111"/>
      <c r="Q453" s="111"/>
      <c r="R453" s="101"/>
      <c r="S453" s="101"/>
      <c r="T453" s="99"/>
      <c r="U453" s="99"/>
      <c r="V453" s="99"/>
      <c r="W453" s="99"/>
      <c r="X453" s="99"/>
      <c r="Y453" s="99"/>
      <c r="Z453" s="99"/>
      <c r="AA453" s="99"/>
      <c r="AB453" s="99"/>
      <c r="AC453" s="99"/>
      <c r="AD453" s="99"/>
      <c r="AE453" s="99"/>
      <c r="AF453" s="99"/>
      <c r="AG453" s="99"/>
      <c r="AH453" s="99"/>
      <c r="AI453" s="99"/>
      <c r="AJ453" s="99"/>
      <c r="AK453" s="99"/>
      <c r="AL453" s="99"/>
      <c r="AM453" s="99"/>
    </row>
    <row r="454" ht="12.75" customHeight="1">
      <c r="A454" s="104"/>
      <c r="B454" s="104"/>
      <c r="C454" s="104"/>
      <c r="D454" s="110" t="s">
        <v>24</v>
      </c>
      <c r="E454" s="110" t="s">
        <v>159</v>
      </c>
      <c r="G454" s="136">
        <v>16.0</v>
      </c>
      <c r="H454" s="136" t="s">
        <v>26</v>
      </c>
      <c r="I454" s="137">
        <v>500000.0</v>
      </c>
      <c r="J454" s="46">
        <f t="shared" ref="J454:J455" si="500">G454*I454</f>
        <v>8000000</v>
      </c>
      <c r="K454" s="46"/>
      <c r="L454" s="116">
        <f t="shared" si="362"/>
        <v>0</v>
      </c>
      <c r="M454" s="106"/>
      <c r="N454" s="105"/>
      <c r="O454" s="46">
        <f t="shared" ref="O454:O455" si="501">J454-K454</f>
        <v>8000000</v>
      </c>
      <c r="P454" s="46">
        <f t="shared" ref="P454:P455" si="502">J454-M454</f>
        <v>8000000</v>
      </c>
      <c r="Q454" s="46">
        <v>8000000.0</v>
      </c>
      <c r="R454" s="101"/>
      <c r="S454" s="101"/>
      <c r="T454" s="99"/>
      <c r="U454" s="99"/>
      <c r="V454" s="99"/>
      <c r="W454" s="99"/>
      <c r="X454" s="99"/>
      <c r="Y454" s="99"/>
      <c r="Z454" s="99"/>
      <c r="AA454" s="99"/>
      <c r="AB454" s="99"/>
      <c r="AC454" s="99"/>
      <c r="AD454" s="99"/>
      <c r="AE454" s="99"/>
      <c r="AF454" s="99"/>
      <c r="AG454" s="99"/>
      <c r="AH454" s="99"/>
      <c r="AI454" s="99"/>
      <c r="AJ454" s="99"/>
      <c r="AK454" s="99"/>
      <c r="AL454" s="99"/>
      <c r="AM454" s="99"/>
    </row>
    <row r="455" ht="12.75" customHeight="1">
      <c r="A455" s="104"/>
      <c r="B455" s="104"/>
      <c r="C455" s="104"/>
      <c r="D455" s="110" t="s">
        <v>24</v>
      </c>
      <c r="E455" s="110" t="s">
        <v>230</v>
      </c>
      <c r="G455" s="136">
        <v>8.0</v>
      </c>
      <c r="H455" s="136" t="s">
        <v>26</v>
      </c>
      <c r="I455" s="137">
        <v>500000.0</v>
      </c>
      <c r="J455" s="46">
        <f t="shared" si="500"/>
        <v>4000000</v>
      </c>
      <c r="K455" s="46"/>
      <c r="L455" s="116">
        <f t="shared" si="362"/>
        <v>0</v>
      </c>
      <c r="M455" s="106"/>
      <c r="N455" s="105"/>
      <c r="O455" s="46">
        <f t="shared" si="501"/>
        <v>4000000</v>
      </c>
      <c r="P455" s="46">
        <f t="shared" si="502"/>
        <v>4000000</v>
      </c>
      <c r="Q455" s="46">
        <v>4000000.0</v>
      </c>
      <c r="R455" s="101"/>
      <c r="S455" s="101"/>
      <c r="T455" s="99"/>
      <c r="U455" s="99"/>
      <c r="V455" s="99"/>
      <c r="W455" s="99"/>
      <c r="X455" s="99"/>
      <c r="Y455" s="99"/>
      <c r="Z455" s="99"/>
      <c r="AA455" s="99"/>
      <c r="AB455" s="99"/>
      <c r="AC455" s="99"/>
      <c r="AD455" s="99"/>
      <c r="AE455" s="99"/>
      <c r="AF455" s="99"/>
      <c r="AG455" s="99"/>
      <c r="AH455" s="99"/>
      <c r="AI455" s="99"/>
      <c r="AJ455" s="99"/>
      <c r="AK455" s="99"/>
      <c r="AL455" s="99"/>
      <c r="AM455" s="99"/>
    </row>
    <row r="456" ht="12.75" customHeight="1">
      <c r="A456" s="144" t="s">
        <v>37</v>
      </c>
      <c r="D456" s="144" t="s">
        <v>38</v>
      </c>
      <c r="G456" s="104"/>
      <c r="H456" s="128"/>
      <c r="I456" s="104"/>
      <c r="J456" s="129">
        <f t="shared" ref="J456:K456" si="503">J457+J462+J465</f>
        <v>24400000</v>
      </c>
      <c r="K456" s="43">
        <f t="shared" si="503"/>
        <v>0</v>
      </c>
      <c r="L456" s="116">
        <f t="shared" si="362"/>
        <v>0</v>
      </c>
      <c r="M456" s="106"/>
      <c r="N456" s="105"/>
      <c r="O456" s="43">
        <f t="shared" ref="O456:P456" si="504">O457+O462+O465</f>
        <v>24400000</v>
      </c>
      <c r="P456" s="43">
        <f t="shared" si="504"/>
        <v>24400000</v>
      </c>
      <c r="Q456" s="43">
        <v>2.44E7</v>
      </c>
      <c r="R456" s="101"/>
      <c r="S456" s="101"/>
      <c r="T456" s="99"/>
      <c r="U456" s="99"/>
      <c r="V456" s="99"/>
      <c r="W456" s="99"/>
      <c r="X456" s="99"/>
      <c r="Y456" s="99"/>
      <c r="Z456" s="99"/>
      <c r="AA456" s="99"/>
      <c r="AB456" s="99"/>
      <c r="AC456" s="99"/>
      <c r="AD456" s="99"/>
      <c r="AE456" s="99"/>
      <c r="AF456" s="99"/>
      <c r="AG456" s="99"/>
      <c r="AH456" s="99"/>
      <c r="AI456" s="99"/>
      <c r="AJ456" s="99"/>
      <c r="AK456" s="99"/>
      <c r="AL456" s="99"/>
      <c r="AM456" s="99"/>
    </row>
    <row r="457" ht="12.75" customHeight="1">
      <c r="A457" s="110" t="s">
        <v>40</v>
      </c>
      <c r="D457" s="145" t="s">
        <v>22</v>
      </c>
      <c r="G457" s="104"/>
      <c r="H457" s="133"/>
      <c r="I457" s="104"/>
      <c r="J457" s="134">
        <f t="shared" ref="J457:K457" si="505">SUM(J459:J461)</f>
        <v>6400000</v>
      </c>
      <c r="K457" s="46">
        <f t="shared" si="505"/>
        <v>0</v>
      </c>
      <c r="L457" s="116">
        <f t="shared" si="362"/>
        <v>0</v>
      </c>
      <c r="M457" s="106"/>
      <c r="N457" s="105"/>
      <c r="O457" s="46">
        <f t="shared" ref="O457:P457" si="506">SUM(O459:O461)</f>
        <v>6400000</v>
      </c>
      <c r="P457" s="46">
        <f t="shared" si="506"/>
        <v>6400000</v>
      </c>
      <c r="Q457" s="46">
        <v>6400000.0</v>
      </c>
      <c r="R457" s="101"/>
      <c r="S457" s="101"/>
      <c r="T457" s="99"/>
      <c r="U457" s="99"/>
      <c r="V457" s="99"/>
      <c r="W457" s="99"/>
      <c r="X457" s="99"/>
      <c r="Y457" s="99"/>
      <c r="Z457" s="99"/>
      <c r="AA457" s="99"/>
      <c r="AB457" s="99"/>
      <c r="AC457" s="99"/>
      <c r="AD457" s="99"/>
      <c r="AE457" s="99"/>
      <c r="AF457" s="99"/>
      <c r="AG457" s="99"/>
      <c r="AH457" s="99"/>
      <c r="AI457" s="99"/>
      <c r="AJ457" s="99"/>
      <c r="AK457" s="99"/>
      <c r="AL457" s="99"/>
      <c r="AM457" s="99"/>
    </row>
    <row r="458" ht="12.75" customHeight="1">
      <c r="A458" s="104"/>
      <c r="B458" s="104"/>
      <c r="C458" s="104"/>
      <c r="D458" s="110" t="s">
        <v>23</v>
      </c>
      <c r="G458" s="104"/>
      <c r="H458" s="104"/>
      <c r="I458" s="104"/>
      <c r="J458" s="111"/>
      <c r="K458" s="111"/>
      <c r="L458" s="116" t="str">
        <f t="shared" si="362"/>
        <v>#DIV/0!</v>
      </c>
      <c r="M458" s="106"/>
      <c r="N458" s="105"/>
      <c r="O458" s="111"/>
      <c r="P458" s="111"/>
      <c r="Q458" s="111"/>
      <c r="R458" s="101"/>
      <c r="S458" s="101"/>
      <c r="T458" s="99"/>
      <c r="U458" s="99"/>
      <c r="V458" s="99"/>
      <c r="W458" s="99"/>
      <c r="X458" s="99"/>
      <c r="Y458" s="99"/>
      <c r="Z458" s="99"/>
      <c r="AA458" s="99"/>
      <c r="AB458" s="99"/>
      <c r="AC458" s="99"/>
      <c r="AD458" s="99"/>
      <c r="AE458" s="99"/>
      <c r="AF458" s="99"/>
      <c r="AG458" s="99"/>
      <c r="AH458" s="99"/>
      <c r="AI458" s="99"/>
      <c r="AJ458" s="99"/>
      <c r="AK458" s="99"/>
      <c r="AL458" s="99"/>
      <c r="AM458" s="99"/>
    </row>
    <row r="459" ht="12.75" customHeight="1">
      <c r="A459" s="104"/>
      <c r="B459" s="104"/>
      <c r="C459" s="104"/>
      <c r="D459" s="110" t="s">
        <v>24</v>
      </c>
      <c r="E459" s="110" t="s">
        <v>160</v>
      </c>
      <c r="G459" s="136">
        <v>100.0</v>
      </c>
      <c r="H459" s="136" t="s">
        <v>26</v>
      </c>
      <c r="I459" s="137">
        <v>53000.0</v>
      </c>
      <c r="J459" s="46">
        <f t="shared" ref="J459:J461" si="507">G459*I459</f>
        <v>5300000</v>
      </c>
      <c r="K459" s="46"/>
      <c r="L459" s="116">
        <f t="shared" si="362"/>
        <v>0</v>
      </c>
      <c r="M459" s="106"/>
      <c r="N459" s="105"/>
      <c r="O459" s="46">
        <f t="shared" ref="O459:O461" si="508">J459-K459</f>
        <v>5300000</v>
      </c>
      <c r="P459" s="46">
        <f t="shared" ref="P459:P461" si="509">J459-M459</f>
        <v>5300000</v>
      </c>
      <c r="Q459" s="46">
        <v>5300000.0</v>
      </c>
      <c r="R459" s="101"/>
      <c r="S459" s="101"/>
      <c r="T459" s="99"/>
      <c r="U459" s="99"/>
      <c r="V459" s="99"/>
      <c r="W459" s="99"/>
      <c r="X459" s="99"/>
      <c r="Y459" s="99"/>
      <c r="Z459" s="99"/>
      <c r="AA459" s="99"/>
      <c r="AB459" s="99"/>
      <c r="AC459" s="99"/>
      <c r="AD459" s="99"/>
      <c r="AE459" s="99"/>
      <c r="AF459" s="99"/>
      <c r="AG459" s="99"/>
      <c r="AH459" s="99"/>
      <c r="AI459" s="99"/>
      <c r="AJ459" s="99"/>
      <c r="AK459" s="99"/>
      <c r="AL459" s="99"/>
      <c r="AM459" s="99"/>
    </row>
    <row r="460" ht="12.75" customHeight="1">
      <c r="A460" s="104"/>
      <c r="B460" s="104"/>
      <c r="C460" s="104"/>
      <c r="D460" s="110" t="s">
        <v>24</v>
      </c>
      <c r="E460" s="110" t="s">
        <v>42</v>
      </c>
      <c r="G460" s="136">
        <v>2.0</v>
      </c>
      <c r="H460" s="136" t="s">
        <v>26</v>
      </c>
      <c r="I460" s="137">
        <v>250000.0</v>
      </c>
      <c r="J460" s="46">
        <f t="shared" si="507"/>
        <v>500000</v>
      </c>
      <c r="K460" s="46"/>
      <c r="L460" s="116">
        <f t="shared" si="362"/>
        <v>0</v>
      </c>
      <c r="M460" s="106"/>
      <c r="N460" s="105"/>
      <c r="O460" s="46">
        <f t="shared" si="508"/>
        <v>500000</v>
      </c>
      <c r="P460" s="46">
        <f t="shared" si="509"/>
        <v>500000</v>
      </c>
      <c r="Q460" s="46">
        <v>500000.0</v>
      </c>
      <c r="R460" s="101"/>
      <c r="S460" s="101"/>
      <c r="T460" s="99"/>
      <c r="U460" s="99"/>
      <c r="V460" s="99"/>
      <c r="W460" s="99"/>
      <c r="X460" s="99"/>
      <c r="Y460" s="99"/>
      <c r="Z460" s="99"/>
      <c r="AA460" s="99"/>
      <c r="AB460" s="99"/>
      <c r="AC460" s="99"/>
      <c r="AD460" s="99"/>
      <c r="AE460" s="99"/>
      <c r="AF460" s="99"/>
      <c r="AG460" s="99"/>
      <c r="AH460" s="99"/>
      <c r="AI460" s="99"/>
      <c r="AJ460" s="99"/>
      <c r="AK460" s="99"/>
      <c r="AL460" s="99"/>
      <c r="AM460" s="99"/>
    </row>
    <row r="461" ht="12.75" customHeight="1">
      <c r="A461" s="104"/>
      <c r="B461" s="104"/>
      <c r="C461" s="104"/>
      <c r="D461" s="110" t="s">
        <v>24</v>
      </c>
      <c r="E461" s="110" t="s">
        <v>43</v>
      </c>
      <c r="G461" s="136">
        <v>2.0</v>
      </c>
      <c r="H461" s="136" t="s">
        <v>26</v>
      </c>
      <c r="I461" s="137">
        <v>300000.0</v>
      </c>
      <c r="J461" s="46">
        <f t="shared" si="507"/>
        <v>600000</v>
      </c>
      <c r="K461" s="46"/>
      <c r="L461" s="116">
        <f t="shared" si="362"/>
        <v>0</v>
      </c>
      <c r="M461" s="106"/>
      <c r="N461" s="105"/>
      <c r="O461" s="46">
        <f t="shared" si="508"/>
        <v>600000</v>
      </c>
      <c r="P461" s="46">
        <f t="shared" si="509"/>
        <v>600000</v>
      </c>
      <c r="Q461" s="46">
        <v>600000.0</v>
      </c>
      <c r="R461" s="101"/>
      <c r="S461" s="101"/>
      <c r="T461" s="99"/>
      <c r="U461" s="99"/>
      <c r="V461" s="99"/>
      <c r="W461" s="99"/>
      <c r="X461" s="99"/>
      <c r="Y461" s="99"/>
      <c r="Z461" s="99"/>
      <c r="AA461" s="99"/>
      <c r="AB461" s="99"/>
      <c r="AC461" s="99"/>
      <c r="AD461" s="99"/>
      <c r="AE461" s="99"/>
      <c r="AF461" s="99"/>
      <c r="AG461" s="99"/>
      <c r="AH461" s="99"/>
      <c r="AI461" s="99"/>
      <c r="AJ461" s="99"/>
      <c r="AK461" s="99"/>
      <c r="AL461" s="99"/>
      <c r="AM461" s="99"/>
    </row>
    <row r="462" ht="12.75" customHeight="1">
      <c r="A462" s="110" t="s">
        <v>44</v>
      </c>
      <c r="D462" s="145" t="s">
        <v>45</v>
      </c>
      <c r="G462" s="104"/>
      <c r="H462" s="133"/>
      <c r="I462" s="104"/>
      <c r="J462" s="134">
        <f t="shared" ref="J462:K462" si="510">J464</f>
        <v>2000000</v>
      </c>
      <c r="K462" s="46" t="str">
        <f t="shared" si="510"/>
        <v/>
      </c>
      <c r="L462" s="116">
        <f t="shared" si="362"/>
        <v>0</v>
      </c>
      <c r="M462" s="106"/>
      <c r="N462" s="105"/>
      <c r="O462" s="46">
        <f t="shared" ref="O462:P462" si="511">O464</f>
        <v>2000000</v>
      </c>
      <c r="P462" s="46">
        <f t="shared" si="511"/>
        <v>2000000</v>
      </c>
      <c r="Q462" s="46">
        <v>2000000.0</v>
      </c>
      <c r="R462" s="101"/>
      <c r="S462" s="101"/>
      <c r="T462" s="99"/>
      <c r="U462" s="99"/>
      <c r="V462" s="99"/>
      <c r="W462" s="99"/>
      <c r="X462" s="99"/>
      <c r="Y462" s="99"/>
      <c r="Z462" s="99"/>
      <c r="AA462" s="99"/>
      <c r="AB462" s="99"/>
      <c r="AC462" s="99"/>
      <c r="AD462" s="99"/>
      <c r="AE462" s="99"/>
      <c r="AF462" s="99"/>
      <c r="AG462" s="99"/>
      <c r="AH462" s="99"/>
      <c r="AI462" s="99"/>
      <c r="AJ462" s="99"/>
      <c r="AK462" s="99"/>
      <c r="AL462" s="99"/>
      <c r="AM462" s="99"/>
    </row>
    <row r="463" ht="12.75" customHeight="1">
      <c r="A463" s="104"/>
      <c r="B463" s="104"/>
      <c r="C463" s="104"/>
      <c r="D463" s="110" t="s">
        <v>23</v>
      </c>
      <c r="G463" s="104"/>
      <c r="H463" s="104"/>
      <c r="I463" s="104"/>
      <c r="J463" s="111"/>
      <c r="K463" s="111"/>
      <c r="L463" s="116" t="str">
        <f t="shared" si="362"/>
        <v>#DIV/0!</v>
      </c>
      <c r="M463" s="106"/>
      <c r="N463" s="105"/>
      <c r="O463" s="111"/>
      <c r="P463" s="111"/>
      <c r="Q463" s="111"/>
      <c r="R463" s="101"/>
      <c r="S463" s="101"/>
      <c r="T463" s="99"/>
      <c r="U463" s="99"/>
      <c r="V463" s="99"/>
      <c r="W463" s="99"/>
      <c r="X463" s="99"/>
      <c r="Y463" s="99"/>
      <c r="Z463" s="99"/>
      <c r="AA463" s="99"/>
      <c r="AB463" s="99"/>
      <c r="AC463" s="99"/>
      <c r="AD463" s="99"/>
      <c r="AE463" s="99"/>
      <c r="AF463" s="99"/>
      <c r="AG463" s="99"/>
      <c r="AH463" s="99"/>
      <c r="AI463" s="99"/>
      <c r="AJ463" s="99"/>
      <c r="AK463" s="99"/>
      <c r="AL463" s="99"/>
      <c r="AM463" s="99"/>
    </row>
    <row r="464" ht="12.75" customHeight="1">
      <c r="A464" s="104"/>
      <c r="B464" s="104"/>
      <c r="C464" s="104"/>
      <c r="D464" s="110" t="s">
        <v>24</v>
      </c>
      <c r="E464" s="110" t="s">
        <v>161</v>
      </c>
      <c r="G464" s="136">
        <v>4.0</v>
      </c>
      <c r="H464" s="136" t="s">
        <v>26</v>
      </c>
      <c r="I464" s="137">
        <v>500000.0</v>
      </c>
      <c r="J464" s="46">
        <f>G464*I464</f>
        <v>2000000</v>
      </c>
      <c r="K464" s="46"/>
      <c r="L464" s="116">
        <f t="shared" si="362"/>
        <v>0</v>
      </c>
      <c r="M464" s="106"/>
      <c r="N464" s="105"/>
      <c r="O464" s="46">
        <f>J464-K464</f>
        <v>2000000</v>
      </c>
      <c r="P464" s="46">
        <f>J464-M464</f>
        <v>2000000</v>
      </c>
      <c r="Q464" s="46">
        <v>2000000.0</v>
      </c>
      <c r="R464" s="101"/>
      <c r="S464" s="101"/>
      <c r="T464" s="99"/>
      <c r="U464" s="99"/>
      <c r="V464" s="99"/>
      <c r="W464" s="99"/>
      <c r="X464" s="99"/>
      <c r="Y464" s="99"/>
      <c r="Z464" s="99"/>
      <c r="AA464" s="99"/>
      <c r="AB464" s="99"/>
      <c r="AC464" s="99"/>
      <c r="AD464" s="99"/>
      <c r="AE464" s="99"/>
      <c r="AF464" s="99"/>
      <c r="AG464" s="99"/>
      <c r="AH464" s="99"/>
      <c r="AI464" s="99"/>
      <c r="AJ464" s="99"/>
      <c r="AK464" s="99"/>
      <c r="AL464" s="99"/>
      <c r="AM464" s="99"/>
    </row>
    <row r="465" ht="12.75" customHeight="1">
      <c r="A465" s="110" t="s">
        <v>47</v>
      </c>
      <c r="D465" s="145" t="s">
        <v>48</v>
      </c>
      <c r="G465" s="104"/>
      <c r="H465" s="133"/>
      <c r="I465" s="104"/>
      <c r="J465" s="134">
        <f t="shared" ref="J465:K465" si="512">J467</f>
        <v>16000000</v>
      </c>
      <c r="K465" s="46" t="str">
        <f t="shared" si="512"/>
        <v/>
      </c>
      <c r="L465" s="116">
        <f t="shared" si="362"/>
        <v>0</v>
      </c>
      <c r="M465" s="106"/>
      <c r="N465" s="105"/>
      <c r="O465" s="46">
        <f t="shared" ref="O465:P465" si="513">O467</f>
        <v>16000000</v>
      </c>
      <c r="P465" s="46">
        <f t="shared" si="513"/>
        <v>16000000</v>
      </c>
      <c r="Q465" s="46">
        <v>1.6E7</v>
      </c>
      <c r="R465" s="101"/>
      <c r="S465" s="101"/>
      <c r="T465" s="99"/>
      <c r="U465" s="99"/>
      <c r="V465" s="99"/>
      <c r="W465" s="99"/>
      <c r="X465" s="99"/>
      <c r="Y465" s="99"/>
      <c r="Z465" s="99"/>
      <c r="AA465" s="99"/>
      <c r="AB465" s="99"/>
      <c r="AC465" s="99"/>
      <c r="AD465" s="99"/>
      <c r="AE465" s="99"/>
      <c r="AF465" s="99"/>
      <c r="AG465" s="99"/>
      <c r="AH465" s="99"/>
      <c r="AI465" s="99"/>
      <c r="AJ465" s="99"/>
      <c r="AK465" s="99"/>
      <c r="AL465" s="99"/>
      <c r="AM465" s="99"/>
    </row>
    <row r="466" ht="12.75" customHeight="1">
      <c r="A466" s="104"/>
      <c r="B466" s="104"/>
      <c r="C466" s="104"/>
      <c r="D466" s="110" t="s">
        <v>23</v>
      </c>
      <c r="G466" s="104"/>
      <c r="H466" s="104"/>
      <c r="I466" s="104"/>
      <c r="J466" s="111"/>
      <c r="K466" s="111"/>
      <c r="L466" s="116" t="str">
        <f t="shared" si="362"/>
        <v>#DIV/0!</v>
      </c>
      <c r="M466" s="106"/>
      <c r="N466" s="105"/>
      <c r="O466" s="111"/>
      <c r="P466" s="111"/>
      <c r="Q466" s="111"/>
      <c r="R466" s="101"/>
      <c r="S466" s="101"/>
      <c r="T466" s="99"/>
      <c r="U466" s="99"/>
      <c r="V466" s="99"/>
      <c r="W466" s="99"/>
      <c r="X466" s="99"/>
      <c r="Y466" s="99"/>
      <c r="Z466" s="99"/>
      <c r="AA466" s="99"/>
      <c r="AB466" s="99"/>
      <c r="AC466" s="99"/>
      <c r="AD466" s="99"/>
      <c r="AE466" s="99"/>
      <c r="AF466" s="99"/>
      <c r="AG466" s="99"/>
      <c r="AH466" s="99"/>
      <c r="AI466" s="99"/>
      <c r="AJ466" s="99"/>
      <c r="AK466" s="99"/>
      <c r="AL466" s="99"/>
      <c r="AM466" s="99"/>
    </row>
    <row r="467" ht="12.75" customHeight="1">
      <c r="A467" s="104"/>
      <c r="B467" s="104"/>
      <c r="C467" s="104"/>
      <c r="D467" s="110" t="s">
        <v>24</v>
      </c>
      <c r="E467" s="110" t="s">
        <v>162</v>
      </c>
      <c r="G467" s="136">
        <v>4.0</v>
      </c>
      <c r="H467" s="136" t="s">
        <v>26</v>
      </c>
      <c r="I467" s="137">
        <v>4000000.0</v>
      </c>
      <c r="J467" s="46">
        <f>G467*I467</f>
        <v>16000000</v>
      </c>
      <c r="K467" s="46"/>
      <c r="L467" s="116">
        <f t="shared" si="362"/>
        <v>0</v>
      </c>
      <c r="M467" s="106"/>
      <c r="N467" s="105"/>
      <c r="O467" s="46">
        <f>J467-K467</f>
        <v>16000000</v>
      </c>
      <c r="P467" s="46">
        <f>J467-M467</f>
        <v>16000000</v>
      </c>
      <c r="Q467" s="46">
        <v>1.6E7</v>
      </c>
      <c r="R467" s="101"/>
      <c r="S467" s="101"/>
      <c r="T467" s="99"/>
      <c r="U467" s="99"/>
      <c r="V467" s="99"/>
      <c r="W467" s="99"/>
      <c r="X467" s="99"/>
      <c r="Y467" s="99"/>
      <c r="Z467" s="99"/>
      <c r="AA467" s="99"/>
      <c r="AB467" s="99"/>
      <c r="AC467" s="99"/>
      <c r="AD467" s="99"/>
      <c r="AE467" s="99"/>
      <c r="AF467" s="99"/>
      <c r="AG467" s="99"/>
      <c r="AH467" s="99"/>
      <c r="AI467" s="99"/>
      <c r="AJ467" s="99"/>
      <c r="AK467" s="99"/>
      <c r="AL467" s="99"/>
      <c r="AM467" s="99"/>
    </row>
    <row r="468" ht="12.75" customHeight="1">
      <c r="A468" s="144" t="s">
        <v>50</v>
      </c>
      <c r="D468" s="144" t="s">
        <v>51</v>
      </c>
      <c r="G468" s="104"/>
      <c r="H468" s="128"/>
      <c r="I468" s="104"/>
      <c r="J468" s="129">
        <f t="shared" ref="J468:K468" si="514">J469+J475+J478</f>
        <v>56050000</v>
      </c>
      <c r="K468" s="43">
        <f t="shared" si="514"/>
        <v>0</v>
      </c>
      <c r="L468" s="116">
        <f t="shared" si="362"/>
        <v>0</v>
      </c>
      <c r="M468" s="106"/>
      <c r="N468" s="105"/>
      <c r="O468" s="43">
        <f t="shared" ref="O468:P468" si="515">O469+O475+O478</f>
        <v>56050000</v>
      </c>
      <c r="P468" s="43">
        <f t="shared" si="515"/>
        <v>56050000</v>
      </c>
      <c r="Q468" s="43">
        <v>5.605E7</v>
      </c>
      <c r="R468" s="101"/>
      <c r="S468" s="101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99"/>
      <c r="AH468" s="99"/>
      <c r="AI468" s="99"/>
      <c r="AJ468" s="99"/>
      <c r="AK468" s="99"/>
      <c r="AL468" s="99"/>
      <c r="AM468" s="99"/>
    </row>
    <row r="469" ht="12.75" customHeight="1">
      <c r="A469" s="110" t="s">
        <v>40</v>
      </c>
      <c r="D469" s="145" t="s">
        <v>22</v>
      </c>
      <c r="G469" s="104"/>
      <c r="H469" s="133"/>
      <c r="I469" s="104"/>
      <c r="J469" s="134">
        <f t="shared" ref="J469:K469" si="516">SUM(J471:J474)</f>
        <v>38050000</v>
      </c>
      <c r="K469" s="46">
        <f t="shared" si="516"/>
        <v>0</v>
      </c>
      <c r="L469" s="116">
        <f t="shared" si="362"/>
        <v>0</v>
      </c>
      <c r="M469" s="106"/>
      <c r="N469" s="105"/>
      <c r="O469" s="46">
        <f t="shared" ref="O469:P469" si="517">SUM(O471:O474)</f>
        <v>38050000</v>
      </c>
      <c r="P469" s="46">
        <f t="shared" si="517"/>
        <v>38050000</v>
      </c>
      <c r="Q469" s="46">
        <v>3.805E7</v>
      </c>
      <c r="R469" s="101"/>
      <c r="S469" s="101"/>
      <c r="T469" s="99"/>
      <c r="U469" s="99"/>
      <c r="V469" s="99"/>
      <c r="W469" s="99"/>
      <c r="X469" s="99"/>
      <c r="Y469" s="99"/>
      <c r="Z469" s="99"/>
      <c r="AA469" s="99"/>
      <c r="AB469" s="99"/>
      <c r="AC469" s="99"/>
      <c r="AD469" s="99"/>
      <c r="AE469" s="99"/>
      <c r="AF469" s="99"/>
      <c r="AG469" s="99"/>
      <c r="AH469" s="99"/>
      <c r="AI469" s="99"/>
      <c r="AJ469" s="99"/>
      <c r="AK469" s="99"/>
      <c r="AL469" s="99"/>
      <c r="AM469" s="99"/>
    </row>
    <row r="470" ht="12.75" customHeight="1">
      <c r="A470" s="104"/>
      <c r="B470" s="104"/>
      <c r="C470" s="104"/>
      <c r="D470" s="110" t="s">
        <v>23</v>
      </c>
      <c r="G470" s="104"/>
      <c r="H470" s="104"/>
      <c r="I470" s="104"/>
      <c r="J470" s="111"/>
      <c r="K470" s="111"/>
      <c r="L470" s="116" t="str">
        <f t="shared" si="362"/>
        <v>#DIV/0!</v>
      </c>
      <c r="M470" s="106"/>
      <c r="N470" s="105"/>
      <c r="O470" s="111"/>
      <c r="P470" s="111"/>
      <c r="Q470" s="111"/>
      <c r="R470" s="101"/>
      <c r="S470" s="101"/>
      <c r="T470" s="99"/>
      <c r="U470" s="99"/>
      <c r="V470" s="99"/>
      <c r="W470" s="99"/>
      <c r="X470" s="99"/>
      <c r="Y470" s="99"/>
      <c r="Z470" s="99"/>
      <c r="AA470" s="99"/>
      <c r="AB470" s="99"/>
      <c r="AC470" s="99"/>
      <c r="AD470" s="99"/>
      <c r="AE470" s="99"/>
      <c r="AF470" s="99"/>
      <c r="AG470" s="99"/>
      <c r="AH470" s="99"/>
      <c r="AI470" s="99"/>
      <c r="AJ470" s="99"/>
      <c r="AK470" s="99"/>
      <c r="AL470" s="99"/>
      <c r="AM470" s="99"/>
    </row>
    <row r="471" ht="12.75" customHeight="1">
      <c r="A471" s="104"/>
      <c r="B471" s="104"/>
      <c r="C471" s="104"/>
      <c r="D471" s="110" t="s">
        <v>24</v>
      </c>
      <c r="E471" s="110" t="s">
        <v>163</v>
      </c>
      <c r="G471" s="136">
        <v>100.0</v>
      </c>
      <c r="H471" s="136" t="s">
        <v>26</v>
      </c>
      <c r="I471" s="137">
        <v>53000.0</v>
      </c>
      <c r="J471" s="46">
        <f t="shared" ref="J471:J474" si="518">G471*I471</f>
        <v>5300000</v>
      </c>
      <c r="K471" s="46"/>
      <c r="L471" s="116">
        <f t="shared" si="362"/>
        <v>0</v>
      </c>
      <c r="M471" s="106"/>
      <c r="N471" s="105"/>
      <c r="O471" s="46">
        <f t="shared" ref="O471:O474" si="519">J471-K471</f>
        <v>5300000</v>
      </c>
      <c r="P471" s="46">
        <f t="shared" ref="P471:P474" si="520">J471-M471</f>
        <v>5300000</v>
      </c>
      <c r="Q471" s="46">
        <v>5300000.0</v>
      </c>
      <c r="R471" s="101"/>
      <c r="S471" s="101"/>
      <c r="T471" s="99"/>
      <c r="U471" s="99"/>
      <c r="V471" s="99"/>
      <c r="W471" s="99"/>
      <c r="X471" s="99"/>
      <c r="Y471" s="99"/>
      <c r="Z471" s="99"/>
      <c r="AA471" s="99"/>
      <c r="AB471" s="99"/>
      <c r="AC471" s="99"/>
      <c r="AD471" s="99"/>
      <c r="AE471" s="99"/>
      <c r="AF471" s="99"/>
      <c r="AG471" s="99"/>
      <c r="AH471" s="99"/>
      <c r="AI471" s="99"/>
      <c r="AJ471" s="99"/>
      <c r="AK471" s="99"/>
      <c r="AL471" s="99"/>
      <c r="AM471" s="99"/>
    </row>
    <row r="472" ht="12.75" customHeight="1">
      <c r="A472" s="104"/>
      <c r="B472" s="104"/>
      <c r="C472" s="104"/>
      <c r="D472" s="110" t="s">
        <v>24</v>
      </c>
      <c r="E472" s="110" t="s">
        <v>53</v>
      </c>
      <c r="G472" s="136">
        <v>5.0</v>
      </c>
      <c r="H472" s="136" t="s">
        <v>26</v>
      </c>
      <c r="I472" s="137">
        <v>500000.0</v>
      </c>
      <c r="J472" s="46">
        <f t="shared" si="518"/>
        <v>2500000</v>
      </c>
      <c r="K472" s="46"/>
      <c r="L472" s="116">
        <f t="shared" si="362"/>
        <v>0</v>
      </c>
      <c r="M472" s="106"/>
      <c r="N472" s="105"/>
      <c r="O472" s="46">
        <f t="shared" si="519"/>
        <v>2500000</v>
      </c>
      <c r="P472" s="46">
        <f t="shared" si="520"/>
        <v>2500000</v>
      </c>
      <c r="Q472" s="46">
        <v>2500000.0</v>
      </c>
      <c r="R472" s="101"/>
      <c r="S472" s="101"/>
      <c r="T472" s="99"/>
      <c r="U472" s="99"/>
      <c r="V472" s="99"/>
      <c r="W472" s="99"/>
      <c r="X472" s="99"/>
      <c r="Y472" s="99"/>
      <c r="Z472" s="99"/>
      <c r="AA472" s="99"/>
      <c r="AB472" s="99"/>
      <c r="AC472" s="99"/>
      <c r="AD472" s="99"/>
      <c r="AE472" s="99"/>
      <c r="AF472" s="99"/>
      <c r="AG472" s="99"/>
      <c r="AH472" s="99"/>
      <c r="AI472" s="99"/>
      <c r="AJ472" s="99"/>
      <c r="AK472" s="99"/>
      <c r="AL472" s="99"/>
      <c r="AM472" s="99"/>
    </row>
    <row r="473" ht="12.75" customHeight="1">
      <c r="A473" s="104"/>
      <c r="B473" s="104"/>
      <c r="C473" s="104"/>
      <c r="D473" s="110" t="s">
        <v>24</v>
      </c>
      <c r="E473" s="110" t="s">
        <v>54</v>
      </c>
      <c r="G473" s="136">
        <v>1.0</v>
      </c>
      <c r="H473" s="136" t="s">
        <v>55</v>
      </c>
      <c r="I473" s="137">
        <v>250000.0</v>
      </c>
      <c r="J473" s="46">
        <f t="shared" si="518"/>
        <v>250000</v>
      </c>
      <c r="K473" s="46"/>
      <c r="L473" s="116">
        <f t="shared" si="362"/>
        <v>0</v>
      </c>
      <c r="M473" s="106"/>
      <c r="N473" s="105"/>
      <c r="O473" s="46">
        <f t="shared" si="519"/>
        <v>250000</v>
      </c>
      <c r="P473" s="46">
        <f t="shared" si="520"/>
        <v>250000</v>
      </c>
      <c r="Q473" s="46">
        <v>250000.0</v>
      </c>
      <c r="R473" s="101"/>
      <c r="S473" s="101"/>
      <c r="T473" s="99"/>
      <c r="U473" s="99"/>
      <c r="V473" s="99"/>
      <c r="W473" s="99"/>
      <c r="X473" s="99"/>
      <c r="Y473" s="99"/>
      <c r="Z473" s="99"/>
      <c r="AA473" s="99"/>
      <c r="AB473" s="99"/>
      <c r="AC473" s="99"/>
      <c r="AD473" s="99"/>
      <c r="AE473" s="99"/>
      <c r="AF473" s="99"/>
      <c r="AG473" s="99"/>
      <c r="AH473" s="99"/>
      <c r="AI473" s="99"/>
      <c r="AJ473" s="99"/>
      <c r="AK473" s="99"/>
      <c r="AL473" s="99"/>
      <c r="AM473" s="99"/>
    </row>
    <row r="474" ht="12.75" customHeight="1">
      <c r="A474" s="104"/>
      <c r="B474" s="104"/>
      <c r="C474" s="104"/>
      <c r="D474" s="110" t="s">
        <v>24</v>
      </c>
      <c r="E474" s="110" t="s">
        <v>164</v>
      </c>
      <c r="G474" s="136">
        <v>100.0</v>
      </c>
      <c r="H474" s="136" t="s">
        <v>26</v>
      </c>
      <c r="I474" s="137">
        <v>300000.0</v>
      </c>
      <c r="J474" s="46">
        <f t="shared" si="518"/>
        <v>30000000</v>
      </c>
      <c r="K474" s="46"/>
      <c r="L474" s="116">
        <f t="shared" si="362"/>
        <v>0</v>
      </c>
      <c r="M474" s="106"/>
      <c r="N474" s="105"/>
      <c r="O474" s="46">
        <f t="shared" si="519"/>
        <v>30000000</v>
      </c>
      <c r="P474" s="46">
        <f t="shared" si="520"/>
        <v>30000000</v>
      </c>
      <c r="Q474" s="46">
        <v>3.0E7</v>
      </c>
      <c r="R474" s="101"/>
      <c r="S474" s="101"/>
      <c r="T474" s="99"/>
      <c r="U474" s="99"/>
      <c r="V474" s="99"/>
      <c r="W474" s="99"/>
      <c r="X474" s="99"/>
      <c r="Y474" s="99"/>
      <c r="Z474" s="99"/>
      <c r="AA474" s="99"/>
      <c r="AB474" s="99"/>
      <c r="AC474" s="99"/>
      <c r="AD474" s="99"/>
      <c r="AE474" s="99"/>
      <c r="AF474" s="99"/>
      <c r="AG474" s="99"/>
      <c r="AH474" s="99"/>
      <c r="AI474" s="99"/>
      <c r="AJ474" s="99"/>
      <c r="AK474" s="99"/>
      <c r="AL474" s="99"/>
      <c r="AM474" s="99"/>
    </row>
    <row r="475" ht="12.75" customHeight="1">
      <c r="A475" s="110" t="s">
        <v>47</v>
      </c>
      <c r="D475" s="145" t="s">
        <v>48</v>
      </c>
      <c r="G475" s="104"/>
      <c r="H475" s="133"/>
      <c r="I475" s="104"/>
      <c r="J475" s="134">
        <f t="shared" ref="J475:K475" si="521">J477</f>
        <v>16000000</v>
      </c>
      <c r="K475" s="46" t="str">
        <f t="shared" si="521"/>
        <v/>
      </c>
      <c r="L475" s="116">
        <f t="shared" si="362"/>
        <v>0</v>
      </c>
      <c r="M475" s="106"/>
      <c r="N475" s="105"/>
      <c r="O475" s="46">
        <f t="shared" ref="O475:P475" si="522">O477</f>
        <v>16000000</v>
      </c>
      <c r="P475" s="46">
        <f t="shared" si="522"/>
        <v>16000000</v>
      </c>
      <c r="Q475" s="46">
        <v>1.6E7</v>
      </c>
      <c r="R475" s="101"/>
      <c r="S475" s="101"/>
      <c r="T475" s="99"/>
      <c r="U475" s="99"/>
      <c r="V475" s="99"/>
      <c r="W475" s="99"/>
      <c r="X475" s="99"/>
      <c r="Y475" s="99"/>
      <c r="Z475" s="99"/>
      <c r="AA475" s="99"/>
      <c r="AB475" s="99"/>
      <c r="AC475" s="99"/>
      <c r="AD475" s="99"/>
      <c r="AE475" s="99"/>
      <c r="AF475" s="99"/>
      <c r="AG475" s="99"/>
      <c r="AH475" s="99"/>
      <c r="AI475" s="99"/>
      <c r="AJ475" s="99"/>
      <c r="AK475" s="99"/>
      <c r="AL475" s="99"/>
      <c r="AM475" s="99"/>
    </row>
    <row r="476" ht="12.75" customHeight="1">
      <c r="A476" s="104"/>
      <c r="B476" s="104"/>
      <c r="C476" s="104"/>
      <c r="D476" s="110" t="s">
        <v>23</v>
      </c>
      <c r="G476" s="104"/>
      <c r="H476" s="104"/>
      <c r="I476" s="104"/>
      <c r="J476" s="111"/>
      <c r="K476" s="111"/>
      <c r="L476" s="116" t="str">
        <f t="shared" si="362"/>
        <v>#DIV/0!</v>
      </c>
      <c r="M476" s="106"/>
      <c r="N476" s="105"/>
      <c r="O476" s="111"/>
      <c r="P476" s="111"/>
      <c r="Q476" s="111"/>
      <c r="R476" s="101"/>
      <c r="S476" s="101"/>
      <c r="T476" s="99"/>
      <c r="U476" s="99"/>
      <c r="V476" s="99"/>
      <c r="W476" s="99"/>
      <c r="X476" s="99"/>
      <c r="Y476" s="99"/>
      <c r="Z476" s="99"/>
      <c r="AA476" s="99"/>
      <c r="AB476" s="99"/>
      <c r="AC476" s="99"/>
      <c r="AD476" s="99"/>
      <c r="AE476" s="99"/>
      <c r="AF476" s="99"/>
      <c r="AG476" s="99"/>
      <c r="AH476" s="99"/>
      <c r="AI476" s="99"/>
      <c r="AJ476" s="99"/>
      <c r="AK476" s="99"/>
      <c r="AL476" s="99"/>
      <c r="AM476" s="99"/>
    </row>
    <row r="477" ht="12.75" customHeight="1">
      <c r="A477" s="104"/>
      <c r="B477" s="104"/>
      <c r="C477" s="104"/>
      <c r="D477" s="110" t="s">
        <v>24</v>
      </c>
      <c r="E477" s="110" t="s">
        <v>165</v>
      </c>
      <c r="G477" s="136">
        <v>4.0</v>
      </c>
      <c r="H477" s="136" t="s">
        <v>26</v>
      </c>
      <c r="I477" s="137">
        <v>4000000.0</v>
      </c>
      <c r="J477" s="46">
        <f>G477*I477</f>
        <v>16000000</v>
      </c>
      <c r="K477" s="46"/>
      <c r="L477" s="116">
        <f t="shared" si="362"/>
        <v>0</v>
      </c>
      <c r="M477" s="106"/>
      <c r="N477" s="105"/>
      <c r="O477" s="46">
        <f>J477-K477</f>
        <v>16000000</v>
      </c>
      <c r="P477" s="46">
        <f>J477-M477</f>
        <v>16000000</v>
      </c>
      <c r="Q477" s="46">
        <v>1.6E7</v>
      </c>
      <c r="R477" s="101"/>
      <c r="S477" s="101"/>
      <c r="T477" s="99"/>
      <c r="U477" s="99"/>
      <c r="V477" s="99"/>
      <c r="W477" s="99"/>
      <c r="X477" s="99"/>
      <c r="Y477" s="99"/>
      <c r="Z477" s="99"/>
      <c r="AA477" s="99"/>
      <c r="AB477" s="99"/>
      <c r="AC477" s="99"/>
      <c r="AD477" s="99"/>
      <c r="AE477" s="99"/>
      <c r="AF477" s="99"/>
      <c r="AG477" s="99"/>
      <c r="AH477" s="99"/>
      <c r="AI477" s="99"/>
      <c r="AJ477" s="99"/>
      <c r="AK477" s="99"/>
      <c r="AL477" s="99"/>
      <c r="AM477" s="99"/>
    </row>
    <row r="478" ht="12.75" customHeight="1">
      <c r="A478" s="110" t="s">
        <v>58</v>
      </c>
      <c r="D478" s="145" t="s">
        <v>34</v>
      </c>
      <c r="G478" s="104"/>
      <c r="H478" s="133"/>
      <c r="I478" s="104"/>
      <c r="J478" s="134">
        <f t="shared" ref="J478:K478" si="523">J480</f>
        <v>2000000</v>
      </c>
      <c r="K478" s="46" t="str">
        <f t="shared" si="523"/>
        <v/>
      </c>
      <c r="L478" s="116">
        <f t="shared" si="362"/>
        <v>0</v>
      </c>
      <c r="M478" s="106"/>
      <c r="N478" s="105"/>
      <c r="O478" s="46">
        <f t="shared" ref="O478:P478" si="524">O480</f>
        <v>2000000</v>
      </c>
      <c r="P478" s="46">
        <f t="shared" si="524"/>
        <v>2000000</v>
      </c>
      <c r="Q478" s="46">
        <v>2000000.0</v>
      </c>
      <c r="R478" s="101"/>
      <c r="S478" s="101"/>
      <c r="T478" s="99"/>
      <c r="U478" s="99"/>
      <c r="V478" s="99"/>
      <c r="W478" s="99"/>
      <c r="X478" s="99"/>
      <c r="Y478" s="99"/>
      <c r="Z478" s="99"/>
      <c r="AA478" s="99"/>
      <c r="AB478" s="99"/>
      <c r="AC478" s="99"/>
      <c r="AD478" s="99"/>
      <c r="AE478" s="99"/>
      <c r="AF478" s="99"/>
      <c r="AG478" s="99"/>
      <c r="AH478" s="99"/>
      <c r="AI478" s="99"/>
      <c r="AJ478" s="99"/>
      <c r="AK478" s="99"/>
      <c r="AL478" s="99"/>
      <c r="AM478" s="99"/>
    </row>
    <row r="479" ht="12.75" customHeight="1">
      <c r="A479" s="104"/>
      <c r="B479" s="104"/>
      <c r="C479" s="104"/>
      <c r="D479" s="110" t="s">
        <v>23</v>
      </c>
      <c r="G479" s="104"/>
      <c r="H479" s="104"/>
      <c r="I479" s="104"/>
      <c r="J479" s="111"/>
      <c r="K479" s="111"/>
      <c r="L479" s="116" t="str">
        <f t="shared" si="362"/>
        <v>#DIV/0!</v>
      </c>
      <c r="M479" s="106"/>
      <c r="N479" s="105"/>
      <c r="O479" s="111"/>
      <c r="P479" s="111"/>
      <c r="Q479" s="111"/>
      <c r="R479" s="101"/>
      <c r="S479" s="101"/>
      <c r="T479" s="99"/>
      <c r="U479" s="99"/>
      <c r="V479" s="99"/>
      <c r="W479" s="99"/>
      <c r="X479" s="99"/>
      <c r="Y479" s="99"/>
      <c r="Z479" s="99"/>
      <c r="AA479" s="99"/>
      <c r="AB479" s="99"/>
      <c r="AC479" s="99"/>
      <c r="AD479" s="99"/>
      <c r="AE479" s="99"/>
      <c r="AF479" s="99"/>
      <c r="AG479" s="99"/>
      <c r="AH479" s="99"/>
      <c r="AI479" s="99"/>
      <c r="AJ479" s="99"/>
      <c r="AK479" s="99"/>
      <c r="AL479" s="99"/>
      <c r="AM479" s="99"/>
    </row>
    <row r="480" ht="12.75" customHeight="1">
      <c r="A480" s="104"/>
      <c r="B480" s="104"/>
      <c r="C480" s="104"/>
      <c r="D480" s="110" t="s">
        <v>24</v>
      </c>
      <c r="E480" s="110" t="s">
        <v>59</v>
      </c>
      <c r="G480" s="136">
        <v>4.0</v>
      </c>
      <c r="H480" s="136" t="s">
        <v>26</v>
      </c>
      <c r="I480" s="137">
        <v>500000.0</v>
      </c>
      <c r="J480" s="46">
        <f>G480*I480</f>
        <v>2000000</v>
      </c>
      <c r="K480" s="46"/>
      <c r="L480" s="116">
        <f t="shared" si="362"/>
        <v>0</v>
      </c>
      <c r="M480" s="106"/>
      <c r="N480" s="105"/>
      <c r="O480" s="46">
        <f>J480-K480</f>
        <v>2000000</v>
      </c>
      <c r="P480" s="46">
        <f>J480-M480</f>
        <v>2000000</v>
      </c>
      <c r="Q480" s="46">
        <v>2000000.0</v>
      </c>
      <c r="R480" s="101"/>
      <c r="S480" s="101"/>
      <c r="T480" s="99"/>
      <c r="U480" s="99"/>
      <c r="V480" s="99"/>
      <c r="W480" s="99"/>
      <c r="X480" s="99"/>
      <c r="Y480" s="99"/>
      <c r="Z480" s="99"/>
      <c r="AA480" s="99"/>
      <c r="AB480" s="99"/>
      <c r="AC480" s="99"/>
      <c r="AD480" s="99"/>
      <c r="AE480" s="99"/>
      <c r="AF480" s="99"/>
      <c r="AG480" s="99"/>
      <c r="AH480" s="99"/>
      <c r="AI480" s="99"/>
      <c r="AJ480" s="99"/>
      <c r="AK480" s="99"/>
      <c r="AL480" s="99"/>
      <c r="AM480" s="99"/>
    </row>
    <row r="481" ht="12.75" customHeight="1">
      <c r="A481" s="144" t="s">
        <v>60</v>
      </c>
      <c r="D481" s="144" t="s">
        <v>61</v>
      </c>
      <c r="G481" s="104"/>
      <c r="H481" s="128"/>
      <c r="I481" s="104"/>
      <c r="J481" s="129">
        <f t="shared" ref="J481:K481" si="525">J482+J485+J489+J492+J495</f>
        <v>220800000</v>
      </c>
      <c r="K481" s="43">
        <f t="shared" si="525"/>
        <v>0</v>
      </c>
      <c r="L481" s="116">
        <f t="shared" si="362"/>
        <v>0</v>
      </c>
      <c r="M481" s="106"/>
      <c r="N481" s="105"/>
      <c r="O481" s="43">
        <f t="shared" ref="O481:P481" si="526">O482+O485+O489+O492+O495</f>
        <v>220800000</v>
      </c>
      <c r="P481" s="43">
        <f t="shared" si="526"/>
        <v>220800000</v>
      </c>
      <c r="Q481" s="43">
        <v>2.208E8</v>
      </c>
      <c r="R481" s="101"/>
      <c r="S481" s="101"/>
      <c r="T481" s="99"/>
      <c r="U481" s="99"/>
      <c r="V481" s="99"/>
      <c r="W481" s="99"/>
      <c r="X481" s="99"/>
      <c r="Y481" s="99"/>
      <c r="Z481" s="99"/>
      <c r="AA481" s="99"/>
      <c r="AB481" s="99"/>
      <c r="AC481" s="99"/>
      <c r="AD481" s="99"/>
      <c r="AE481" s="99"/>
      <c r="AF481" s="99"/>
      <c r="AG481" s="99"/>
      <c r="AH481" s="99"/>
      <c r="AI481" s="99"/>
      <c r="AJ481" s="99"/>
      <c r="AK481" s="99"/>
      <c r="AL481" s="99"/>
      <c r="AM481" s="99"/>
    </row>
    <row r="482" ht="12.75" customHeight="1">
      <c r="A482" s="110" t="s">
        <v>40</v>
      </c>
      <c r="D482" s="145" t="s">
        <v>22</v>
      </c>
      <c r="G482" s="104"/>
      <c r="H482" s="133"/>
      <c r="I482" s="104"/>
      <c r="J482" s="134">
        <f t="shared" ref="J482:K482" si="527">J484</f>
        <v>31800000</v>
      </c>
      <c r="K482" s="46" t="str">
        <f t="shared" si="527"/>
        <v/>
      </c>
      <c r="L482" s="116">
        <f t="shared" si="362"/>
        <v>0</v>
      </c>
      <c r="M482" s="106"/>
      <c r="N482" s="105"/>
      <c r="O482" s="46">
        <f t="shared" ref="O482:P482" si="528">O484</f>
        <v>31800000</v>
      </c>
      <c r="P482" s="46">
        <f t="shared" si="528"/>
        <v>31800000</v>
      </c>
      <c r="Q482" s="46">
        <v>3.18E7</v>
      </c>
      <c r="R482" s="101"/>
      <c r="S482" s="101"/>
      <c r="T482" s="99"/>
      <c r="U482" s="99"/>
      <c r="V482" s="99"/>
      <c r="W482" s="99"/>
      <c r="X482" s="99"/>
      <c r="Y482" s="99"/>
      <c r="Z482" s="99"/>
      <c r="AA482" s="99"/>
      <c r="AB482" s="99"/>
      <c r="AC482" s="99"/>
      <c r="AD482" s="99"/>
      <c r="AE482" s="99"/>
      <c r="AF482" s="99"/>
      <c r="AG482" s="99"/>
      <c r="AH482" s="99"/>
      <c r="AI482" s="99"/>
      <c r="AJ482" s="99"/>
      <c r="AK482" s="99"/>
      <c r="AL482" s="99"/>
      <c r="AM482" s="99"/>
    </row>
    <row r="483" ht="12.75" customHeight="1">
      <c r="A483" s="104"/>
      <c r="B483" s="104"/>
      <c r="C483" s="104"/>
      <c r="D483" s="110" t="s">
        <v>23</v>
      </c>
      <c r="G483" s="104"/>
      <c r="H483" s="104"/>
      <c r="I483" s="104"/>
      <c r="J483" s="111"/>
      <c r="K483" s="111"/>
      <c r="L483" s="116" t="str">
        <f t="shared" si="362"/>
        <v>#DIV/0!</v>
      </c>
      <c r="M483" s="106"/>
      <c r="N483" s="105"/>
      <c r="O483" s="111"/>
      <c r="P483" s="111"/>
      <c r="Q483" s="111"/>
      <c r="R483" s="101"/>
      <c r="S483" s="101"/>
      <c r="T483" s="99"/>
      <c r="U483" s="99"/>
      <c r="V483" s="99"/>
      <c r="W483" s="99"/>
      <c r="X483" s="99"/>
      <c r="Y483" s="99"/>
      <c r="Z483" s="99"/>
      <c r="AA483" s="99"/>
      <c r="AB483" s="99"/>
      <c r="AC483" s="99"/>
      <c r="AD483" s="99"/>
      <c r="AE483" s="99"/>
      <c r="AF483" s="99"/>
      <c r="AG483" s="99"/>
      <c r="AH483" s="99"/>
      <c r="AI483" s="99"/>
      <c r="AJ483" s="99"/>
      <c r="AK483" s="99"/>
      <c r="AL483" s="99"/>
      <c r="AM483" s="99"/>
    </row>
    <row r="484" ht="15.75" customHeight="1">
      <c r="A484" s="104"/>
      <c r="B484" s="104"/>
      <c r="C484" s="104"/>
      <c r="D484" s="110" t="s">
        <v>24</v>
      </c>
      <c r="E484" s="110" t="s">
        <v>166</v>
      </c>
      <c r="G484" s="136">
        <v>600.0</v>
      </c>
      <c r="H484" s="136" t="s">
        <v>26</v>
      </c>
      <c r="I484" s="137">
        <v>53000.0</v>
      </c>
      <c r="J484" s="46">
        <f>G484*I484</f>
        <v>31800000</v>
      </c>
      <c r="K484" s="46"/>
      <c r="L484" s="116">
        <f t="shared" si="362"/>
        <v>0</v>
      </c>
      <c r="M484" s="106"/>
      <c r="N484" s="105"/>
      <c r="O484" s="46">
        <f>J484-K484</f>
        <v>31800000</v>
      </c>
      <c r="P484" s="46">
        <f>J484-M484</f>
        <v>31800000</v>
      </c>
      <c r="Q484" s="46">
        <v>3.18E7</v>
      </c>
      <c r="R484" s="101"/>
      <c r="S484" s="101"/>
      <c r="T484" s="99"/>
      <c r="U484" s="99"/>
      <c r="V484" s="99"/>
      <c r="W484" s="99"/>
      <c r="X484" s="99"/>
      <c r="Y484" s="99"/>
      <c r="Z484" s="99"/>
      <c r="AA484" s="99"/>
      <c r="AB484" s="99"/>
      <c r="AC484" s="99"/>
      <c r="AD484" s="99"/>
      <c r="AE484" s="99"/>
      <c r="AF484" s="99"/>
      <c r="AG484" s="99"/>
      <c r="AH484" s="99"/>
      <c r="AI484" s="99"/>
      <c r="AJ484" s="99"/>
      <c r="AK484" s="99"/>
      <c r="AL484" s="99"/>
      <c r="AM484" s="99"/>
    </row>
    <row r="485" ht="12.75" customHeight="1">
      <c r="A485" s="110" t="s">
        <v>63</v>
      </c>
      <c r="D485" s="145" t="s">
        <v>64</v>
      </c>
      <c r="G485" s="104"/>
      <c r="H485" s="133"/>
      <c r="I485" s="104"/>
      <c r="J485" s="134">
        <f t="shared" ref="J485:K485" si="529">SUM(J487:J488)</f>
        <v>115000000</v>
      </c>
      <c r="K485" s="46">
        <f t="shared" si="529"/>
        <v>0</v>
      </c>
      <c r="L485" s="116">
        <f t="shared" si="362"/>
        <v>0</v>
      </c>
      <c r="M485" s="106"/>
      <c r="N485" s="105"/>
      <c r="O485" s="46">
        <f t="shared" ref="O485:P485" si="530">SUM(O487:O488)</f>
        <v>115000000</v>
      </c>
      <c r="P485" s="46">
        <f t="shared" si="530"/>
        <v>115000000</v>
      </c>
      <c r="Q485" s="46">
        <v>1.15E8</v>
      </c>
      <c r="R485" s="101"/>
      <c r="S485" s="101"/>
      <c r="T485" s="99"/>
      <c r="U485" s="99"/>
      <c r="V485" s="99"/>
      <c r="W485" s="99"/>
      <c r="X485" s="99"/>
      <c r="Y485" s="99"/>
      <c r="Z485" s="99"/>
      <c r="AA485" s="99"/>
      <c r="AB485" s="99"/>
      <c r="AC485" s="99"/>
      <c r="AD485" s="99"/>
      <c r="AE485" s="99"/>
      <c r="AF485" s="99"/>
      <c r="AG485" s="99"/>
      <c r="AH485" s="99"/>
      <c r="AI485" s="99"/>
      <c r="AJ485" s="99"/>
      <c r="AK485" s="99"/>
      <c r="AL485" s="99"/>
      <c r="AM485" s="99"/>
    </row>
    <row r="486" ht="12.75" customHeight="1">
      <c r="A486" s="104"/>
      <c r="B486" s="104"/>
      <c r="C486" s="104"/>
      <c r="D486" s="110" t="s">
        <v>23</v>
      </c>
      <c r="G486" s="104"/>
      <c r="H486" s="104"/>
      <c r="I486" s="104"/>
      <c r="J486" s="111"/>
      <c r="K486" s="111"/>
      <c r="L486" s="116" t="str">
        <f t="shared" si="362"/>
        <v>#DIV/0!</v>
      </c>
      <c r="M486" s="106"/>
      <c r="N486" s="105"/>
      <c r="O486" s="111"/>
      <c r="P486" s="111"/>
      <c r="Q486" s="111"/>
      <c r="R486" s="101"/>
      <c r="S486" s="101"/>
      <c r="T486" s="99"/>
      <c r="U486" s="99"/>
      <c r="V486" s="99"/>
      <c r="W486" s="99"/>
      <c r="X486" s="99"/>
      <c r="Y486" s="99"/>
      <c r="Z486" s="99"/>
      <c r="AA486" s="99"/>
      <c r="AB486" s="99"/>
      <c r="AC486" s="99"/>
      <c r="AD486" s="99"/>
      <c r="AE486" s="99"/>
      <c r="AF486" s="99"/>
      <c r="AG486" s="99"/>
      <c r="AH486" s="99"/>
      <c r="AI486" s="99"/>
      <c r="AJ486" s="99"/>
      <c r="AK486" s="99"/>
      <c r="AL486" s="99"/>
      <c r="AM486" s="99"/>
    </row>
    <row r="487" ht="15.75" customHeight="1">
      <c r="A487" s="104"/>
      <c r="B487" s="104"/>
      <c r="C487" s="104"/>
      <c r="D487" s="110" t="s">
        <v>24</v>
      </c>
      <c r="E487" s="110" t="s">
        <v>289</v>
      </c>
      <c r="G487" s="136">
        <v>1.0</v>
      </c>
      <c r="H487" s="136" t="s">
        <v>97</v>
      </c>
      <c r="I487" s="137">
        <v>9.5E7</v>
      </c>
      <c r="J487" s="46">
        <f t="shared" ref="J487:J488" si="531">G487*I487</f>
        <v>95000000</v>
      </c>
      <c r="K487" s="46"/>
      <c r="L487" s="116">
        <f t="shared" si="362"/>
        <v>0</v>
      </c>
      <c r="M487" s="106"/>
      <c r="N487" s="105"/>
      <c r="O487" s="46">
        <f t="shared" ref="O487:O488" si="532">J487-K487</f>
        <v>95000000</v>
      </c>
      <c r="P487" s="46">
        <f t="shared" ref="P487:P488" si="533">J487-M487</f>
        <v>95000000</v>
      </c>
      <c r="Q487" s="46">
        <v>9.5E7</v>
      </c>
      <c r="R487" s="101"/>
      <c r="S487" s="101"/>
      <c r="T487" s="99"/>
      <c r="U487" s="99"/>
      <c r="V487" s="99"/>
      <c r="W487" s="99"/>
      <c r="X487" s="99"/>
      <c r="Y487" s="99"/>
      <c r="Z487" s="99"/>
      <c r="AA487" s="99"/>
      <c r="AB487" s="99"/>
      <c r="AC487" s="99"/>
      <c r="AD487" s="99"/>
      <c r="AE487" s="99"/>
      <c r="AF487" s="99"/>
      <c r="AG487" s="99"/>
      <c r="AH487" s="99"/>
      <c r="AI487" s="99"/>
      <c r="AJ487" s="99"/>
      <c r="AK487" s="99"/>
      <c r="AL487" s="99"/>
      <c r="AM487" s="99"/>
    </row>
    <row r="488" ht="12.75" customHeight="1">
      <c r="A488" s="104"/>
      <c r="B488" s="104"/>
      <c r="C488" s="104"/>
      <c r="D488" s="110" t="s">
        <v>24</v>
      </c>
      <c r="E488" s="110" t="s">
        <v>167</v>
      </c>
      <c r="G488" s="136">
        <v>100.0</v>
      </c>
      <c r="H488" s="136" t="s">
        <v>26</v>
      </c>
      <c r="I488" s="137">
        <v>200000.0</v>
      </c>
      <c r="J488" s="46">
        <f t="shared" si="531"/>
        <v>20000000</v>
      </c>
      <c r="K488" s="46"/>
      <c r="L488" s="116">
        <f t="shared" si="362"/>
        <v>0</v>
      </c>
      <c r="M488" s="106"/>
      <c r="N488" s="105"/>
      <c r="O488" s="46">
        <f t="shared" si="532"/>
        <v>20000000</v>
      </c>
      <c r="P488" s="46">
        <f t="shared" si="533"/>
        <v>20000000</v>
      </c>
      <c r="Q488" s="46">
        <v>2.0E7</v>
      </c>
      <c r="R488" s="101"/>
      <c r="S488" s="101"/>
      <c r="T488" s="99"/>
      <c r="U488" s="99"/>
      <c r="V488" s="99"/>
      <c r="W488" s="99"/>
      <c r="X488" s="99"/>
      <c r="Y488" s="99"/>
      <c r="Z488" s="99"/>
      <c r="AA488" s="99"/>
      <c r="AB488" s="99"/>
      <c r="AC488" s="99"/>
      <c r="AD488" s="99"/>
      <c r="AE488" s="99"/>
      <c r="AF488" s="99"/>
      <c r="AG488" s="99"/>
      <c r="AH488" s="99"/>
      <c r="AI488" s="99"/>
      <c r="AJ488" s="99"/>
      <c r="AK488" s="99"/>
      <c r="AL488" s="99"/>
      <c r="AM488" s="99"/>
    </row>
    <row r="489" ht="12.75" customHeight="1">
      <c r="A489" s="110" t="s">
        <v>68</v>
      </c>
      <c r="D489" s="145" t="s">
        <v>69</v>
      </c>
      <c r="G489" s="104"/>
      <c r="H489" s="133"/>
      <c r="I489" s="104"/>
      <c r="J489" s="134">
        <f t="shared" ref="J489:K489" si="534">J491</f>
        <v>10000000</v>
      </c>
      <c r="K489" s="46" t="str">
        <f t="shared" si="534"/>
        <v/>
      </c>
      <c r="L489" s="116">
        <f t="shared" si="362"/>
        <v>0</v>
      </c>
      <c r="M489" s="106"/>
      <c r="N489" s="105"/>
      <c r="O489" s="46">
        <f t="shared" ref="O489:P489" si="535">O491</f>
        <v>10000000</v>
      </c>
      <c r="P489" s="46">
        <f t="shared" si="535"/>
        <v>10000000</v>
      </c>
      <c r="Q489" s="46">
        <v>1.0E7</v>
      </c>
      <c r="R489" s="101"/>
      <c r="S489" s="101"/>
      <c r="T489" s="99"/>
      <c r="U489" s="99"/>
      <c r="V489" s="99"/>
      <c r="W489" s="99"/>
      <c r="X489" s="99"/>
      <c r="Y489" s="99"/>
      <c r="Z489" s="99"/>
      <c r="AA489" s="99"/>
      <c r="AB489" s="99"/>
      <c r="AC489" s="99"/>
      <c r="AD489" s="99"/>
      <c r="AE489" s="99"/>
      <c r="AF489" s="99"/>
      <c r="AG489" s="99"/>
      <c r="AH489" s="99"/>
      <c r="AI489" s="99"/>
      <c r="AJ489" s="99"/>
      <c r="AK489" s="99"/>
      <c r="AL489" s="99"/>
      <c r="AM489" s="99"/>
    </row>
    <row r="490" ht="12.75" customHeight="1">
      <c r="A490" s="104"/>
      <c r="B490" s="104"/>
      <c r="C490" s="104"/>
      <c r="D490" s="110" t="s">
        <v>23</v>
      </c>
      <c r="G490" s="104"/>
      <c r="H490" s="104"/>
      <c r="I490" s="104"/>
      <c r="J490" s="111"/>
      <c r="K490" s="111"/>
      <c r="L490" s="116" t="str">
        <f t="shared" si="362"/>
        <v>#DIV/0!</v>
      </c>
      <c r="M490" s="106"/>
      <c r="N490" s="105"/>
      <c r="O490" s="111"/>
      <c r="P490" s="111"/>
      <c r="Q490" s="111"/>
      <c r="R490" s="101"/>
      <c r="S490" s="101"/>
      <c r="T490" s="99"/>
      <c r="U490" s="99"/>
      <c r="V490" s="99"/>
      <c r="W490" s="99"/>
      <c r="X490" s="99"/>
      <c r="Y490" s="99"/>
      <c r="Z490" s="99"/>
      <c r="AA490" s="99"/>
      <c r="AB490" s="99"/>
      <c r="AC490" s="99"/>
      <c r="AD490" s="99"/>
      <c r="AE490" s="99"/>
      <c r="AF490" s="99"/>
      <c r="AG490" s="99"/>
      <c r="AH490" s="99"/>
      <c r="AI490" s="99"/>
      <c r="AJ490" s="99"/>
      <c r="AK490" s="99"/>
      <c r="AL490" s="99"/>
      <c r="AM490" s="99"/>
    </row>
    <row r="491" ht="12.75" customHeight="1">
      <c r="A491" s="104"/>
      <c r="B491" s="104"/>
      <c r="C491" s="104"/>
      <c r="D491" s="110" t="s">
        <v>24</v>
      </c>
      <c r="E491" s="110" t="s">
        <v>70</v>
      </c>
      <c r="G491" s="136">
        <v>20.0</v>
      </c>
      <c r="H491" s="136" t="s">
        <v>26</v>
      </c>
      <c r="I491" s="137">
        <v>500000.0</v>
      </c>
      <c r="J491" s="46">
        <f>G491*I491</f>
        <v>10000000</v>
      </c>
      <c r="K491" s="46"/>
      <c r="L491" s="116">
        <f t="shared" si="362"/>
        <v>0</v>
      </c>
      <c r="M491" s="106"/>
      <c r="N491" s="105"/>
      <c r="O491" s="46">
        <f>J491-K491</f>
        <v>10000000</v>
      </c>
      <c r="P491" s="46">
        <f>J491-M491</f>
        <v>10000000</v>
      </c>
      <c r="Q491" s="46">
        <v>1.0E7</v>
      </c>
      <c r="R491" s="101"/>
      <c r="S491" s="101"/>
      <c r="T491" s="99"/>
      <c r="U491" s="99"/>
      <c r="V491" s="99"/>
      <c r="W491" s="99"/>
      <c r="X491" s="99"/>
      <c r="Y491" s="99"/>
      <c r="Z491" s="99"/>
      <c r="AA491" s="99"/>
      <c r="AB491" s="99"/>
      <c r="AC491" s="99"/>
      <c r="AD491" s="99"/>
      <c r="AE491" s="99"/>
      <c r="AF491" s="99"/>
      <c r="AG491" s="99"/>
      <c r="AH491" s="99"/>
      <c r="AI491" s="99"/>
      <c r="AJ491" s="99"/>
      <c r="AK491" s="99"/>
      <c r="AL491" s="99"/>
      <c r="AM491" s="99"/>
    </row>
    <row r="492" ht="12.75" customHeight="1">
      <c r="A492" s="110" t="s">
        <v>47</v>
      </c>
      <c r="D492" s="145" t="s">
        <v>48</v>
      </c>
      <c r="G492" s="104"/>
      <c r="H492" s="133"/>
      <c r="I492" s="104"/>
      <c r="J492" s="134">
        <f t="shared" ref="J492:K492" si="536">J494</f>
        <v>16000000</v>
      </c>
      <c r="K492" s="46" t="str">
        <f t="shared" si="536"/>
        <v/>
      </c>
      <c r="L492" s="116">
        <f t="shared" si="362"/>
        <v>0</v>
      </c>
      <c r="M492" s="106"/>
      <c r="N492" s="105"/>
      <c r="O492" s="46">
        <f t="shared" ref="O492:P492" si="537">O494</f>
        <v>16000000</v>
      </c>
      <c r="P492" s="46">
        <f t="shared" si="537"/>
        <v>16000000</v>
      </c>
      <c r="Q492" s="46">
        <v>1.6E7</v>
      </c>
      <c r="R492" s="101"/>
      <c r="S492" s="101"/>
      <c r="T492" s="99"/>
      <c r="U492" s="99"/>
      <c r="V492" s="99"/>
      <c r="W492" s="99"/>
      <c r="X492" s="99"/>
      <c r="Y492" s="99"/>
      <c r="Z492" s="99"/>
      <c r="AA492" s="99"/>
      <c r="AB492" s="99"/>
      <c r="AC492" s="99"/>
      <c r="AD492" s="99"/>
      <c r="AE492" s="99"/>
      <c r="AF492" s="99"/>
      <c r="AG492" s="99"/>
      <c r="AH492" s="99"/>
      <c r="AI492" s="99"/>
      <c r="AJ492" s="99"/>
      <c r="AK492" s="99"/>
      <c r="AL492" s="99"/>
      <c r="AM492" s="99"/>
    </row>
    <row r="493" ht="12.75" customHeight="1">
      <c r="A493" s="104"/>
      <c r="B493" s="104"/>
      <c r="C493" s="104"/>
      <c r="D493" s="110" t="s">
        <v>23</v>
      </c>
      <c r="G493" s="104"/>
      <c r="H493" s="104"/>
      <c r="I493" s="104"/>
      <c r="J493" s="111"/>
      <c r="K493" s="111"/>
      <c r="L493" s="116" t="str">
        <f t="shared" si="362"/>
        <v>#DIV/0!</v>
      </c>
      <c r="M493" s="106"/>
      <c r="N493" s="105"/>
      <c r="O493" s="111"/>
      <c r="P493" s="111"/>
      <c r="Q493" s="111"/>
      <c r="R493" s="101"/>
      <c r="S493" s="101"/>
      <c r="T493" s="99"/>
      <c r="U493" s="99"/>
      <c r="V493" s="99"/>
      <c r="W493" s="99"/>
      <c r="X493" s="99"/>
      <c r="Y493" s="99"/>
      <c r="Z493" s="99"/>
      <c r="AA493" s="99"/>
      <c r="AB493" s="99"/>
      <c r="AC493" s="99"/>
      <c r="AD493" s="99"/>
      <c r="AE493" s="99"/>
      <c r="AF493" s="99"/>
      <c r="AG493" s="99"/>
      <c r="AH493" s="99"/>
      <c r="AI493" s="99"/>
      <c r="AJ493" s="99"/>
      <c r="AK493" s="99"/>
      <c r="AL493" s="99"/>
      <c r="AM493" s="99"/>
    </row>
    <row r="494" ht="12.75" customHeight="1">
      <c r="A494" s="104"/>
      <c r="B494" s="104"/>
      <c r="C494" s="104"/>
      <c r="D494" s="110" t="s">
        <v>24</v>
      </c>
      <c r="E494" s="110" t="s">
        <v>165</v>
      </c>
      <c r="G494" s="136">
        <v>4.0</v>
      </c>
      <c r="H494" s="136" t="s">
        <v>26</v>
      </c>
      <c r="I494" s="137">
        <v>4000000.0</v>
      </c>
      <c r="J494" s="46">
        <f>G494*I494</f>
        <v>16000000</v>
      </c>
      <c r="K494" s="46"/>
      <c r="L494" s="116">
        <f t="shared" si="362"/>
        <v>0</v>
      </c>
      <c r="M494" s="106"/>
      <c r="N494" s="105"/>
      <c r="O494" s="46">
        <f>J494-K494</f>
        <v>16000000</v>
      </c>
      <c r="P494" s="46">
        <f>J494-M494</f>
        <v>16000000</v>
      </c>
      <c r="Q494" s="46">
        <v>1.6E7</v>
      </c>
      <c r="R494" s="101"/>
      <c r="S494" s="101"/>
      <c r="T494" s="99"/>
      <c r="U494" s="99"/>
      <c r="V494" s="99"/>
      <c r="W494" s="99"/>
      <c r="X494" s="99"/>
      <c r="Y494" s="99"/>
      <c r="Z494" s="99"/>
      <c r="AA494" s="99"/>
      <c r="AB494" s="99"/>
      <c r="AC494" s="99"/>
      <c r="AD494" s="99"/>
      <c r="AE494" s="99"/>
      <c r="AF494" s="99"/>
      <c r="AG494" s="99"/>
      <c r="AH494" s="99"/>
      <c r="AI494" s="99"/>
      <c r="AJ494" s="99"/>
      <c r="AK494" s="99"/>
      <c r="AL494" s="99"/>
      <c r="AM494" s="99"/>
    </row>
    <row r="495" ht="12.75" customHeight="1">
      <c r="A495" s="110" t="s">
        <v>58</v>
      </c>
      <c r="D495" s="145" t="s">
        <v>34</v>
      </c>
      <c r="G495" s="104"/>
      <c r="H495" s="133"/>
      <c r="I495" s="104"/>
      <c r="J495" s="134">
        <f t="shared" ref="J495:K495" si="538">J497</f>
        <v>48000000</v>
      </c>
      <c r="K495" s="46" t="str">
        <f t="shared" si="538"/>
        <v/>
      </c>
      <c r="L495" s="116">
        <f t="shared" si="362"/>
        <v>0</v>
      </c>
      <c r="M495" s="106"/>
      <c r="N495" s="105"/>
      <c r="O495" s="46">
        <f t="shared" ref="O495:P495" si="539">O497</f>
        <v>48000000</v>
      </c>
      <c r="P495" s="46">
        <f t="shared" si="539"/>
        <v>48000000</v>
      </c>
      <c r="Q495" s="46">
        <v>4.8E7</v>
      </c>
      <c r="R495" s="101"/>
      <c r="S495" s="101"/>
      <c r="T495" s="99"/>
      <c r="U495" s="99"/>
      <c r="V495" s="99"/>
      <c r="W495" s="99"/>
      <c r="X495" s="99"/>
      <c r="Y495" s="99"/>
      <c r="Z495" s="99"/>
      <c r="AA495" s="99"/>
      <c r="AB495" s="99"/>
      <c r="AC495" s="99"/>
      <c r="AD495" s="99"/>
      <c r="AE495" s="99"/>
      <c r="AF495" s="99"/>
      <c r="AG495" s="99"/>
      <c r="AH495" s="99"/>
      <c r="AI495" s="99"/>
      <c r="AJ495" s="99"/>
      <c r="AK495" s="99"/>
      <c r="AL495" s="99"/>
      <c r="AM495" s="99"/>
    </row>
    <row r="496" ht="12.75" customHeight="1">
      <c r="A496" s="104"/>
      <c r="B496" s="104"/>
      <c r="C496" s="104"/>
      <c r="D496" s="110" t="s">
        <v>23</v>
      </c>
      <c r="G496" s="104"/>
      <c r="H496" s="104"/>
      <c r="I496" s="104"/>
      <c r="J496" s="111"/>
      <c r="K496" s="111"/>
      <c r="L496" s="116" t="str">
        <f t="shared" si="362"/>
        <v>#DIV/0!</v>
      </c>
      <c r="M496" s="106"/>
      <c r="N496" s="105"/>
      <c r="O496" s="111"/>
      <c r="P496" s="111"/>
      <c r="Q496" s="111"/>
      <c r="R496" s="101"/>
      <c r="S496" s="101"/>
      <c r="T496" s="99"/>
      <c r="U496" s="99"/>
      <c r="V496" s="99"/>
      <c r="W496" s="99"/>
      <c r="X496" s="99"/>
      <c r="Y496" s="99"/>
      <c r="Z496" s="99"/>
      <c r="AA496" s="99"/>
      <c r="AB496" s="99"/>
      <c r="AC496" s="99"/>
      <c r="AD496" s="99"/>
      <c r="AE496" s="99"/>
      <c r="AF496" s="99"/>
      <c r="AG496" s="99"/>
      <c r="AH496" s="99"/>
      <c r="AI496" s="99"/>
      <c r="AJ496" s="99"/>
      <c r="AK496" s="99"/>
      <c r="AL496" s="99"/>
      <c r="AM496" s="99"/>
    </row>
    <row r="497" ht="15.75" customHeight="1">
      <c r="A497" s="104"/>
      <c r="B497" s="104"/>
      <c r="C497" s="104"/>
      <c r="D497" s="110" t="s">
        <v>24</v>
      </c>
      <c r="E497" s="110" t="s">
        <v>71</v>
      </c>
      <c r="G497" s="136">
        <v>96.0</v>
      </c>
      <c r="H497" s="136" t="s">
        <v>26</v>
      </c>
      <c r="I497" s="137">
        <v>500000.0</v>
      </c>
      <c r="J497" s="46">
        <f>G497*I497</f>
        <v>48000000</v>
      </c>
      <c r="K497" s="46"/>
      <c r="L497" s="116">
        <f t="shared" si="362"/>
        <v>0</v>
      </c>
      <c r="M497" s="106"/>
      <c r="N497" s="105"/>
      <c r="O497" s="46">
        <f>J497-K497</f>
        <v>48000000</v>
      </c>
      <c r="P497" s="46">
        <f>J497-M497</f>
        <v>48000000</v>
      </c>
      <c r="Q497" s="46">
        <v>4.8E7</v>
      </c>
      <c r="R497" s="101"/>
      <c r="S497" s="101"/>
      <c r="T497" s="99"/>
      <c r="U497" s="99"/>
      <c r="V497" s="99"/>
      <c r="W497" s="99"/>
      <c r="X497" s="99"/>
      <c r="Y497" s="99"/>
      <c r="Z497" s="99"/>
      <c r="AA497" s="99"/>
      <c r="AB497" s="99"/>
      <c r="AC497" s="99"/>
      <c r="AD497" s="99"/>
      <c r="AE497" s="99"/>
      <c r="AF497" s="99"/>
      <c r="AG497" s="99"/>
      <c r="AH497" s="99"/>
      <c r="AI497" s="99"/>
      <c r="AJ497" s="99"/>
      <c r="AK497" s="99"/>
      <c r="AL497" s="99"/>
      <c r="AM497" s="99"/>
    </row>
    <row r="498" ht="12.75" customHeight="1">
      <c r="A498" s="144" t="s">
        <v>72</v>
      </c>
      <c r="D498" s="144" t="s">
        <v>73</v>
      </c>
      <c r="G498" s="104"/>
      <c r="H498" s="128"/>
      <c r="I498" s="104"/>
      <c r="J498" s="129">
        <f t="shared" ref="J498:K498" si="540">J499+J504</f>
        <v>151200000</v>
      </c>
      <c r="K498" s="43">
        <f t="shared" si="540"/>
        <v>85556000</v>
      </c>
      <c r="L498" s="116">
        <f t="shared" si="362"/>
        <v>56.58465608</v>
      </c>
      <c r="M498" s="106"/>
      <c r="N498" s="105"/>
      <c r="O498" s="43">
        <f t="shared" ref="O498:P498" si="541">O499+O504</f>
        <v>65644000</v>
      </c>
      <c r="P498" s="43">
        <f t="shared" si="541"/>
        <v>151200000</v>
      </c>
      <c r="Q498" s="43">
        <v>1.512E8</v>
      </c>
      <c r="R498" s="101"/>
      <c r="S498" s="101"/>
      <c r="T498" s="99"/>
      <c r="U498" s="99"/>
      <c r="V498" s="99"/>
      <c r="W498" s="99"/>
      <c r="X498" s="99"/>
      <c r="Y498" s="99"/>
      <c r="Z498" s="99"/>
      <c r="AA498" s="99"/>
      <c r="AB498" s="99"/>
      <c r="AC498" s="99"/>
      <c r="AD498" s="99"/>
      <c r="AE498" s="99"/>
      <c r="AF498" s="99"/>
      <c r="AG498" s="99"/>
      <c r="AH498" s="99"/>
      <c r="AI498" s="99"/>
      <c r="AJ498" s="99"/>
      <c r="AK498" s="99"/>
      <c r="AL498" s="99"/>
      <c r="AM498" s="99"/>
    </row>
    <row r="499" ht="12.75" customHeight="1">
      <c r="A499" s="110" t="s">
        <v>74</v>
      </c>
      <c r="D499" s="145" t="s">
        <v>75</v>
      </c>
      <c r="G499" s="104"/>
      <c r="H499" s="133"/>
      <c r="I499" s="104"/>
      <c r="J499" s="134">
        <f t="shared" ref="J499:K499" si="542">SUM(J501:J503)</f>
        <v>142700000</v>
      </c>
      <c r="K499" s="46">
        <f t="shared" si="542"/>
        <v>85556000</v>
      </c>
      <c r="L499" s="116">
        <f t="shared" si="362"/>
        <v>59.95515067</v>
      </c>
      <c r="M499" s="106"/>
      <c r="N499" s="105"/>
      <c r="O499" s="46">
        <f t="shared" ref="O499:P499" si="543">SUM(O501:O503)</f>
        <v>57144000</v>
      </c>
      <c r="P499" s="46">
        <f t="shared" si="543"/>
        <v>142700000</v>
      </c>
      <c r="Q499" s="46">
        <v>1.427E8</v>
      </c>
      <c r="R499" s="101"/>
      <c r="S499" s="101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  <c r="AG499" s="99"/>
      <c r="AH499" s="99"/>
      <c r="AI499" s="99"/>
      <c r="AJ499" s="99"/>
      <c r="AK499" s="99"/>
      <c r="AL499" s="99"/>
      <c r="AM499" s="99"/>
    </row>
    <row r="500" ht="12.75" customHeight="1">
      <c r="A500" s="104"/>
      <c r="B500" s="104"/>
      <c r="C500" s="104"/>
      <c r="D500" s="110" t="s">
        <v>23</v>
      </c>
      <c r="G500" s="104"/>
      <c r="H500" s="104"/>
      <c r="I500" s="104"/>
      <c r="J500" s="111"/>
      <c r="K500" s="111"/>
      <c r="L500" s="116" t="str">
        <f t="shared" si="362"/>
        <v>#DIV/0!</v>
      </c>
      <c r="M500" s="106"/>
      <c r="N500" s="105"/>
      <c r="O500" s="111"/>
      <c r="P500" s="111"/>
      <c r="Q500" s="111"/>
      <c r="R500" s="101"/>
      <c r="S500" s="101"/>
      <c r="T500" s="99"/>
      <c r="U500" s="99"/>
      <c r="V500" s="99"/>
      <c r="W500" s="99"/>
      <c r="X500" s="99"/>
      <c r="Y500" s="99"/>
      <c r="Z500" s="99"/>
      <c r="AA500" s="99"/>
      <c r="AB500" s="99"/>
      <c r="AC500" s="99"/>
      <c r="AD500" s="99"/>
      <c r="AE500" s="99"/>
      <c r="AF500" s="99"/>
      <c r="AG500" s="99"/>
      <c r="AH500" s="99"/>
      <c r="AI500" s="99"/>
      <c r="AJ500" s="99"/>
      <c r="AK500" s="99"/>
      <c r="AL500" s="99"/>
      <c r="AM500" s="99"/>
    </row>
    <row r="501" ht="12.75" customHeight="1">
      <c r="A501" s="104"/>
      <c r="B501" s="104"/>
      <c r="C501" s="104"/>
      <c r="D501" s="110" t="s">
        <v>24</v>
      </c>
      <c r="E501" s="110" t="s">
        <v>76</v>
      </c>
      <c r="G501" s="136">
        <v>20.0</v>
      </c>
      <c r="H501" s="136" t="s">
        <v>26</v>
      </c>
      <c r="I501" s="137">
        <v>5000000.0</v>
      </c>
      <c r="J501" s="46">
        <f t="shared" ref="J501:J503" si="544">G501*I501</f>
        <v>100000000</v>
      </c>
      <c r="K501" s="46">
        <v>6.5056E7</v>
      </c>
      <c r="L501" s="116">
        <f t="shared" si="362"/>
        <v>65.056</v>
      </c>
      <c r="M501" s="106"/>
      <c r="N501" s="105"/>
      <c r="O501" s="46">
        <f t="shared" ref="O501:O503" si="545">J501-K501</f>
        <v>34944000</v>
      </c>
      <c r="P501" s="46">
        <f t="shared" ref="P501:P503" si="546">J501-M501</f>
        <v>100000000</v>
      </c>
      <c r="Q501" s="46">
        <v>1.0E8</v>
      </c>
      <c r="R501" s="101"/>
      <c r="S501" s="101"/>
      <c r="T501" s="99"/>
      <c r="U501" s="99"/>
      <c r="V501" s="99"/>
      <c r="W501" s="99"/>
      <c r="X501" s="99"/>
      <c r="Y501" s="99"/>
      <c r="Z501" s="99"/>
      <c r="AA501" s="99"/>
      <c r="AB501" s="99"/>
      <c r="AC501" s="99"/>
      <c r="AD501" s="99"/>
      <c r="AE501" s="99"/>
      <c r="AF501" s="99"/>
      <c r="AG501" s="99"/>
      <c r="AH501" s="99"/>
      <c r="AI501" s="99"/>
      <c r="AJ501" s="99"/>
      <c r="AK501" s="99"/>
      <c r="AL501" s="99"/>
      <c r="AM501" s="99"/>
    </row>
    <row r="502" ht="15.75" customHeight="1">
      <c r="A502" s="104"/>
      <c r="B502" s="104"/>
      <c r="C502" s="104"/>
      <c r="D502" s="110" t="s">
        <v>24</v>
      </c>
      <c r="E502" s="110" t="s">
        <v>77</v>
      </c>
      <c r="G502" s="136">
        <v>30.0</v>
      </c>
      <c r="H502" s="136" t="s">
        <v>26</v>
      </c>
      <c r="I502" s="137">
        <v>850000.0</v>
      </c>
      <c r="J502" s="46">
        <f t="shared" si="544"/>
        <v>25500000</v>
      </c>
      <c r="K502" s="46">
        <v>1.05E7</v>
      </c>
      <c r="L502" s="116">
        <f t="shared" si="362"/>
        <v>41.17647059</v>
      </c>
      <c r="M502" s="106"/>
      <c r="N502" s="105"/>
      <c r="O502" s="46">
        <f t="shared" si="545"/>
        <v>15000000</v>
      </c>
      <c r="P502" s="46">
        <f t="shared" si="546"/>
        <v>25500000</v>
      </c>
      <c r="Q502" s="46">
        <v>2.55E7</v>
      </c>
      <c r="R502" s="101"/>
      <c r="S502" s="101"/>
      <c r="T502" s="99"/>
      <c r="U502" s="99"/>
      <c r="V502" s="99"/>
      <c r="W502" s="99"/>
      <c r="X502" s="99"/>
      <c r="Y502" s="99"/>
      <c r="Z502" s="99"/>
      <c r="AA502" s="99"/>
      <c r="AB502" s="99"/>
      <c r="AC502" s="99"/>
      <c r="AD502" s="99"/>
      <c r="AE502" s="99"/>
      <c r="AF502" s="99"/>
      <c r="AG502" s="99"/>
      <c r="AH502" s="99"/>
      <c r="AI502" s="99"/>
      <c r="AJ502" s="99"/>
      <c r="AK502" s="99"/>
      <c r="AL502" s="99"/>
      <c r="AM502" s="99"/>
    </row>
    <row r="503" ht="12.75" customHeight="1">
      <c r="A503" s="104"/>
      <c r="B503" s="104"/>
      <c r="C503" s="104"/>
      <c r="D503" s="110" t="s">
        <v>24</v>
      </c>
      <c r="E503" s="110" t="s">
        <v>78</v>
      </c>
      <c r="G503" s="136">
        <v>40.0</v>
      </c>
      <c r="H503" s="136" t="s">
        <v>26</v>
      </c>
      <c r="I503" s="137">
        <v>430000.0</v>
      </c>
      <c r="J503" s="46">
        <f t="shared" si="544"/>
        <v>17200000</v>
      </c>
      <c r="K503" s="46">
        <v>1.0E7</v>
      </c>
      <c r="L503" s="116">
        <f t="shared" si="362"/>
        <v>58.13953488</v>
      </c>
      <c r="M503" s="106"/>
      <c r="N503" s="105"/>
      <c r="O503" s="46">
        <f t="shared" si="545"/>
        <v>7200000</v>
      </c>
      <c r="P503" s="46">
        <f t="shared" si="546"/>
        <v>17200000</v>
      </c>
      <c r="Q503" s="46">
        <v>1.72E7</v>
      </c>
      <c r="R503" s="101"/>
      <c r="S503" s="101"/>
      <c r="T503" s="99"/>
      <c r="U503" s="99"/>
      <c r="V503" s="99"/>
      <c r="W503" s="99"/>
      <c r="X503" s="99"/>
      <c r="Y503" s="99"/>
      <c r="Z503" s="99"/>
      <c r="AA503" s="99"/>
      <c r="AB503" s="99"/>
      <c r="AC503" s="99"/>
      <c r="AD503" s="99"/>
      <c r="AE503" s="99"/>
      <c r="AF503" s="99"/>
      <c r="AG503" s="99"/>
      <c r="AH503" s="99"/>
      <c r="AI503" s="99"/>
      <c r="AJ503" s="99"/>
      <c r="AK503" s="99"/>
      <c r="AL503" s="99"/>
      <c r="AM503" s="99"/>
    </row>
    <row r="504" ht="12.75" customHeight="1">
      <c r="A504" s="110" t="s">
        <v>79</v>
      </c>
      <c r="D504" s="145" t="s">
        <v>80</v>
      </c>
      <c r="G504" s="104"/>
      <c r="H504" s="133"/>
      <c r="I504" s="104"/>
      <c r="J504" s="134">
        <f t="shared" ref="J504:K504" si="547">J506</f>
        <v>8500000</v>
      </c>
      <c r="K504" s="46" t="str">
        <f t="shared" si="547"/>
        <v/>
      </c>
      <c r="L504" s="116">
        <f t="shared" si="362"/>
        <v>0</v>
      </c>
      <c r="M504" s="106"/>
      <c r="N504" s="105"/>
      <c r="O504" s="46">
        <f t="shared" ref="O504:P504" si="548">O506</f>
        <v>8500000</v>
      </c>
      <c r="P504" s="46">
        <f t="shared" si="548"/>
        <v>8500000</v>
      </c>
      <c r="Q504" s="46">
        <v>8500000.0</v>
      </c>
      <c r="R504" s="101"/>
      <c r="S504" s="101"/>
      <c r="T504" s="99"/>
      <c r="U504" s="99"/>
      <c r="V504" s="99"/>
      <c r="W504" s="99"/>
      <c r="X504" s="99"/>
      <c r="Y504" s="99"/>
      <c r="Z504" s="99"/>
      <c r="AA504" s="99"/>
      <c r="AB504" s="99"/>
      <c r="AC504" s="99"/>
      <c r="AD504" s="99"/>
      <c r="AE504" s="99"/>
      <c r="AF504" s="99"/>
      <c r="AG504" s="99"/>
      <c r="AH504" s="99"/>
      <c r="AI504" s="99"/>
      <c r="AJ504" s="99"/>
      <c r="AK504" s="99"/>
      <c r="AL504" s="99"/>
      <c r="AM504" s="99"/>
    </row>
    <row r="505" ht="12.75" customHeight="1">
      <c r="A505" s="104"/>
      <c r="B505" s="104"/>
      <c r="C505" s="104"/>
      <c r="D505" s="110" t="s">
        <v>23</v>
      </c>
      <c r="G505" s="104"/>
      <c r="H505" s="104"/>
      <c r="I505" s="104"/>
      <c r="J505" s="111"/>
      <c r="K505" s="111"/>
      <c r="L505" s="116" t="str">
        <f t="shared" si="362"/>
        <v>#DIV/0!</v>
      </c>
      <c r="M505" s="106"/>
      <c r="N505" s="105"/>
      <c r="O505" s="111"/>
      <c r="P505" s="111"/>
      <c r="Q505" s="111"/>
      <c r="R505" s="101"/>
      <c r="S505" s="101"/>
      <c r="T505" s="99"/>
      <c r="U505" s="99"/>
      <c r="V505" s="99"/>
      <c r="W505" s="99"/>
      <c r="X505" s="99"/>
      <c r="Y505" s="99"/>
      <c r="Z505" s="99"/>
      <c r="AA505" s="99"/>
      <c r="AB505" s="99"/>
      <c r="AC505" s="99"/>
      <c r="AD505" s="99"/>
      <c r="AE505" s="99"/>
      <c r="AF505" s="99"/>
      <c r="AG505" s="99"/>
      <c r="AH505" s="99"/>
      <c r="AI505" s="99"/>
      <c r="AJ505" s="99"/>
      <c r="AK505" s="99"/>
      <c r="AL505" s="99"/>
      <c r="AM505" s="99"/>
    </row>
    <row r="506" ht="12.75" customHeight="1">
      <c r="A506" s="104"/>
      <c r="B506" s="104"/>
      <c r="C506" s="104"/>
      <c r="D506" s="110" t="s">
        <v>24</v>
      </c>
      <c r="E506" s="110" t="s">
        <v>81</v>
      </c>
      <c r="G506" s="136">
        <v>50.0</v>
      </c>
      <c r="H506" s="136" t="s">
        <v>26</v>
      </c>
      <c r="I506" s="137">
        <v>170000.0</v>
      </c>
      <c r="J506" s="46">
        <f>G506*I506</f>
        <v>8500000</v>
      </c>
      <c r="K506" s="46"/>
      <c r="L506" s="116">
        <f t="shared" si="362"/>
        <v>0</v>
      </c>
      <c r="M506" s="106"/>
      <c r="N506" s="105"/>
      <c r="O506" s="46">
        <f>J506-K506</f>
        <v>8500000</v>
      </c>
      <c r="P506" s="46">
        <f>J506-M506</f>
        <v>8500000</v>
      </c>
      <c r="Q506" s="46">
        <v>8500000.0</v>
      </c>
      <c r="R506" s="101"/>
      <c r="S506" s="101"/>
      <c r="T506" s="99"/>
      <c r="U506" s="99"/>
      <c r="V506" s="99"/>
      <c r="W506" s="99"/>
      <c r="X506" s="99"/>
      <c r="Y506" s="99"/>
      <c r="Z506" s="99"/>
      <c r="AA506" s="99"/>
      <c r="AB506" s="99"/>
      <c r="AC506" s="99"/>
      <c r="AD506" s="99"/>
      <c r="AE506" s="99"/>
      <c r="AF506" s="99"/>
      <c r="AG506" s="99"/>
      <c r="AH506" s="99"/>
      <c r="AI506" s="99"/>
      <c r="AJ506" s="99"/>
      <c r="AK506" s="99"/>
      <c r="AL506" s="99"/>
      <c r="AM506" s="99"/>
    </row>
    <row r="507" ht="12.75" customHeight="1">
      <c r="A507" s="144" t="s">
        <v>82</v>
      </c>
      <c r="D507" s="144" t="s">
        <v>83</v>
      </c>
      <c r="G507" s="104"/>
      <c r="H507" s="128"/>
      <c r="I507" s="104"/>
      <c r="J507" s="129">
        <f t="shared" ref="J507:K507" si="549">J508+J513</f>
        <v>1434000000</v>
      </c>
      <c r="K507" s="43">
        <f t="shared" si="549"/>
        <v>63270000</v>
      </c>
      <c r="L507" s="116">
        <f t="shared" si="362"/>
        <v>4.412133891</v>
      </c>
      <c r="M507" s="106"/>
      <c r="N507" s="105"/>
      <c r="O507" s="43">
        <f t="shared" ref="O507:P507" si="550">O508+O513</f>
        <v>1370730000</v>
      </c>
      <c r="P507" s="43">
        <f t="shared" si="550"/>
        <v>1434000000</v>
      </c>
      <c r="Q507" s="43">
        <v>1.434E9</v>
      </c>
      <c r="R507" s="101"/>
      <c r="S507" s="101"/>
      <c r="T507" s="99"/>
      <c r="U507" s="99"/>
      <c r="V507" s="99"/>
      <c r="W507" s="99"/>
      <c r="X507" s="99"/>
      <c r="Y507" s="99"/>
      <c r="Z507" s="99"/>
      <c r="AA507" s="99"/>
      <c r="AB507" s="99"/>
      <c r="AC507" s="99"/>
      <c r="AD507" s="99"/>
      <c r="AE507" s="99"/>
      <c r="AF507" s="99"/>
      <c r="AG507" s="99"/>
      <c r="AH507" s="99"/>
      <c r="AI507" s="99"/>
      <c r="AJ507" s="99"/>
      <c r="AK507" s="99"/>
      <c r="AL507" s="99"/>
      <c r="AM507" s="99"/>
    </row>
    <row r="508" ht="12.75" customHeight="1">
      <c r="A508" s="110" t="s">
        <v>84</v>
      </c>
      <c r="D508" s="145" t="s">
        <v>85</v>
      </c>
      <c r="G508" s="104"/>
      <c r="H508" s="133"/>
      <c r="I508" s="104"/>
      <c r="J508" s="134">
        <f t="shared" ref="J508:K508" si="551">SUM(J510:J512)</f>
        <v>1320000000</v>
      </c>
      <c r="K508" s="46">
        <f t="shared" si="551"/>
        <v>63270000</v>
      </c>
      <c r="L508" s="116">
        <f t="shared" si="362"/>
        <v>4.793181818</v>
      </c>
      <c r="M508" s="106"/>
      <c r="N508" s="105"/>
      <c r="O508" s="46">
        <f t="shared" ref="O508:P508" si="552">SUM(O510:O512)</f>
        <v>1256730000</v>
      </c>
      <c r="P508" s="46">
        <f t="shared" si="552"/>
        <v>1320000000</v>
      </c>
      <c r="Q508" s="46">
        <v>1.32E9</v>
      </c>
      <c r="R508" s="101"/>
      <c r="S508" s="101"/>
      <c r="T508" s="99"/>
      <c r="U508" s="99"/>
      <c r="V508" s="99"/>
      <c r="W508" s="99"/>
      <c r="X508" s="99"/>
      <c r="Y508" s="99"/>
      <c r="Z508" s="99"/>
      <c r="AA508" s="99"/>
      <c r="AB508" s="99"/>
      <c r="AC508" s="99"/>
      <c r="AD508" s="99"/>
      <c r="AE508" s="99"/>
      <c r="AF508" s="99"/>
      <c r="AG508" s="99"/>
      <c r="AH508" s="99"/>
      <c r="AI508" s="99"/>
      <c r="AJ508" s="99"/>
      <c r="AK508" s="99"/>
      <c r="AL508" s="99"/>
      <c r="AM508" s="99"/>
    </row>
    <row r="509" ht="12.75" customHeight="1">
      <c r="A509" s="104"/>
      <c r="B509" s="104"/>
      <c r="C509" s="104"/>
      <c r="D509" s="110" t="s">
        <v>23</v>
      </c>
      <c r="G509" s="104"/>
      <c r="H509" s="104"/>
      <c r="I509" s="104"/>
      <c r="J509" s="111"/>
      <c r="K509" s="111"/>
      <c r="L509" s="116" t="str">
        <f t="shared" si="362"/>
        <v>#DIV/0!</v>
      </c>
      <c r="M509" s="106"/>
      <c r="N509" s="105"/>
      <c r="O509" s="111"/>
      <c r="P509" s="111"/>
      <c r="Q509" s="111"/>
      <c r="R509" s="101"/>
      <c r="S509" s="101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  <c r="AG509" s="99"/>
      <c r="AH509" s="99"/>
      <c r="AI509" s="99"/>
      <c r="AJ509" s="99"/>
      <c r="AK509" s="99"/>
      <c r="AL509" s="99"/>
      <c r="AM509" s="99"/>
    </row>
    <row r="510" ht="12.75" customHeight="1">
      <c r="A510" s="104"/>
      <c r="B510" s="104"/>
      <c r="C510" s="104"/>
      <c r="D510" s="110" t="s">
        <v>24</v>
      </c>
      <c r="E510" s="110" t="s">
        <v>168</v>
      </c>
      <c r="G510" s="136">
        <v>54750.0</v>
      </c>
      <c r="H510" s="136" t="s">
        <v>87</v>
      </c>
      <c r="I510" s="137">
        <v>15000.0</v>
      </c>
      <c r="J510" s="46">
        <f t="shared" ref="J510:J512" si="553">G510*I510</f>
        <v>821250000</v>
      </c>
      <c r="K510" s="46">
        <v>4.731E7</v>
      </c>
      <c r="L510" s="116">
        <f t="shared" si="362"/>
        <v>5.760730594</v>
      </c>
      <c r="M510" s="106"/>
      <c r="N510" s="105"/>
      <c r="O510" s="46">
        <f t="shared" ref="O510:O512" si="554">J510-K510</f>
        <v>773940000</v>
      </c>
      <c r="P510" s="46">
        <f t="shared" ref="P510:P512" si="555">J510-M510</f>
        <v>821250000</v>
      </c>
      <c r="Q510" s="46">
        <v>8.2125E8</v>
      </c>
      <c r="R510" s="101"/>
      <c r="S510" s="101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  <c r="AG510" s="99"/>
      <c r="AH510" s="99"/>
      <c r="AI510" s="99"/>
      <c r="AJ510" s="99"/>
      <c r="AK510" s="99"/>
      <c r="AL510" s="99"/>
      <c r="AM510" s="99"/>
    </row>
    <row r="511" ht="12.75" customHeight="1">
      <c r="A511" s="104"/>
      <c r="B511" s="104"/>
      <c r="C511" s="104"/>
      <c r="D511" s="110" t="s">
        <v>24</v>
      </c>
      <c r="E511" s="110" t="s">
        <v>88</v>
      </c>
      <c r="G511" s="136">
        <v>9000.0</v>
      </c>
      <c r="H511" s="136" t="s">
        <v>87</v>
      </c>
      <c r="I511" s="137">
        <v>25000.0</v>
      </c>
      <c r="J511" s="46">
        <f t="shared" si="553"/>
        <v>225000000</v>
      </c>
      <c r="K511" s="46"/>
      <c r="L511" s="116">
        <f t="shared" si="362"/>
        <v>0</v>
      </c>
      <c r="M511" s="106"/>
      <c r="N511" s="105"/>
      <c r="O511" s="46">
        <f t="shared" si="554"/>
        <v>225000000</v>
      </c>
      <c r="P511" s="46">
        <f t="shared" si="555"/>
        <v>225000000</v>
      </c>
      <c r="Q511" s="46">
        <v>2.25E8</v>
      </c>
      <c r="R511" s="101"/>
      <c r="S511" s="101"/>
      <c r="T511" s="99"/>
      <c r="U511" s="99"/>
      <c r="V511" s="99"/>
      <c r="W511" s="99"/>
      <c r="X511" s="99"/>
      <c r="Y511" s="99"/>
      <c r="Z511" s="99"/>
      <c r="AA511" s="99"/>
      <c r="AB511" s="99"/>
      <c r="AC511" s="99"/>
      <c r="AD511" s="99"/>
      <c r="AE511" s="99"/>
      <c r="AF511" s="99"/>
      <c r="AG511" s="99"/>
      <c r="AH511" s="99"/>
      <c r="AI511" s="99"/>
      <c r="AJ511" s="99"/>
      <c r="AK511" s="99"/>
      <c r="AL511" s="99"/>
      <c r="AM511" s="99"/>
    </row>
    <row r="512" ht="12.75" customHeight="1">
      <c r="A512" s="104"/>
      <c r="B512" s="104"/>
      <c r="C512" s="104"/>
      <c r="D512" s="110" t="s">
        <v>24</v>
      </c>
      <c r="E512" s="110" t="s">
        <v>169</v>
      </c>
      <c r="G512" s="136">
        <v>36500.0</v>
      </c>
      <c r="H512" s="136" t="s">
        <v>87</v>
      </c>
      <c r="I512" s="137">
        <v>7500.0</v>
      </c>
      <c r="J512" s="46">
        <f t="shared" si="553"/>
        <v>273750000</v>
      </c>
      <c r="K512" s="46">
        <v>1.596E7</v>
      </c>
      <c r="L512" s="116">
        <f t="shared" si="362"/>
        <v>5.830136986</v>
      </c>
      <c r="M512" s="106"/>
      <c r="N512" s="105"/>
      <c r="O512" s="46">
        <f t="shared" si="554"/>
        <v>257790000</v>
      </c>
      <c r="P512" s="46">
        <f t="shared" si="555"/>
        <v>273750000</v>
      </c>
      <c r="Q512" s="46">
        <v>2.7375E8</v>
      </c>
      <c r="R512" s="101"/>
      <c r="S512" s="101"/>
      <c r="T512" s="99"/>
      <c r="U512" s="99"/>
      <c r="V512" s="99"/>
      <c r="W512" s="99"/>
      <c r="X512" s="99"/>
      <c r="Y512" s="99"/>
      <c r="Z512" s="99"/>
      <c r="AA512" s="99"/>
      <c r="AB512" s="99"/>
      <c r="AC512" s="99"/>
      <c r="AD512" s="99"/>
      <c r="AE512" s="99"/>
      <c r="AF512" s="99"/>
      <c r="AG512" s="99"/>
      <c r="AH512" s="99"/>
      <c r="AI512" s="99"/>
      <c r="AJ512" s="99"/>
      <c r="AK512" s="99"/>
      <c r="AL512" s="99"/>
      <c r="AM512" s="99"/>
    </row>
    <row r="513" ht="12.75" customHeight="1">
      <c r="A513" s="110" t="s">
        <v>63</v>
      </c>
      <c r="D513" s="145" t="s">
        <v>64</v>
      </c>
      <c r="G513" s="104"/>
      <c r="H513" s="133"/>
      <c r="I513" s="104"/>
      <c r="J513" s="134">
        <f>SUM(J515:J516)</f>
        <v>114000000</v>
      </c>
      <c r="K513" s="46">
        <f>K515+K516</f>
        <v>0</v>
      </c>
      <c r="L513" s="116">
        <f t="shared" si="362"/>
        <v>0</v>
      </c>
      <c r="M513" s="146">
        <f t="shared" ref="M513:P513" si="556">M515+M516</f>
        <v>0</v>
      </c>
      <c r="N513" s="46">
        <f t="shared" si="556"/>
        <v>0</v>
      </c>
      <c r="O513" s="46">
        <f t="shared" si="556"/>
        <v>114000000</v>
      </c>
      <c r="P513" s="46">
        <f t="shared" si="556"/>
        <v>114000000</v>
      </c>
      <c r="Q513" s="46">
        <v>1.14E8</v>
      </c>
      <c r="R513" s="101"/>
      <c r="S513" s="101"/>
      <c r="T513" s="99"/>
      <c r="U513" s="99"/>
      <c r="V513" s="99"/>
      <c r="W513" s="99"/>
      <c r="X513" s="99"/>
      <c r="Y513" s="99"/>
      <c r="Z513" s="99"/>
      <c r="AA513" s="99"/>
      <c r="AB513" s="99"/>
      <c r="AC513" s="99"/>
      <c r="AD513" s="99"/>
      <c r="AE513" s="99"/>
      <c r="AF513" s="99"/>
      <c r="AG513" s="99"/>
      <c r="AH513" s="99"/>
      <c r="AI513" s="99"/>
      <c r="AJ513" s="99"/>
      <c r="AK513" s="99"/>
      <c r="AL513" s="99"/>
      <c r="AM513" s="99"/>
    </row>
    <row r="514" ht="12.75" customHeight="1">
      <c r="A514" s="104"/>
      <c r="B514" s="104"/>
      <c r="C514" s="104"/>
      <c r="D514" s="110" t="s">
        <v>23</v>
      </c>
      <c r="G514" s="104"/>
      <c r="H514" s="104"/>
      <c r="I514" s="104"/>
      <c r="J514" s="111"/>
      <c r="K514" s="111"/>
      <c r="L514" s="116" t="str">
        <f t="shared" si="362"/>
        <v>#DIV/0!</v>
      </c>
      <c r="M514" s="106"/>
      <c r="N514" s="105"/>
      <c r="O514" s="111"/>
      <c r="P514" s="111"/>
      <c r="Q514" s="111"/>
      <c r="R514" s="101"/>
      <c r="S514" s="101"/>
      <c r="T514" s="99"/>
      <c r="U514" s="99"/>
      <c r="V514" s="99"/>
      <c r="W514" s="99"/>
      <c r="X514" s="99"/>
      <c r="Y514" s="99"/>
      <c r="Z514" s="99"/>
      <c r="AA514" s="99"/>
      <c r="AB514" s="99"/>
      <c r="AC514" s="99"/>
      <c r="AD514" s="99"/>
      <c r="AE514" s="99"/>
      <c r="AF514" s="99"/>
      <c r="AG514" s="99"/>
      <c r="AH514" s="99"/>
      <c r="AI514" s="99"/>
      <c r="AJ514" s="99"/>
      <c r="AK514" s="99"/>
      <c r="AL514" s="99"/>
      <c r="AM514" s="99"/>
    </row>
    <row r="515" ht="12.75" customHeight="1">
      <c r="A515" s="104"/>
      <c r="B515" s="104"/>
      <c r="C515" s="104"/>
      <c r="D515" s="110" t="s">
        <v>24</v>
      </c>
      <c r="E515" s="110" t="s">
        <v>90</v>
      </c>
      <c r="G515" s="136">
        <v>180.0</v>
      </c>
      <c r="H515" s="136" t="s">
        <v>87</v>
      </c>
      <c r="I515" s="137">
        <v>500000.0</v>
      </c>
      <c r="J515" s="46">
        <f t="shared" ref="J515:J516" si="557">G515*I515</f>
        <v>90000000</v>
      </c>
      <c r="K515" s="46"/>
      <c r="L515" s="116">
        <f t="shared" si="362"/>
        <v>0</v>
      </c>
      <c r="M515" s="106"/>
      <c r="N515" s="105"/>
      <c r="O515" s="46">
        <f t="shared" ref="O515:O516" si="558">J515-K515</f>
        <v>90000000</v>
      </c>
      <c r="P515" s="46">
        <f t="shared" ref="P515:P516" si="559">J515-M515</f>
        <v>90000000</v>
      </c>
      <c r="Q515" s="46">
        <v>9.0E7</v>
      </c>
      <c r="R515" s="101"/>
      <c r="S515" s="101"/>
      <c r="T515" s="99"/>
      <c r="U515" s="99"/>
      <c r="V515" s="99"/>
      <c r="W515" s="99"/>
      <c r="X515" s="99"/>
      <c r="Y515" s="99"/>
      <c r="Z515" s="99"/>
      <c r="AA515" s="99"/>
      <c r="AB515" s="99"/>
      <c r="AC515" s="99"/>
      <c r="AD515" s="99"/>
      <c r="AE515" s="99"/>
      <c r="AF515" s="99"/>
      <c r="AG515" s="99"/>
      <c r="AH515" s="99"/>
      <c r="AI515" s="99"/>
      <c r="AJ515" s="99"/>
      <c r="AK515" s="99"/>
      <c r="AL515" s="99"/>
      <c r="AM515" s="99"/>
    </row>
    <row r="516" ht="12.75" customHeight="1">
      <c r="A516" s="104"/>
      <c r="B516" s="104"/>
      <c r="C516" s="104"/>
      <c r="D516" s="110" t="s">
        <v>24</v>
      </c>
      <c r="E516" s="110" t="s">
        <v>170</v>
      </c>
      <c r="G516" s="136">
        <v>600.0</v>
      </c>
      <c r="H516" s="136" t="s">
        <v>87</v>
      </c>
      <c r="I516" s="137">
        <v>40000.0</v>
      </c>
      <c r="J516" s="46">
        <f t="shared" si="557"/>
        <v>24000000</v>
      </c>
      <c r="K516" s="46"/>
      <c r="L516" s="116">
        <f t="shared" si="362"/>
        <v>0</v>
      </c>
      <c r="M516" s="106"/>
      <c r="N516" s="105"/>
      <c r="O516" s="46">
        <f t="shared" si="558"/>
        <v>24000000</v>
      </c>
      <c r="P516" s="46">
        <f t="shared" si="559"/>
        <v>24000000</v>
      </c>
      <c r="Q516" s="46">
        <v>2.4E7</v>
      </c>
      <c r="R516" s="101"/>
      <c r="S516" s="101"/>
      <c r="T516" s="99"/>
      <c r="U516" s="99"/>
      <c r="V516" s="99"/>
      <c r="W516" s="99"/>
      <c r="X516" s="99"/>
      <c r="Y516" s="99"/>
      <c r="Z516" s="99"/>
      <c r="AA516" s="99"/>
      <c r="AB516" s="99"/>
      <c r="AC516" s="99"/>
      <c r="AD516" s="99"/>
      <c r="AE516" s="99"/>
      <c r="AF516" s="99"/>
      <c r="AG516" s="99"/>
      <c r="AH516" s="99"/>
      <c r="AI516" s="99"/>
      <c r="AJ516" s="99"/>
      <c r="AK516" s="99"/>
      <c r="AL516" s="99"/>
      <c r="AM516" s="99"/>
    </row>
    <row r="517" ht="12.75" customHeight="1">
      <c r="A517" s="144" t="s">
        <v>92</v>
      </c>
      <c r="D517" s="144" t="s">
        <v>93</v>
      </c>
      <c r="G517" s="104"/>
      <c r="H517" s="128"/>
      <c r="I517" s="104"/>
      <c r="J517" s="129">
        <f t="shared" ref="J517:K517" si="560">J518</f>
        <v>41836000</v>
      </c>
      <c r="K517" s="43">
        <f t="shared" si="560"/>
        <v>1216000</v>
      </c>
      <c r="L517" s="116">
        <f t="shared" si="362"/>
        <v>2.906587628</v>
      </c>
      <c r="M517" s="106"/>
      <c r="N517" s="105"/>
      <c r="O517" s="43">
        <f t="shared" ref="O517:P517" si="561">O518</f>
        <v>40620000</v>
      </c>
      <c r="P517" s="43">
        <f t="shared" si="561"/>
        <v>41836000</v>
      </c>
      <c r="Q517" s="43">
        <v>4.1836E7</v>
      </c>
      <c r="R517" s="101"/>
      <c r="S517" s="101"/>
      <c r="T517" s="99"/>
      <c r="U517" s="99"/>
      <c r="V517" s="99"/>
      <c r="W517" s="99"/>
      <c r="X517" s="99"/>
      <c r="Y517" s="99"/>
      <c r="Z517" s="99"/>
      <c r="AA517" s="99"/>
      <c r="AB517" s="99"/>
      <c r="AC517" s="99"/>
      <c r="AD517" s="99"/>
      <c r="AE517" s="99"/>
      <c r="AF517" s="99"/>
      <c r="AG517" s="99"/>
      <c r="AH517" s="99"/>
      <c r="AI517" s="99"/>
      <c r="AJ517" s="99"/>
      <c r="AK517" s="99"/>
      <c r="AL517" s="99"/>
      <c r="AM517" s="99"/>
    </row>
    <row r="518" ht="12.75" customHeight="1">
      <c r="A518" s="110" t="s">
        <v>68</v>
      </c>
      <c r="D518" s="145" t="s">
        <v>69</v>
      </c>
      <c r="G518" s="104"/>
      <c r="H518" s="133"/>
      <c r="I518" s="104"/>
      <c r="J518" s="134">
        <f t="shared" ref="J518:K518" si="562">SUM(J520:J521)</f>
        <v>41836000</v>
      </c>
      <c r="K518" s="46">
        <f t="shared" si="562"/>
        <v>1216000</v>
      </c>
      <c r="L518" s="116">
        <f t="shared" si="362"/>
        <v>2.906587628</v>
      </c>
      <c r="M518" s="106"/>
      <c r="N518" s="105"/>
      <c r="O518" s="46">
        <f t="shared" ref="O518:P518" si="563">SUM(O520:O521)</f>
        <v>40620000</v>
      </c>
      <c r="P518" s="46">
        <f t="shared" si="563"/>
        <v>41836000</v>
      </c>
      <c r="Q518" s="46">
        <v>4.1836E7</v>
      </c>
      <c r="R518" s="101"/>
      <c r="S518" s="101"/>
      <c r="T518" s="99"/>
      <c r="U518" s="99"/>
      <c r="V518" s="99"/>
      <c r="W518" s="99"/>
      <c r="X518" s="99"/>
      <c r="Y518" s="99"/>
      <c r="Z518" s="99"/>
      <c r="AA518" s="99"/>
      <c r="AB518" s="99"/>
      <c r="AC518" s="99"/>
      <c r="AD518" s="99"/>
      <c r="AE518" s="99"/>
      <c r="AF518" s="99"/>
      <c r="AG518" s="99"/>
      <c r="AH518" s="99"/>
      <c r="AI518" s="99"/>
      <c r="AJ518" s="99"/>
      <c r="AK518" s="99"/>
      <c r="AL518" s="99"/>
      <c r="AM518" s="99"/>
    </row>
    <row r="519" ht="12.75" customHeight="1">
      <c r="A519" s="104"/>
      <c r="B519" s="104"/>
      <c r="C519" s="104"/>
      <c r="D519" s="110" t="s">
        <v>23</v>
      </c>
      <c r="G519" s="104"/>
      <c r="H519" s="104"/>
      <c r="I519" s="104"/>
      <c r="J519" s="111"/>
      <c r="K519" s="111"/>
      <c r="L519" s="116" t="str">
        <f t="shared" si="362"/>
        <v>#DIV/0!</v>
      </c>
      <c r="M519" s="106"/>
      <c r="N519" s="105"/>
      <c r="O519" s="111"/>
      <c r="P519" s="111"/>
      <c r="Q519" s="111"/>
      <c r="R519" s="101"/>
      <c r="S519" s="101"/>
      <c r="T519" s="99"/>
      <c r="U519" s="99"/>
      <c r="V519" s="99"/>
      <c r="W519" s="99"/>
      <c r="X519" s="99"/>
      <c r="Y519" s="99"/>
      <c r="Z519" s="99"/>
      <c r="AA519" s="99"/>
      <c r="AB519" s="99"/>
      <c r="AC519" s="99"/>
      <c r="AD519" s="99"/>
      <c r="AE519" s="99"/>
      <c r="AF519" s="99"/>
      <c r="AG519" s="99"/>
      <c r="AH519" s="99"/>
      <c r="AI519" s="99"/>
      <c r="AJ519" s="99"/>
      <c r="AK519" s="99"/>
      <c r="AL519" s="99"/>
      <c r="AM519" s="99"/>
    </row>
    <row r="520" ht="12.75" customHeight="1">
      <c r="A520" s="104"/>
      <c r="B520" s="104"/>
      <c r="C520" s="104"/>
      <c r="D520" s="110" t="s">
        <v>24</v>
      </c>
      <c r="E520" s="110" t="s">
        <v>94</v>
      </c>
      <c r="G520" s="136">
        <v>12.0</v>
      </c>
      <c r="H520" s="136" t="s">
        <v>95</v>
      </c>
      <c r="I520" s="137">
        <v>2500000.0</v>
      </c>
      <c r="J520" s="46">
        <f t="shared" ref="J520:J521" si="564">G520*I520</f>
        <v>30000000</v>
      </c>
      <c r="K520" s="46">
        <v>1216000.0</v>
      </c>
      <c r="L520" s="116">
        <f t="shared" si="362"/>
        <v>4.053333333</v>
      </c>
      <c r="M520" s="106"/>
      <c r="N520" s="105"/>
      <c r="O520" s="46">
        <f t="shared" ref="O520:O521" si="565">J520-K520</f>
        <v>28784000</v>
      </c>
      <c r="P520" s="46">
        <f t="shared" ref="P520:P521" si="566">J520-M520</f>
        <v>30000000</v>
      </c>
      <c r="Q520" s="46">
        <v>3.0E7</v>
      </c>
      <c r="R520" s="101"/>
      <c r="S520" s="101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99"/>
      <c r="AH520" s="99"/>
      <c r="AI520" s="99"/>
      <c r="AJ520" s="99"/>
      <c r="AK520" s="99"/>
      <c r="AL520" s="99"/>
      <c r="AM520" s="99"/>
    </row>
    <row r="521" ht="12.75" customHeight="1">
      <c r="A521" s="104"/>
      <c r="B521" s="104"/>
      <c r="C521" s="104"/>
      <c r="D521" s="110" t="s">
        <v>24</v>
      </c>
      <c r="E521" s="110" t="s">
        <v>290</v>
      </c>
      <c r="G521" s="136">
        <v>1.0</v>
      </c>
      <c r="H521" s="136" t="s">
        <v>97</v>
      </c>
      <c r="I521" s="137">
        <v>1.1836E7</v>
      </c>
      <c r="J521" s="46">
        <f t="shared" si="564"/>
        <v>11836000</v>
      </c>
      <c r="K521" s="46"/>
      <c r="L521" s="116">
        <f t="shared" si="362"/>
        <v>0</v>
      </c>
      <c r="M521" s="106"/>
      <c r="N521" s="105"/>
      <c r="O521" s="46">
        <f t="shared" si="565"/>
        <v>11836000</v>
      </c>
      <c r="P521" s="46">
        <f t="shared" si="566"/>
        <v>11836000</v>
      </c>
      <c r="Q521" s="46">
        <v>1.1836E7</v>
      </c>
      <c r="R521" s="101"/>
      <c r="S521" s="101"/>
      <c r="T521" s="99"/>
      <c r="U521" s="99"/>
      <c r="V521" s="99"/>
      <c r="W521" s="99"/>
      <c r="X521" s="99"/>
      <c r="Y521" s="99"/>
      <c r="Z521" s="99"/>
      <c r="AA521" s="99"/>
      <c r="AB521" s="99"/>
      <c r="AC521" s="99"/>
      <c r="AD521" s="99"/>
      <c r="AE521" s="99"/>
      <c r="AF521" s="99"/>
      <c r="AG521" s="99"/>
      <c r="AH521" s="99"/>
      <c r="AI521" s="99"/>
      <c r="AJ521" s="99"/>
      <c r="AK521" s="99"/>
      <c r="AL521" s="99"/>
      <c r="AM521" s="99"/>
    </row>
    <row r="522" ht="12.75" customHeight="1">
      <c r="A522" s="144" t="s">
        <v>98</v>
      </c>
      <c r="D522" s="144" t="s">
        <v>99</v>
      </c>
      <c r="G522" s="104"/>
      <c r="H522" s="128"/>
      <c r="I522" s="104"/>
      <c r="J522" s="129">
        <f t="shared" ref="J522:K522" si="567">J523+J532</f>
        <v>6760000</v>
      </c>
      <c r="K522" s="43">
        <f t="shared" si="567"/>
        <v>0</v>
      </c>
      <c r="L522" s="116">
        <f t="shared" si="362"/>
        <v>0</v>
      </c>
      <c r="M522" s="106"/>
      <c r="N522" s="105"/>
      <c r="O522" s="43">
        <f t="shared" ref="O522:P522" si="568">O523+O532</f>
        <v>6760000</v>
      </c>
      <c r="P522" s="43">
        <f t="shared" si="568"/>
        <v>6760000</v>
      </c>
      <c r="Q522" s="43">
        <v>6760000.0</v>
      </c>
      <c r="R522" s="101"/>
      <c r="S522" s="101"/>
      <c r="T522" s="99"/>
      <c r="U522" s="99"/>
      <c r="V522" s="99"/>
      <c r="W522" s="99"/>
      <c r="X522" s="99"/>
      <c r="Y522" s="99"/>
      <c r="Z522" s="99"/>
      <c r="AA522" s="99"/>
      <c r="AB522" s="99"/>
      <c r="AC522" s="99"/>
      <c r="AD522" s="99"/>
      <c r="AE522" s="99"/>
      <c r="AF522" s="99"/>
      <c r="AG522" s="99"/>
      <c r="AH522" s="99"/>
      <c r="AI522" s="99"/>
      <c r="AJ522" s="99"/>
      <c r="AK522" s="99"/>
      <c r="AL522" s="99"/>
      <c r="AM522" s="99"/>
    </row>
    <row r="523" ht="12.75" customHeight="1">
      <c r="A523" s="110" t="s">
        <v>100</v>
      </c>
      <c r="D523" s="145" t="s">
        <v>101</v>
      </c>
      <c r="G523" s="104"/>
      <c r="H523" s="133"/>
      <c r="I523" s="104"/>
      <c r="J523" s="134">
        <f t="shared" ref="J523:K523" si="569">SUM(J525:J531)</f>
        <v>5600000</v>
      </c>
      <c r="K523" s="46">
        <f t="shared" si="569"/>
        <v>0</v>
      </c>
      <c r="L523" s="116">
        <f t="shared" si="362"/>
        <v>0</v>
      </c>
      <c r="M523" s="106"/>
      <c r="N523" s="105"/>
      <c r="O523" s="46">
        <f t="shared" ref="O523:P523" si="570">SUM(O525:O531)</f>
        <v>5600000</v>
      </c>
      <c r="P523" s="46">
        <f t="shared" si="570"/>
        <v>5600000</v>
      </c>
      <c r="Q523" s="46">
        <v>5600000.0</v>
      </c>
      <c r="R523" s="101"/>
      <c r="S523" s="101"/>
      <c r="T523" s="99"/>
      <c r="U523" s="99"/>
      <c r="V523" s="99"/>
      <c r="W523" s="99"/>
      <c r="X523" s="99"/>
      <c r="Y523" s="99"/>
      <c r="Z523" s="99"/>
      <c r="AA523" s="99"/>
      <c r="AB523" s="99"/>
      <c r="AC523" s="99"/>
      <c r="AD523" s="99"/>
      <c r="AE523" s="99"/>
      <c r="AF523" s="99"/>
      <c r="AG523" s="99"/>
      <c r="AH523" s="99"/>
      <c r="AI523" s="99"/>
      <c r="AJ523" s="99"/>
      <c r="AK523" s="99"/>
      <c r="AL523" s="99"/>
      <c r="AM523" s="99"/>
    </row>
    <row r="524" ht="12.75" customHeight="1">
      <c r="A524" s="104"/>
      <c r="B524" s="104"/>
      <c r="C524" s="104"/>
      <c r="D524" s="110" t="s">
        <v>23</v>
      </c>
      <c r="G524" s="104"/>
      <c r="H524" s="104"/>
      <c r="I524" s="104"/>
      <c r="J524" s="111"/>
      <c r="K524" s="111"/>
      <c r="L524" s="116" t="str">
        <f t="shared" si="362"/>
        <v>#DIV/0!</v>
      </c>
      <c r="M524" s="106"/>
      <c r="N524" s="105"/>
      <c r="O524" s="111"/>
      <c r="P524" s="111"/>
      <c r="Q524" s="111"/>
      <c r="R524" s="101"/>
      <c r="S524" s="101"/>
      <c r="T524" s="99"/>
      <c r="U524" s="99"/>
      <c r="V524" s="99"/>
      <c r="W524" s="99"/>
      <c r="X524" s="99"/>
      <c r="Y524" s="99"/>
      <c r="Z524" s="99"/>
      <c r="AA524" s="99"/>
      <c r="AB524" s="99"/>
      <c r="AC524" s="99"/>
      <c r="AD524" s="99"/>
      <c r="AE524" s="99"/>
      <c r="AF524" s="99"/>
      <c r="AG524" s="99"/>
      <c r="AH524" s="99"/>
      <c r="AI524" s="99"/>
      <c r="AJ524" s="99"/>
      <c r="AK524" s="99"/>
      <c r="AL524" s="99"/>
      <c r="AM524" s="99"/>
    </row>
    <row r="525" ht="12.75" customHeight="1">
      <c r="A525" s="104"/>
      <c r="B525" s="104"/>
      <c r="C525" s="104"/>
      <c r="D525" s="110" t="s">
        <v>24</v>
      </c>
      <c r="E525" s="110" t="s">
        <v>102</v>
      </c>
      <c r="G525" s="136">
        <v>2.0</v>
      </c>
      <c r="H525" s="136" t="s">
        <v>95</v>
      </c>
      <c r="I525" s="137">
        <v>350000.0</v>
      </c>
      <c r="J525" s="46">
        <f t="shared" ref="J525:J531" si="571">G525*I525</f>
        <v>700000</v>
      </c>
      <c r="K525" s="46"/>
      <c r="L525" s="116">
        <f t="shared" si="362"/>
        <v>0</v>
      </c>
      <c r="M525" s="106"/>
      <c r="N525" s="105"/>
      <c r="O525" s="46">
        <f t="shared" ref="O525:O531" si="572">J525-K525</f>
        <v>700000</v>
      </c>
      <c r="P525" s="46">
        <f t="shared" ref="P525:P531" si="573">J525-M525</f>
        <v>700000</v>
      </c>
      <c r="Q525" s="46">
        <v>700000.0</v>
      </c>
      <c r="R525" s="101"/>
      <c r="S525" s="101"/>
      <c r="T525" s="99"/>
      <c r="U525" s="99"/>
      <c r="V525" s="99"/>
      <c r="W525" s="99"/>
      <c r="X525" s="99"/>
      <c r="Y525" s="99"/>
      <c r="Z525" s="99"/>
      <c r="AA525" s="99"/>
      <c r="AB525" s="99"/>
      <c r="AC525" s="99"/>
      <c r="AD525" s="99"/>
      <c r="AE525" s="99"/>
      <c r="AF525" s="99"/>
      <c r="AG525" s="99"/>
      <c r="AH525" s="99"/>
      <c r="AI525" s="99"/>
      <c r="AJ525" s="99"/>
      <c r="AK525" s="99"/>
      <c r="AL525" s="99"/>
      <c r="AM525" s="99"/>
    </row>
    <row r="526" ht="12.75" customHeight="1">
      <c r="A526" s="104"/>
      <c r="B526" s="104"/>
      <c r="C526" s="104"/>
      <c r="D526" s="110" t="s">
        <v>24</v>
      </c>
      <c r="E526" s="110" t="s">
        <v>103</v>
      </c>
      <c r="G526" s="136">
        <v>2.0</v>
      </c>
      <c r="H526" s="136" t="s">
        <v>95</v>
      </c>
      <c r="I526" s="137">
        <v>225000.0</v>
      </c>
      <c r="J526" s="46">
        <f t="shared" si="571"/>
        <v>450000</v>
      </c>
      <c r="K526" s="46"/>
      <c r="L526" s="116">
        <f t="shared" si="362"/>
        <v>0</v>
      </c>
      <c r="M526" s="106"/>
      <c r="N526" s="105"/>
      <c r="O526" s="46">
        <f t="shared" si="572"/>
        <v>450000</v>
      </c>
      <c r="P526" s="46">
        <f t="shared" si="573"/>
        <v>450000</v>
      </c>
      <c r="Q526" s="46">
        <v>450000.0</v>
      </c>
      <c r="R526" s="101"/>
      <c r="S526" s="101"/>
      <c r="T526" s="99"/>
      <c r="U526" s="99"/>
      <c r="V526" s="99"/>
      <c r="W526" s="99"/>
      <c r="X526" s="99"/>
      <c r="Y526" s="99"/>
      <c r="Z526" s="99"/>
      <c r="AA526" s="99"/>
      <c r="AB526" s="99"/>
      <c r="AC526" s="99"/>
      <c r="AD526" s="99"/>
      <c r="AE526" s="99"/>
      <c r="AF526" s="99"/>
      <c r="AG526" s="99"/>
      <c r="AH526" s="99"/>
      <c r="AI526" s="99"/>
      <c r="AJ526" s="99"/>
      <c r="AK526" s="99"/>
      <c r="AL526" s="99"/>
      <c r="AM526" s="99"/>
    </row>
    <row r="527" ht="15.75" customHeight="1">
      <c r="A527" s="104"/>
      <c r="B527" s="104"/>
      <c r="C527" s="104"/>
      <c r="D527" s="110" t="s">
        <v>24</v>
      </c>
      <c r="E527" s="110" t="s">
        <v>104</v>
      </c>
      <c r="G527" s="136">
        <v>2.0</v>
      </c>
      <c r="H527" s="136" t="s">
        <v>95</v>
      </c>
      <c r="I527" s="137">
        <v>450000.0</v>
      </c>
      <c r="J527" s="46">
        <f t="shared" si="571"/>
        <v>900000</v>
      </c>
      <c r="K527" s="46"/>
      <c r="L527" s="116">
        <f t="shared" si="362"/>
        <v>0</v>
      </c>
      <c r="M527" s="106"/>
      <c r="N527" s="105"/>
      <c r="O527" s="46">
        <f t="shared" si="572"/>
        <v>900000</v>
      </c>
      <c r="P527" s="46">
        <f t="shared" si="573"/>
        <v>900000</v>
      </c>
      <c r="Q527" s="46">
        <v>900000.0</v>
      </c>
      <c r="R527" s="101"/>
      <c r="S527" s="101"/>
      <c r="T527" s="99"/>
      <c r="U527" s="99"/>
      <c r="V527" s="99"/>
      <c r="W527" s="99"/>
      <c r="X527" s="99"/>
      <c r="Y527" s="99"/>
      <c r="Z527" s="99"/>
      <c r="AA527" s="99"/>
      <c r="AB527" s="99"/>
      <c r="AC527" s="99"/>
      <c r="AD527" s="99"/>
      <c r="AE527" s="99"/>
      <c r="AF527" s="99"/>
      <c r="AG527" s="99"/>
      <c r="AH527" s="99"/>
      <c r="AI527" s="99"/>
      <c r="AJ527" s="99"/>
      <c r="AK527" s="99"/>
      <c r="AL527" s="99"/>
      <c r="AM527" s="99"/>
    </row>
    <row r="528" ht="12.75" customHeight="1">
      <c r="A528" s="104"/>
      <c r="B528" s="104"/>
      <c r="C528" s="104"/>
      <c r="D528" s="110" t="s">
        <v>24</v>
      </c>
      <c r="E528" s="110" t="s">
        <v>105</v>
      </c>
      <c r="G528" s="136">
        <v>2.0</v>
      </c>
      <c r="H528" s="136" t="s">
        <v>95</v>
      </c>
      <c r="I528" s="137">
        <v>250000.0</v>
      </c>
      <c r="J528" s="46">
        <f t="shared" si="571"/>
        <v>500000</v>
      </c>
      <c r="K528" s="46"/>
      <c r="L528" s="116">
        <f t="shared" si="362"/>
        <v>0</v>
      </c>
      <c r="M528" s="106"/>
      <c r="N528" s="105"/>
      <c r="O528" s="46">
        <f t="shared" si="572"/>
        <v>500000</v>
      </c>
      <c r="P528" s="46">
        <f t="shared" si="573"/>
        <v>500000</v>
      </c>
      <c r="Q528" s="46">
        <v>500000.0</v>
      </c>
      <c r="R528" s="101"/>
      <c r="S528" s="101"/>
      <c r="T528" s="99"/>
      <c r="U528" s="99"/>
      <c r="V528" s="99"/>
      <c r="W528" s="99"/>
      <c r="X528" s="99"/>
      <c r="Y528" s="99"/>
      <c r="Z528" s="99"/>
      <c r="AA528" s="99"/>
      <c r="AB528" s="99"/>
      <c r="AC528" s="99"/>
      <c r="AD528" s="99"/>
      <c r="AE528" s="99"/>
      <c r="AF528" s="99"/>
      <c r="AG528" s="99"/>
      <c r="AH528" s="99"/>
      <c r="AI528" s="99"/>
      <c r="AJ528" s="99"/>
      <c r="AK528" s="99"/>
      <c r="AL528" s="99"/>
      <c r="AM528" s="99"/>
    </row>
    <row r="529" ht="12.75" customHeight="1">
      <c r="A529" s="104"/>
      <c r="B529" s="104"/>
      <c r="C529" s="104"/>
      <c r="D529" s="110" t="s">
        <v>24</v>
      </c>
      <c r="E529" s="110" t="s">
        <v>106</v>
      </c>
      <c r="G529" s="136">
        <v>2.0</v>
      </c>
      <c r="H529" s="136" t="s">
        <v>95</v>
      </c>
      <c r="I529" s="137">
        <v>100000.0</v>
      </c>
      <c r="J529" s="46">
        <f t="shared" si="571"/>
        <v>200000</v>
      </c>
      <c r="K529" s="46"/>
      <c r="L529" s="116">
        <f t="shared" si="362"/>
        <v>0</v>
      </c>
      <c r="M529" s="106"/>
      <c r="N529" s="105"/>
      <c r="O529" s="46">
        <f t="shared" si="572"/>
        <v>200000</v>
      </c>
      <c r="P529" s="46">
        <f t="shared" si="573"/>
        <v>200000</v>
      </c>
      <c r="Q529" s="46">
        <v>200000.0</v>
      </c>
      <c r="R529" s="101"/>
      <c r="S529" s="101"/>
      <c r="T529" s="99"/>
      <c r="U529" s="99"/>
      <c r="V529" s="99"/>
      <c r="W529" s="99"/>
      <c r="X529" s="99"/>
      <c r="Y529" s="99"/>
      <c r="Z529" s="99"/>
      <c r="AA529" s="99"/>
      <c r="AB529" s="99"/>
      <c r="AC529" s="99"/>
      <c r="AD529" s="99"/>
      <c r="AE529" s="99"/>
      <c r="AF529" s="99"/>
      <c r="AG529" s="99"/>
      <c r="AH529" s="99"/>
      <c r="AI529" s="99"/>
      <c r="AJ529" s="99"/>
      <c r="AK529" s="99"/>
      <c r="AL529" s="99"/>
      <c r="AM529" s="99"/>
    </row>
    <row r="530" ht="12.75" customHeight="1">
      <c r="A530" s="104"/>
      <c r="B530" s="104"/>
      <c r="C530" s="104"/>
      <c r="D530" s="110" t="s">
        <v>24</v>
      </c>
      <c r="E530" s="110" t="s">
        <v>107</v>
      </c>
      <c r="G530" s="136">
        <v>2.0</v>
      </c>
      <c r="H530" s="136" t="s">
        <v>95</v>
      </c>
      <c r="I530" s="137">
        <v>725000.0</v>
      </c>
      <c r="J530" s="46">
        <f t="shared" si="571"/>
        <v>1450000</v>
      </c>
      <c r="K530" s="46"/>
      <c r="L530" s="116">
        <f t="shared" si="362"/>
        <v>0</v>
      </c>
      <c r="M530" s="106"/>
      <c r="N530" s="105"/>
      <c r="O530" s="46">
        <f t="shared" si="572"/>
        <v>1450000</v>
      </c>
      <c r="P530" s="46">
        <f t="shared" si="573"/>
        <v>1450000</v>
      </c>
      <c r="Q530" s="46">
        <v>1450000.0</v>
      </c>
      <c r="R530" s="101"/>
      <c r="S530" s="101"/>
      <c r="T530" s="99"/>
      <c r="U530" s="99"/>
      <c r="V530" s="99"/>
      <c r="W530" s="99"/>
      <c r="X530" s="99"/>
      <c r="Y530" s="99"/>
      <c r="Z530" s="99"/>
      <c r="AA530" s="99"/>
      <c r="AB530" s="99"/>
      <c r="AC530" s="99"/>
      <c r="AD530" s="99"/>
      <c r="AE530" s="99"/>
      <c r="AF530" s="99"/>
      <c r="AG530" s="99"/>
      <c r="AH530" s="99"/>
      <c r="AI530" s="99"/>
      <c r="AJ530" s="99"/>
      <c r="AK530" s="99"/>
      <c r="AL530" s="99"/>
      <c r="AM530" s="99"/>
    </row>
    <row r="531" ht="15.75" customHeight="1">
      <c r="A531" s="104"/>
      <c r="B531" s="104"/>
      <c r="C531" s="104"/>
      <c r="D531" s="110" t="s">
        <v>24</v>
      </c>
      <c r="E531" s="110" t="s">
        <v>108</v>
      </c>
      <c r="G531" s="136">
        <v>2.0</v>
      </c>
      <c r="H531" s="136" t="s">
        <v>95</v>
      </c>
      <c r="I531" s="137">
        <v>700000.0</v>
      </c>
      <c r="J531" s="46">
        <f t="shared" si="571"/>
        <v>1400000</v>
      </c>
      <c r="K531" s="46"/>
      <c r="L531" s="116">
        <f t="shared" si="362"/>
        <v>0</v>
      </c>
      <c r="M531" s="106"/>
      <c r="N531" s="105"/>
      <c r="O531" s="46">
        <f t="shared" si="572"/>
        <v>1400000</v>
      </c>
      <c r="P531" s="46">
        <f t="shared" si="573"/>
        <v>1400000</v>
      </c>
      <c r="Q531" s="46">
        <v>1400000.0</v>
      </c>
      <c r="R531" s="101"/>
      <c r="S531" s="101"/>
      <c r="T531" s="99"/>
      <c r="U531" s="99"/>
      <c r="V531" s="99"/>
      <c r="W531" s="99"/>
      <c r="X531" s="99"/>
      <c r="Y531" s="99"/>
      <c r="Z531" s="99"/>
      <c r="AA531" s="99"/>
      <c r="AB531" s="99"/>
      <c r="AC531" s="99"/>
      <c r="AD531" s="99"/>
      <c r="AE531" s="99"/>
      <c r="AF531" s="99"/>
      <c r="AG531" s="99"/>
      <c r="AH531" s="99"/>
      <c r="AI531" s="99"/>
      <c r="AJ531" s="99"/>
      <c r="AK531" s="99"/>
      <c r="AL531" s="99"/>
      <c r="AM531" s="99"/>
    </row>
    <row r="532" ht="12.75" customHeight="1">
      <c r="A532" s="110" t="s">
        <v>68</v>
      </c>
      <c r="D532" s="145" t="s">
        <v>69</v>
      </c>
      <c r="G532" s="104"/>
      <c r="H532" s="133"/>
      <c r="I532" s="104"/>
      <c r="J532" s="134">
        <f t="shared" ref="J532:K532" si="574">SUM(J534:J537)</f>
        <v>1160000</v>
      </c>
      <c r="K532" s="46">
        <f t="shared" si="574"/>
        <v>0</v>
      </c>
      <c r="L532" s="116">
        <f t="shared" si="362"/>
        <v>0</v>
      </c>
      <c r="M532" s="106"/>
      <c r="N532" s="105"/>
      <c r="O532" s="46">
        <f t="shared" ref="O532:P532" si="575">SUM(O534:O537)</f>
        <v>1160000</v>
      </c>
      <c r="P532" s="46">
        <f t="shared" si="575"/>
        <v>1160000</v>
      </c>
      <c r="Q532" s="46">
        <v>1160000.0</v>
      </c>
      <c r="R532" s="101"/>
      <c r="S532" s="101"/>
      <c r="T532" s="99"/>
      <c r="U532" s="99"/>
      <c r="V532" s="99"/>
      <c r="W532" s="99"/>
      <c r="X532" s="99"/>
      <c r="Y532" s="99"/>
      <c r="Z532" s="99"/>
      <c r="AA532" s="99"/>
      <c r="AB532" s="99"/>
      <c r="AC532" s="99"/>
      <c r="AD532" s="99"/>
      <c r="AE532" s="99"/>
      <c r="AF532" s="99"/>
      <c r="AG532" s="99"/>
      <c r="AH532" s="99"/>
      <c r="AI532" s="99"/>
      <c r="AJ532" s="99"/>
      <c r="AK532" s="99"/>
      <c r="AL532" s="99"/>
      <c r="AM532" s="99"/>
    </row>
    <row r="533" ht="12.75" customHeight="1">
      <c r="A533" s="104"/>
      <c r="B533" s="104"/>
      <c r="C533" s="104"/>
      <c r="D533" s="110" t="s">
        <v>23</v>
      </c>
      <c r="G533" s="104"/>
      <c r="H533" s="104"/>
      <c r="I533" s="104"/>
      <c r="J533" s="111"/>
      <c r="K533" s="111"/>
      <c r="L533" s="116" t="str">
        <f t="shared" si="362"/>
        <v>#DIV/0!</v>
      </c>
      <c r="M533" s="106"/>
      <c r="N533" s="105"/>
      <c r="O533" s="111"/>
      <c r="P533" s="111"/>
      <c r="Q533" s="111"/>
      <c r="R533" s="101"/>
      <c r="S533" s="101"/>
      <c r="T533" s="99"/>
      <c r="U533" s="99"/>
      <c r="V533" s="99"/>
      <c r="W533" s="99"/>
      <c r="X533" s="99"/>
      <c r="Y533" s="99"/>
      <c r="Z533" s="99"/>
      <c r="AA533" s="99"/>
      <c r="AB533" s="99"/>
      <c r="AC533" s="99"/>
      <c r="AD533" s="99"/>
      <c r="AE533" s="99"/>
      <c r="AF533" s="99"/>
      <c r="AG533" s="99"/>
      <c r="AH533" s="99"/>
      <c r="AI533" s="99"/>
      <c r="AJ533" s="99"/>
      <c r="AK533" s="99"/>
      <c r="AL533" s="99"/>
      <c r="AM533" s="99"/>
    </row>
    <row r="534" ht="12.75" customHeight="1">
      <c r="A534" s="104"/>
      <c r="B534" s="104"/>
      <c r="C534" s="104"/>
      <c r="D534" s="110" t="s">
        <v>24</v>
      </c>
      <c r="E534" s="110" t="s">
        <v>109</v>
      </c>
      <c r="G534" s="136">
        <v>10.0</v>
      </c>
      <c r="H534" s="136" t="s">
        <v>95</v>
      </c>
      <c r="I534" s="137">
        <v>50000.0</v>
      </c>
      <c r="J534" s="46">
        <f t="shared" ref="J534:J537" si="576">G534*I534</f>
        <v>500000</v>
      </c>
      <c r="K534" s="46"/>
      <c r="L534" s="116">
        <f t="shared" si="362"/>
        <v>0</v>
      </c>
      <c r="M534" s="106"/>
      <c r="N534" s="105"/>
      <c r="O534" s="46">
        <f t="shared" ref="O534:O537" si="577">J534-K534</f>
        <v>500000</v>
      </c>
      <c r="P534" s="46">
        <f t="shared" ref="P534:P537" si="578">J534-M534</f>
        <v>500000</v>
      </c>
      <c r="Q534" s="46">
        <v>500000.0</v>
      </c>
      <c r="R534" s="101"/>
      <c r="S534" s="101"/>
      <c r="T534" s="99"/>
      <c r="U534" s="99"/>
      <c r="V534" s="99"/>
      <c r="W534" s="99"/>
      <c r="X534" s="99"/>
      <c r="Y534" s="99"/>
      <c r="Z534" s="99"/>
      <c r="AA534" s="99"/>
      <c r="AB534" s="99"/>
      <c r="AC534" s="99"/>
      <c r="AD534" s="99"/>
      <c r="AE534" s="99"/>
      <c r="AF534" s="99"/>
      <c r="AG534" s="99"/>
      <c r="AH534" s="99"/>
      <c r="AI534" s="99"/>
      <c r="AJ534" s="99"/>
      <c r="AK534" s="99"/>
      <c r="AL534" s="99"/>
      <c r="AM534" s="99"/>
    </row>
    <row r="535" ht="12.75" customHeight="1">
      <c r="A535" s="104"/>
      <c r="B535" s="104"/>
      <c r="C535" s="104"/>
      <c r="D535" s="110" t="s">
        <v>24</v>
      </c>
      <c r="E535" s="110" t="s">
        <v>110</v>
      </c>
      <c r="G535" s="136">
        <v>2.0</v>
      </c>
      <c r="H535" s="136" t="s">
        <v>95</v>
      </c>
      <c r="I535" s="137">
        <v>100000.0</v>
      </c>
      <c r="J535" s="46">
        <f t="shared" si="576"/>
        <v>200000</v>
      </c>
      <c r="K535" s="46"/>
      <c r="L535" s="116">
        <f t="shared" si="362"/>
        <v>0</v>
      </c>
      <c r="M535" s="106"/>
      <c r="N535" s="105"/>
      <c r="O535" s="46">
        <f t="shared" si="577"/>
        <v>200000</v>
      </c>
      <c r="P535" s="46">
        <f t="shared" si="578"/>
        <v>200000</v>
      </c>
      <c r="Q535" s="46">
        <v>200000.0</v>
      </c>
      <c r="R535" s="101"/>
      <c r="S535" s="101"/>
      <c r="T535" s="99"/>
      <c r="U535" s="99"/>
      <c r="V535" s="99"/>
      <c r="W535" s="99"/>
      <c r="X535" s="99"/>
      <c r="Y535" s="99"/>
      <c r="Z535" s="99"/>
      <c r="AA535" s="99"/>
      <c r="AB535" s="99"/>
      <c r="AC535" s="99"/>
      <c r="AD535" s="99"/>
      <c r="AE535" s="99"/>
      <c r="AF535" s="99"/>
      <c r="AG535" s="99"/>
      <c r="AH535" s="99"/>
      <c r="AI535" s="99"/>
      <c r="AJ535" s="99"/>
      <c r="AK535" s="99"/>
      <c r="AL535" s="99"/>
      <c r="AM535" s="99"/>
    </row>
    <row r="536" ht="12.75" customHeight="1">
      <c r="A536" s="104"/>
      <c r="B536" s="104"/>
      <c r="C536" s="104"/>
      <c r="D536" s="110" t="s">
        <v>24</v>
      </c>
      <c r="E536" s="110" t="s">
        <v>111</v>
      </c>
      <c r="G536" s="136">
        <v>2.0</v>
      </c>
      <c r="H536" s="136" t="s">
        <v>95</v>
      </c>
      <c r="I536" s="137">
        <v>200000.0</v>
      </c>
      <c r="J536" s="46">
        <f t="shared" si="576"/>
        <v>400000</v>
      </c>
      <c r="K536" s="46"/>
      <c r="L536" s="116">
        <f t="shared" si="362"/>
        <v>0</v>
      </c>
      <c r="M536" s="106"/>
      <c r="N536" s="105"/>
      <c r="O536" s="46">
        <f t="shared" si="577"/>
        <v>400000</v>
      </c>
      <c r="P536" s="46">
        <f t="shared" si="578"/>
        <v>400000</v>
      </c>
      <c r="Q536" s="46">
        <v>400000.0</v>
      </c>
      <c r="R536" s="101"/>
      <c r="S536" s="101"/>
      <c r="T536" s="99"/>
      <c r="U536" s="99"/>
      <c r="V536" s="99"/>
      <c r="W536" s="99"/>
      <c r="X536" s="99"/>
      <c r="Y536" s="99"/>
      <c r="Z536" s="99"/>
      <c r="AA536" s="99"/>
      <c r="AB536" s="99"/>
      <c r="AC536" s="99"/>
      <c r="AD536" s="99"/>
      <c r="AE536" s="99"/>
      <c r="AF536" s="99"/>
      <c r="AG536" s="99"/>
      <c r="AH536" s="99"/>
      <c r="AI536" s="99"/>
      <c r="AJ536" s="99"/>
      <c r="AK536" s="99"/>
      <c r="AL536" s="99"/>
      <c r="AM536" s="99"/>
    </row>
    <row r="537" ht="12.75" customHeight="1">
      <c r="A537" s="104"/>
      <c r="B537" s="104"/>
      <c r="C537" s="104"/>
      <c r="D537" s="110" t="s">
        <v>24</v>
      </c>
      <c r="E537" s="110" t="s">
        <v>112</v>
      </c>
      <c r="G537" s="136">
        <v>2.0</v>
      </c>
      <c r="H537" s="136" t="s">
        <v>95</v>
      </c>
      <c r="I537" s="137">
        <v>30000.0</v>
      </c>
      <c r="J537" s="46">
        <f t="shared" si="576"/>
        <v>60000</v>
      </c>
      <c r="K537" s="46"/>
      <c r="L537" s="116">
        <f t="shared" si="362"/>
        <v>0</v>
      </c>
      <c r="M537" s="106"/>
      <c r="N537" s="105"/>
      <c r="O537" s="46">
        <f t="shared" si="577"/>
        <v>60000</v>
      </c>
      <c r="P537" s="46">
        <f t="shared" si="578"/>
        <v>60000</v>
      </c>
      <c r="Q537" s="46">
        <v>60000.0</v>
      </c>
      <c r="R537" s="101"/>
      <c r="S537" s="101"/>
      <c r="T537" s="99"/>
      <c r="U537" s="99"/>
      <c r="V537" s="99"/>
      <c r="W537" s="99"/>
      <c r="X537" s="99"/>
      <c r="Y537" s="99"/>
      <c r="Z537" s="99"/>
      <c r="AA537" s="99"/>
      <c r="AB537" s="99"/>
      <c r="AC537" s="99"/>
      <c r="AD537" s="99"/>
      <c r="AE537" s="99"/>
      <c r="AF537" s="99"/>
      <c r="AG537" s="99"/>
      <c r="AH537" s="99"/>
      <c r="AI537" s="99"/>
      <c r="AJ537" s="99"/>
      <c r="AK537" s="99"/>
      <c r="AL537" s="99"/>
      <c r="AM537" s="99"/>
    </row>
    <row r="538" ht="12.75" customHeight="1">
      <c r="A538" s="144" t="s">
        <v>113</v>
      </c>
      <c r="D538" s="144" t="s">
        <v>114</v>
      </c>
      <c r="G538" s="104"/>
      <c r="H538" s="128"/>
      <c r="I538" s="104"/>
      <c r="J538" s="129">
        <f t="shared" ref="J538:K538" si="579">J539</f>
        <v>410750000</v>
      </c>
      <c r="K538" s="43">
        <f t="shared" si="579"/>
        <v>0</v>
      </c>
      <c r="L538" s="116">
        <f t="shared" si="362"/>
        <v>0</v>
      </c>
      <c r="M538" s="106"/>
      <c r="N538" s="105"/>
      <c r="O538" s="43">
        <f t="shared" ref="O538:P538" si="580">O539</f>
        <v>410750000</v>
      </c>
      <c r="P538" s="43">
        <f t="shared" si="580"/>
        <v>410750000</v>
      </c>
      <c r="Q538" s="43">
        <v>4.1075E8</v>
      </c>
      <c r="R538" s="101"/>
      <c r="S538" s="101"/>
      <c r="T538" s="99"/>
      <c r="U538" s="99"/>
      <c r="V538" s="99"/>
      <c r="W538" s="99"/>
      <c r="X538" s="99"/>
      <c r="Y538" s="99"/>
      <c r="Z538" s="99"/>
      <c r="AA538" s="99"/>
      <c r="AB538" s="99"/>
      <c r="AC538" s="99"/>
      <c r="AD538" s="99"/>
      <c r="AE538" s="99"/>
      <c r="AF538" s="99"/>
      <c r="AG538" s="99"/>
      <c r="AH538" s="99"/>
      <c r="AI538" s="99"/>
      <c r="AJ538" s="99"/>
      <c r="AK538" s="99"/>
      <c r="AL538" s="99"/>
      <c r="AM538" s="99"/>
    </row>
    <row r="539" ht="12.75" customHeight="1">
      <c r="A539" s="110" t="s">
        <v>68</v>
      </c>
      <c r="D539" s="145" t="s">
        <v>69</v>
      </c>
      <c r="G539" s="104"/>
      <c r="H539" s="133"/>
      <c r="I539" s="104"/>
      <c r="J539" s="134">
        <f t="shared" ref="J539:K539" si="581">SUM(J541:J551)</f>
        <v>410750000</v>
      </c>
      <c r="K539" s="46">
        <f t="shared" si="581"/>
        <v>0</v>
      </c>
      <c r="L539" s="116">
        <f t="shared" si="362"/>
        <v>0</v>
      </c>
      <c r="M539" s="106"/>
      <c r="N539" s="105"/>
      <c r="O539" s="46">
        <f t="shared" ref="O539:P539" si="582">SUM(O541:O551)</f>
        <v>410750000</v>
      </c>
      <c r="P539" s="46">
        <f t="shared" si="582"/>
        <v>410750000</v>
      </c>
      <c r="Q539" s="46">
        <v>4.1075E8</v>
      </c>
      <c r="R539" s="101"/>
      <c r="S539" s="101"/>
      <c r="T539" s="99"/>
      <c r="U539" s="99"/>
      <c r="V539" s="99"/>
      <c r="W539" s="99"/>
      <c r="X539" s="99"/>
      <c r="Y539" s="99"/>
      <c r="Z539" s="99"/>
      <c r="AA539" s="99"/>
      <c r="AB539" s="99"/>
      <c r="AC539" s="99"/>
      <c r="AD539" s="99"/>
      <c r="AE539" s="99"/>
      <c r="AF539" s="99"/>
      <c r="AG539" s="99"/>
      <c r="AH539" s="99"/>
      <c r="AI539" s="99"/>
      <c r="AJ539" s="99"/>
      <c r="AK539" s="99"/>
      <c r="AL539" s="99"/>
      <c r="AM539" s="99"/>
    </row>
    <row r="540" ht="12.75" customHeight="1">
      <c r="A540" s="104"/>
      <c r="B540" s="104"/>
      <c r="C540" s="104"/>
      <c r="D540" s="110" t="s">
        <v>23</v>
      </c>
      <c r="G540" s="104"/>
      <c r="H540" s="104"/>
      <c r="I540" s="104"/>
      <c r="J540" s="111"/>
      <c r="K540" s="111"/>
      <c r="L540" s="116" t="str">
        <f t="shared" si="362"/>
        <v>#DIV/0!</v>
      </c>
      <c r="M540" s="106"/>
      <c r="N540" s="105"/>
      <c r="O540" s="111"/>
      <c r="P540" s="111"/>
      <c r="Q540" s="111"/>
      <c r="R540" s="101"/>
      <c r="S540" s="101"/>
      <c r="T540" s="99"/>
      <c r="U540" s="99"/>
      <c r="V540" s="99"/>
      <c r="W540" s="99"/>
      <c r="X540" s="99"/>
      <c r="Y540" s="99"/>
      <c r="Z540" s="99"/>
      <c r="AA540" s="99"/>
      <c r="AB540" s="99"/>
      <c r="AC540" s="99"/>
      <c r="AD540" s="99"/>
      <c r="AE540" s="99"/>
      <c r="AF540" s="99"/>
      <c r="AG540" s="99"/>
      <c r="AH540" s="99"/>
      <c r="AI540" s="99"/>
      <c r="AJ540" s="99"/>
      <c r="AK540" s="99"/>
      <c r="AL540" s="99"/>
      <c r="AM540" s="99"/>
    </row>
    <row r="541" ht="12.75" customHeight="1">
      <c r="A541" s="104"/>
      <c r="B541" s="104"/>
      <c r="C541" s="104"/>
      <c r="D541" s="110" t="s">
        <v>24</v>
      </c>
      <c r="E541" s="110" t="s">
        <v>172</v>
      </c>
      <c r="G541" s="136">
        <v>100.0</v>
      </c>
      <c r="H541" s="136" t="s">
        <v>95</v>
      </c>
      <c r="I541" s="137">
        <v>110000.0</v>
      </c>
      <c r="J541" s="46">
        <f t="shared" ref="J541:J551" si="583">G541*I541</f>
        <v>11000000</v>
      </c>
      <c r="K541" s="46"/>
      <c r="L541" s="116">
        <f t="shared" si="362"/>
        <v>0</v>
      </c>
      <c r="M541" s="106"/>
      <c r="N541" s="105"/>
      <c r="O541" s="46">
        <f t="shared" ref="O541:O551" si="584">J541-K541</f>
        <v>11000000</v>
      </c>
      <c r="P541" s="46">
        <f t="shared" ref="P541:P551" si="585">J541-M541</f>
        <v>11000000</v>
      </c>
      <c r="Q541" s="46">
        <v>1.1E7</v>
      </c>
      <c r="R541" s="101"/>
      <c r="S541" s="101"/>
      <c r="T541" s="99"/>
      <c r="U541" s="99"/>
      <c r="V541" s="99"/>
      <c r="W541" s="99"/>
      <c r="X541" s="99"/>
      <c r="Y541" s="99"/>
      <c r="Z541" s="99"/>
      <c r="AA541" s="99"/>
      <c r="AB541" s="99"/>
      <c r="AC541" s="99"/>
      <c r="AD541" s="99"/>
      <c r="AE541" s="99"/>
      <c r="AF541" s="99"/>
      <c r="AG541" s="99"/>
      <c r="AH541" s="99"/>
      <c r="AI541" s="99"/>
      <c r="AJ541" s="99"/>
      <c r="AK541" s="99"/>
      <c r="AL541" s="99"/>
      <c r="AM541" s="99"/>
    </row>
    <row r="542" ht="12.75" customHeight="1">
      <c r="A542" s="104"/>
      <c r="B542" s="104"/>
      <c r="C542" s="104"/>
      <c r="D542" s="110" t="s">
        <v>24</v>
      </c>
      <c r="E542" s="110" t="s">
        <v>173</v>
      </c>
      <c r="G542" s="136">
        <v>100.0</v>
      </c>
      <c r="H542" s="136" t="s">
        <v>95</v>
      </c>
      <c r="I542" s="137">
        <v>120000.0</v>
      </c>
      <c r="J542" s="46">
        <f t="shared" si="583"/>
        <v>12000000</v>
      </c>
      <c r="K542" s="46"/>
      <c r="L542" s="116">
        <f t="shared" si="362"/>
        <v>0</v>
      </c>
      <c r="M542" s="106"/>
      <c r="N542" s="105"/>
      <c r="O542" s="46">
        <f t="shared" si="584"/>
        <v>12000000</v>
      </c>
      <c r="P542" s="46">
        <f t="shared" si="585"/>
        <v>12000000</v>
      </c>
      <c r="Q542" s="46">
        <v>1.2E7</v>
      </c>
      <c r="R542" s="101"/>
      <c r="S542" s="101"/>
      <c r="T542" s="99"/>
      <c r="U542" s="99"/>
      <c r="V542" s="99"/>
      <c r="W542" s="99"/>
      <c r="X542" s="99"/>
      <c r="Y542" s="99"/>
      <c r="Z542" s="99"/>
      <c r="AA542" s="99"/>
      <c r="AB542" s="99"/>
      <c r="AC542" s="99"/>
      <c r="AD542" s="99"/>
      <c r="AE542" s="99"/>
      <c r="AF542" s="99"/>
      <c r="AG542" s="99"/>
      <c r="AH542" s="99"/>
      <c r="AI542" s="99"/>
      <c r="AJ542" s="99"/>
      <c r="AK542" s="99"/>
      <c r="AL542" s="99"/>
      <c r="AM542" s="99"/>
    </row>
    <row r="543" ht="12.75" customHeight="1">
      <c r="A543" s="104"/>
      <c r="B543" s="104"/>
      <c r="C543" s="104"/>
      <c r="D543" s="110" t="s">
        <v>24</v>
      </c>
      <c r="E543" s="110" t="s">
        <v>174</v>
      </c>
      <c r="G543" s="136">
        <v>100.0</v>
      </c>
      <c r="H543" s="136" t="s">
        <v>95</v>
      </c>
      <c r="I543" s="137">
        <v>150000.0</v>
      </c>
      <c r="J543" s="46">
        <f t="shared" si="583"/>
        <v>15000000</v>
      </c>
      <c r="K543" s="46"/>
      <c r="L543" s="116">
        <f t="shared" si="362"/>
        <v>0</v>
      </c>
      <c r="M543" s="106"/>
      <c r="N543" s="105"/>
      <c r="O543" s="46">
        <f t="shared" si="584"/>
        <v>15000000</v>
      </c>
      <c r="P543" s="46">
        <f t="shared" si="585"/>
        <v>15000000</v>
      </c>
      <c r="Q543" s="46">
        <v>1.5E7</v>
      </c>
      <c r="R543" s="101"/>
      <c r="S543" s="101"/>
      <c r="T543" s="99"/>
      <c r="U543" s="99"/>
      <c r="V543" s="99"/>
      <c r="W543" s="99"/>
      <c r="X543" s="99"/>
      <c r="Y543" s="99"/>
      <c r="Z543" s="99"/>
      <c r="AA543" s="99"/>
      <c r="AB543" s="99"/>
      <c r="AC543" s="99"/>
      <c r="AD543" s="99"/>
      <c r="AE543" s="99"/>
      <c r="AF543" s="99"/>
      <c r="AG543" s="99"/>
      <c r="AH543" s="99"/>
      <c r="AI543" s="99"/>
      <c r="AJ543" s="99"/>
      <c r="AK543" s="99"/>
      <c r="AL543" s="99"/>
      <c r="AM543" s="99"/>
    </row>
    <row r="544" ht="12.75" customHeight="1">
      <c r="A544" s="104"/>
      <c r="B544" s="104"/>
      <c r="C544" s="104"/>
      <c r="D544" s="110" t="s">
        <v>24</v>
      </c>
      <c r="E544" s="110" t="s">
        <v>175</v>
      </c>
      <c r="G544" s="136">
        <v>100.0</v>
      </c>
      <c r="H544" s="136" t="s">
        <v>95</v>
      </c>
      <c r="I544" s="137">
        <v>100000.0</v>
      </c>
      <c r="J544" s="46">
        <f t="shared" si="583"/>
        <v>10000000</v>
      </c>
      <c r="K544" s="46"/>
      <c r="L544" s="116">
        <f t="shared" si="362"/>
        <v>0</v>
      </c>
      <c r="M544" s="106"/>
      <c r="N544" s="105"/>
      <c r="O544" s="46">
        <f t="shared" si="584"/>
        <v>10000000</v>
      </c>
      <c r="P544" s="46">
        <f t="shared" si="585"/>
        <v>10000000</v>
      </c>
      <c r="Q544" s="46">
        <v>1.0E7</v>
      </c>
      <c r="R544" s="101"/>
      <c r="S544" s="101"/>
      <c r="T544" s="99"/>
      <c r="U544" s="99"/>
      <c r="V544" s="99"/>
      <c r="W544" s="99"/>
      <c r="X544" s="99"/>
      <c r="Y544" s="99"/>
      <c r="Z544" s="99"/>
      <c r="AA544" s="99"/>
      <c r="AB544" s="99"/>
      <c r="AC544" s="99"/>
      <c r="AD544" s="99"/>
      <c r="AE544" s="99"/>
      <c r="AF544" s="99"/>
      <c r="AG544" s="99"/>
      <c r="AH544" s="99"/>
      <c r="AI544" s="99"/>
      <c r="AJ544" s="99"/>
      <c r="AK544" s="99"/>
      <c r="AL544" s="99"/>
      <c r="AM544" s="99"/>
    </row>
    <row r="545" ht="12.75" customHeight="1">
      <c r="A545" s="104"/>
      <c r="B545" s="104"/>
      <c r="C545" s="104"/>
      <c r="D545" s="110" t="s">
        <v>24</v>
      </c>
      <c r="E545" s="110" t="s">
        <v>176</v>
      </c>
      <c r="G545" s="136">
        <v>100.0</v>
      </c>
      <c r="H545" s="136" t="s">
        <v>95</v>
      </c>
      <c r="I545" s="137">
        <v>350000.0</v>
      </c>
      <c r="J545" s="46">
        <f t="shared" si="583"/>
        <v>35000000</v>
      </c>
      <c r="K545" s="46"/>
      <c r="L545" s="116">
        <f t="shared" si="362"/>
        <v>0</v>
      </c>
      <c r="M545" s="106"/>
      <c r="N545" s="105"/>
      <c r="O545" s="46">
        <f t="shared" si="584"/>
        <v>35000000</v>
      </c>
      <c r="P545" s="46">
        <f t="shared" si="585"/>
        <v>35000000</v>
      </c>
      <c r="Q545" s="46">
        <v>3.5E7</v>
      </c>
      <c r="R545" s="101"/>
      <c r="S545" s="101"/>
      <c r="T545" s="99"/>
      <c r="U545" s="99"/>
      <c r="V545" s="99"/>
      <c r="W545" s="99"/>
      <c r="X545" s="99"/>
      <c r="Y545" s="99"/>
      <c r="Z545" s="99"/>
      <c r="AA545" s="99"/>
      <c r="AB545" s="99"/>
      <c r="AC545" s="99"/>
      <c r="AD545" s="99"/>
      <c r="AE545" s="99"/>
      <c r="AF545" s="99"/>
      <c r="AG545" s="99"/>
      <c r="AH545" s="99"/>
      <c r="AI545" s="99"/>
      <c r="AJ545" s="99"/>
      <c r="AK545" s="99"/>
      <c r="AL545" s="99"/>
      <c r="AM545" s="99"/>
    </row>
    <row r="546" ht="12.75" customHeight="1">
      <c r="A546" s="104"/>
      <c r="B546" s="104"/>
      <c r="C546" s="104"/>
      <c r="D546" s="110" t="s">
        <v>24</v>
      </c>
      <c r="E546" s="110" t="s">
        <v>177</v>
      </c>
      <c r="G546" s="136">
        <v>50.0</v>
      </c>
      <c r="H546" s="136" t="s">
        <v>95</v>
      </c>
      <c r="I546" s="137">
        <v>175000.0</v>
      </c>
      <c r="J546" s="46">
        <f t="shared" si="583"/>
        <v>8750000</v>
      </c>
      <c r="K546" s="46"/>
      <c r="L546" s="116">
        <f t="shared" si="362"/>
        <v>0</v>
      </c>
      <c r="M546" s="106"/>
      <c r="N546" s="105"/>
      <c r="O546" s="46">
        <f t="shared" si="584"/>
        <v>8750000</v>
      </c>
      <c r="P546" s="46">
        <f t="shared" si="585"/>
        <v>8750000</v>
      </c>
      <c r="Q546" s="46">
        <v>8750000.0</v>
      </c>
      <c r="R546" s="101"/>
      <c r="S546" s="101"/>
      <c r="T546" s="99"/>
      <c r="U546" s="99"/>
      <c r="V546" s="99"/>
      <c r="W546" s="99"/>
      <c r="X546" s="99"/>
      <c r="Y546" s="99"/>
      <c r="Z546" s="99"/>
      <c r="AA546" s="99"/>
      <c r="AB546" s="99"/>
      <c r="AC546" s="99"/>
      <c r="AD546" s="99"/>
      <c r="AE546" s="99"/>
      <c r="AF546" s="99"/>
      <c r="AG546" s="99"/>
      <c r="AH546" s="99"/>
      <c r="AI546" s="99"/>
      <c r="AJ546" s="99"/>
      <c r="AK546" s="99"/>
      <c r="AL546" s="99"/>
      <c r="AM546" s="99"/>
    </row>
    <row r="547" ht="12.75" customHeight="1">
      <c r="A547" s="104"/>
      <c r="B547" s="104"/>
      <c r="C547" s="104"/>
      <c r="D547" s="110" t="s">
        <v>24</v>
      </c>
      <c r="E547" s="110" t="s">
        <v>178</v>
      </c>
      <c r="G547" s="136">
        <v>350.0</v>
      </c>
      <c r="H547" s="136" t="s">
        <v>95</v>
      </c>
      <c r="I547" s="137">
        <v>150000.0</v>
      </c>
      <c r="J547" s="46">
        <f t="shared" si="583"/>
        <v>52500000</v>
      </c>
      <c r="K547" s="46"/>
      <c r="L547" s="116">
        <f t="shared" si="362"/>
        <v>0</v>
      </c>
      <c r="M547" s="106"/>
      <c r="N547" s="105"/>
      <c r="O547" s="46">
        <f t="shared" si="584"/>
        <v>52500000</v>
      </c>
      <c r="P547" s="46">
        <f t="shared" si="585"/>
        <v>52500000</v>
      </c>
      <c r="Q547" s="46">
        <v>5.25E7</v>
      </c>
      <c r="R547" s="101"/>
      <c r="S547" s="101"/>
      <c r="T547" s="99"/>
      <c r="U547" s="99"/>
      <c r="V547" s="99"/>
      <c r="W547" s="99"/>
      <c r="X547" s="99"/>
      <c r="Y547" s="99"/>
      <c r="Z547" s="99"/>
      <c r="AA547" s="99"/>
      <c r="AB547" s="99"/>
      <c r="AC547" s="99"/>
      <c r="AD547" s="99"/>
      <c r="AE547" s="99"/>
      <c r="AF547" s="99"/>
      <c r="AG547" s="99"/>
      <c r="AH547" s="99"/>
      <c r="AI547" s="99"/>
      <c r="AJ547" s="99"/>
      <c r="AK547" s="99"/>
      <c r="AL547" s="99"/>
      <c r="AM547" s="99"/>
    </row>
    <row r="548" ht="12.75" customHeight="1">
      <c r="A548" s="104"/>
      <c r="B548" s="104"/>
      <c r="C548" s="104"/>
      <c r="D548" s="110" t="s">
        <v>24</v>
      </c>
      <c r="E548" s="110" t="s">
        <v>179</v>
      </c>
      <c r="G548" s="136">
        <v>350.0</v>
      </c>
      <c r="H548" s="136" t="s">
        <v>95</v>
      </c>
      <c r="I548" s="137">
        <v>200000.0</v>
      </c>
      <c r="J548" s="46">
        <f t="shared" si="583"/>
        <v>70000000</v>
      </c>
      <c r="K548" s="46"/>
      <c r="L548" s="116">
        <f t="shared" si="362"/>
        <v>0</v>
      </c>
      <c r="M548" s="106"/>
      <c r="N548" s="105"/>
      <c r="O548" s="46">
        <f t="shared" si="584"/>
        <v>70000000</v>
      </c>
      <c r="P548" s="46">
        <f t="shared" si="585"/>
        <v>70000000</v>
      </c>
      <c r="Q548" s="46">
        <v>7.0E7</v>
      </c>
      <c r="R548" s="101"/>
      <c r="S548" s="101"/>
      <c r="T548" s="99"/>
      <c r="U548" s="99"/>
      <c r="V548" s="99"/>
      <c r="W548" s="99"/>
      <c r="X548" s="99"/>
      <c r="Y548" s="99"/>
      <c r="Z548" s="99"/>
      <c r="AA548" s="99"/>
      <c r="AB548" s="99"/>
      <c r="AC548" s="99"/>
      <c r="AD548" s="99"/>
      <c r="AE548" s="99"/>
      <c r="AF548" s="99"/>
      <c r="AG548" s="99"/>
      <c r="AH548" s="99"/>
      <c r="AI548" s="99"/>
      <c r="AJ548" s="99"/>
      <c r="AK548" s="99"/>
      <c r="AL548" s="99"/>
      <c r="AM548" s="99"/>
    </row>
    <row r="549" ht="15.75" customHeight="1">
      <c r="A549" s="104"/>
      <c r="B549" s="104"/>
      <c r="C549" s="104"/>
      <c r="D549" s="110" t="s">
        <v>24</v>
      </c>
      <c r="E549" s="110" t="s">
        <v>180</v>
      </c>
      <c r="G549" s="136">
        <v>600.0</v>
      </c>
      <c r="H549" s="136" t="s">
        <v>95</v>
      </c>
      <c r="I549" s="137">
        <v>250000.0</v>
      </c>
      <c r="J549" s="46">
        <f t="shared" si="583"/>
        <v>150000000</v>
      </c>
      <c r="K549" s="46"/>
      <c r="L549" s="116">
        <f t="shared" si="362"/>
        <v>0</v>
      </c>
      <c r="M549" s="106"/>
      <c r="N549" s="105"/>
      <c r="O549" s="46">
        <f t="shared" si="584"/>
        <v>150000000</v>
      </c>
      <c r="P549" s="46">
        <f t="shared" si="585"/>
        <v>150000000</v>
      </c>
      <c r="Q549" s="46">
        <v>1.5E8</v>
      </c>
      <c r="R549" s="101"/>
      <c r="S549" s="101"/>
      <c r="T549" s="99"/>
      <c r="U549" s="99"/>
      <c r="V549" s="99"/>
      <c r="W549" s="99"/>
      <c r="X549" s="99"/>
      <c r="Y549" s="99"/>
      <c r="Z549" s="99"/>
      <c r="AA549" s="99"/>
      <c r="AB549" s="99"/>
      <c r="AC549" s="99"/>
      <c r="AD549" s="99"/>
      <c r="AE549" s="99"/>
      <c r="AF549" s="99"/>
      <c r="AG549" s="99"/>
      <c r="AH549" s="99"/>
      <c r="AI549" s="99"/>
      <c r="AJ549" s="99"/>
      <c r="AK549" s="99"/>
      <c r="AL549" s="99"/>
      <c r="AM549" s="99"/>
    </row>
    <row r="550" ht="12.75" customHeight="1">
      <c r="A550" s="104"/>
      <c r="B550" s="104"/>
      <c r="C550" s="104"/>
      <c r="D550" s="110" t="s">
        <v>24</v>
      </c>
      <c r="E550" s="110" t="s">
        <v>181</v>
      </c>
      <c r="G550" s="136">
        <v>360.0</v>
      </c>
      <c r="H550" s="136" t="s">
        <v>95</v>
      </c>
      <c r="I550" s="137">
        <v>100000.0</v>
      </c>
      <c r="J550" s="46">
        <f t="shared" si="583"/>
        <v>36000000</v>
      </c>
      <c r="K550" s="46"/>
      <c r="L550" s="116">
        <f t="shared" si="362"/>
        <v>0</v>
      </c>
      <c r="M550" s="106"/>
      <c r="N550" s="105"/>
      <c r="O550" s="46">
        <f t="shared" si="584"/>
        <v>36000000</v>
      </c>
      <c r="P550" s="46">
        <f t="shared" si="585"/>
        <v>36000000</v>
      </c>
      <c r="Q550" s="46">
        <v>3.6E7</v>
      </c>
      <c r="R550" s="101"/>
      <c r="S550" s="101"/>
      <c r="T550" s="99"/>
      <c r="U550" s="99"/>
      <c r="V550" s="99"/>
      <c r="W550" s="99"/>
      <c r="X550" s="99"/>
      <c r="Y550" s="99"/>
      <c r="Z550" s="99"/>
      <c r="AA550" s="99"/>
      <c r="AB550" s="99"/>
      <c r="AC550" s="99"/>
      <c r="AD550" s="99"/>
      <c r="AE550" s="99"/>
      <c r="AF550" s="99"/>
      <c r="AG550" s="99"/>
      <c r="AH550" s="99"/>
      <c r="AI550" s="99"/>
      <c r="AJ550" s="99"/>
      <c r="AK550" s="99"/>
      <c r="AL550" s="99"/>
      <c r="AM550" s="99"/>
    </row>
    <row r="551" ht="12.75" customHeight="1">
      <c r="A551" s="104"/>
      <c r="B551" s="104"/>
      <c r="C551" s="104"/>
      <c r="D551" s="110" t="s">
        <v>24</v>
      </c>
      <c r="E551" s="110" t="s">
        <v>182</v>
      </c>
      <c r="G551" s="136">
        <v>210.0</v>
      </c>
      <c r="H551" s="136" t="s">
        <v>95</v>
      </c>
      <c r="I551" s="137">
        <v>50000.0</v>
      </c>
      <c r="J551" s="46">
        <f t="shared" si="583"/>
        <v>10500000</v>
      </c>
      <c r="K551" s="46"/>
      <c r="L551" s="116">
        <f t="shared" si="362"/>
        <v>0</v>
      </c>
      <c r="M551" s="106"/>
      <c r="N551" s="105"/>
      <c r="O551" s="46">
        <f t="shared" si="584"/>
        <v>10500000</v>
      </c>
      <c r="P551" s="46">
        <f t="shared" si="585"/>
        <v>10500000</v>
      </c>
      <c r="Q551" s="46">
        <v>1.05E7</v>
      </c>
      <c r="R551" s="101"/>
      <c r="S551" s="101"/>
      <c r="T551" s="99"/>
      <c r="U551" s="99"/>
      <c r="V551" s="99"/>
      <c r="W551" s="99"/>
      <c r="X551" s="99"/>
      <c r="Y551" s="99"/>
      <c r="Z551" s="99"/>
      <c r="AA551" s="99"/>
      <c r="AB551" s="99"/>
      <c r="AC551" s="99"/>
      <c r="AD551" s="99"/>
      <c r="AE551" s="99"/>
      <c r="AF551" s="99"/>
      <c r="AG551" s="99"/>
      <c r="AH551" s="99"/>
      <c r="AI551" s="99"/>
      <c r="AJ551" s="99"/>
      <c r="AK551" s="99"/>
      <c r="AL551" s="99"/>
      <c r="AM551" s="99"/>
    </row>
    <row r="552" ht="12.75" customHeight="1">
      <c r="A552" s="144" t="s">
        <v>126</v>
      </c>
      <c r="D552" s="144" t="s">
        <v>127</v>
      </c>
      <c r="G552" s="104"/>
      <c r="H552" s="128"/>
      <c r="I552" s="104"/>
      <c r="J552" s="129">
        <f t="shared" ref="J552:K552" si="586">J553</f>
        <v>190740000</v>
      </c>
      <c r="K552" s="43">
        <f t="shared" si="586"/>
        <v>0</v>
      </c>
      <c r="L552" s="116">
        <f t="shared" si="362"/>
        <v>0</v>
      </c>
      <c r="M552" s="106"/>
      <c r="N552" s="105"/>
      <c r="O552" s="43">
        <f t="shared" ref="O552:P552" si="587">O553</f>
        <v>190740000</v>
      </c>
      <c r="P552" s="43">
        <f t="shared" si="587"/>
        <v>190740000</v>
      </c>
      <c r="Q552" s="43">
        <v>1.9074E8</v>
      </c>
      <c r="R552" s="101"/>
      <c r="S552" s="101"/>
      <c r="T552" s="99"/>
      <c r="U552" s="99"/>
      <c r="V552" s="99"/>
      <c r="W552" s="99"/>
      <c r="X552" s="99"/>
      <c r="Y552" s="99"/>
      <c r="Z552" s="99"/>
      <c r="AA552" s="99"/>
      <c r="AB552" s="99"/>
      <c r="AC552" s="99"/>
      <c r="AD552" s="99"/>
      <c r="AE552" s="99"/>
      <c r="AF552" s="99"/>
      <c r="AG552" s="99"/>
      <c r="AH552" s="99"/>
      <c r="AI552" s="99"/>
      <c r="AJ552" s="99"/>
      <c r="AK552" s="99"/>
      <c r="AL552" s="99"/>
      <c r="AM552" s="99"/>
    </row>
    <row r="553" ht="12.75" customHeight="1">
      <c r="A553" s="110" t="s">
        <v>68</v>
      </c>
      <c r="D553" s="145" t="s">
        <v>69</v>
      </c>
      <c r="G553" s="104"/>
      <c r="H553" s="133"/>
      <c r="I553" s="104"/>
      <c r="J553" s="134">
        <f t="shared" ref="J553:K553" si="588">SUM(J555:J559)</f>
        <v>190740000</v>
      </c>
      <c r="K553" s="46">
        <f t="shared" si="588"/>
        <v>0</v>
      </c>
      <c r="L553" s="116">
        <f t="shared" si="362"/>
        <v>0</v>
      </c>
      <c r="M553" s="106"/>
      <c r="N553" s="105"/>
      <c r="O553" s="46">
        <f t="shared" ref="O553:P553" si="589">SUM(O555:O559)</f>
        <v>190740000</v>
      </c>
      <c r="P553" s="46">
        <f t="shared" si="589"/>
        <v>190740000</v>
      </c>
      <c r="Q553" s="46">
        <v>1.9074E8</v>
      </c>
      <c r="R553" s="101"/>
      <c r="S553" s="101"/>
      <c r="T553" s="99"/>
      <c r="U553" s="99"/>
      <c r="V553" s="99"/>
      <c r="W553" s="99"/>
      <c r="X553" s="99"/>
      <c r="Y553" s="99"/>
      <c r="Z553" s="99"/>
      <c r="AA553" s="99"/>
      <c r="AB553" s="99"/>
      <c r="AC553" s="99"/>
      <c r="AD553" s="99"/>
      <c r="AE553" s="99"/>
      <c r="AF553" s="99"/>
      <c r="AG553" s="99"/>
      <c r="AH553" s="99"/>
      <c r="AI553" s="99"/>
      <c r="AJ553" s="99"/>
      <c r="AK553" s="99"/>
      <c r="AL553" s="99"/>
      <c r="AM553" s="99"/>
    </row>
    <row r="554" ht="12.75" customHeight="1">
      <c r="A554" s="104"/>
      <c r="B554" s="104"/>
      <c r="C554" s="104"/>
      <c r="D554" s="110" t="s">
        <v>23</v>
      </c>
      <c r="G554" s="104"/>
      <c r="H554" s="104"/>
      <c r="I554" s="104"/>
      <c r="J554" s="111"/>
      <c r="K554" s="111"/>
      <c r="L554" s="116" t="str">
        <f t="shared" si="362"/>
        <v>#DIV/0!</v>
      </c>
      <c r="M554" s="106"/>
      <c r="N554" s="105"/>
      <c r="O554" s="111"/>
      <c r="P554" s="111"/>
      <c r="Q554" s="111"/>
      <c r="R554" s="101"/>
      <c r="S554" s="101"/>
      <c r="T554" s="99"/>
      <c r="U554" s="99"/>
      <c r="V554" s="99"/>
      <c r="W554" s="99"/>
      <c r="X554" s="99"/>
      <c r="Y554" s="99"/>
      <c r="Z554" s="99"/>
      <c r="AA554" s="99"/>
      <c r="AB554" s="99"/>
      <c r="AC554" s="99"/>
      <c r="AD554" s="99"/>
      <c r="AE554" s="99"/>
      <c r="AF554" s="99"/>
      <c r="AG554" s="99"/>
      <c r="AH554" s="99"/>
      <c r="AI554" s="99"/>
      <c r="AJ554" s="99"/>
      <c r="AK554" s="99"/>
      <c r="AL554" s="99"/>
      <c r="AM554" s="99"/>
    </row>
    <row r="555" ht="12.75" customHeight="1">
      <c r="A555" s="104"/>
      <c r="B555" s="104"/>
      <c r="C555" s="104"/>
      <c r="D555" s="110" t="s">
        <v>24</v>
      </c>
      <c r="E555" s="110" t="s">
        <v>128</v>
      </c>
      <c r="G555" s="136">
        <v>88.0</v>
      </c>
      <c r="H555" s="136" t="s">
        <v>233</v>
      </c>
      <c r="I555" s="137">
        <v>110000.0</v>
      </c>
      <c r="J555" s="46">
        <f t="shared" ref="J555:J559" si="590">G555*I555</f>
        <v>9680000</v>
      </c>
      <c r="K555" s="46"/>
      <c r="L555" s="116">
        <f t="shared" si="362"/>
        <v>0</v>
      </c>
      <c r="M555" s="106"/>
      <c r="N555" s="105"/>
      <c r="O555" s="46">
        <f t="shared" ref="O555:O559" si="591">J555-K555</f>
        <v>9680000</v>
      </c>
      <c r="P555" s="46">
        <f t="shared" ref="P555:P559" si="592">J555-M555</f>
        <v>9680000</v>
      </c>
      <c r="Q555" s="46">
        <v>9680000.0</v>
      </c>
      <c r="R555" s="101"/>
      <c r="S555" s="101"/>
      <c r="T555" s="99"/>
      <c r="U555" s="99"/>
      <c r="V555" s="99"/>
      <c r="W555" s="99"/>
      <c r="X555" s="99"/>
      <c r="Y555" s="99"/>
      <c r="Z555" s="99"/>
      <c r="AA555" s="99"/>
      <c r="AB555" s="99"/>
      <c r="AC555" s="99"/>
      <c r="AD555" s="99"/>
      <c r="AE555" s="99"/>
      <c r="AF555" s="99"/>
      <c r="AG555" s="99"/>
      <c r="AH555" s="99"/>
      <c r="AI555" s="99"/>
      <c r="AJ555" s="99"/>
      <c r="AK555" s="99"/>
      <c r="AL555" s="99"/>
      <c r="AM555" s="99"/>
    </row>
    <row r="556" ht="12.75" customHeight="1">
      <c r="A556" s="104"/>
      <c r="B556" s="104"/>
      <c r="C556" s="104"/>
      <c r="D556" s="110" t="s">
        <v>24</v>
      </c>
      <c r="E556" s="110" t="s">
        <v>130</v>
      </c>
      <c r="G556" s="136">
        <v>88.0</v>
      </c>
      <c r="H556" s="136" t="s">
        <v>233</v>
      </c>
      <c r="I556" s="137">
        <v>120000.0</v>
      </c>
      <c r="J556" s="46">
        <f t="shared" si="590"/>
        <v>10560000</v>
      </c>
      <c r="K556" s="46"/>
      <c r="L556" s="116">
        <f t="shared" si="362"/>
        <v>0</v>
      </c>
      <c r="M556" s="106"/>
      <c r="N556" s="105"/>
      <c r="O556" s="46">
        <f t="shared" si="591"/>
        <v>10560000</v>
      </c>
      <c r="P556" s="46">
        <f t="shared" si="592"/>
        <v>10560000</v>
      </c>
      <c r="Q556" s="46">
        <v>1.056E7</v>
      </c>
      <c r="R556" s="101"/>
      <c r="S556" s="101"/>
      <c r="T556" s="99"/>
      <c r="U556" s="99"/>
      <c r="V556" s="99"/>
      <c r="W556" s="99"/>
      <c r="X556" s="99"/>
      <c r="Y556" s="99"/>
      <c r="Z556" s="99"/>
      <c r="AA556" s="99"/>
      <c r="AB556" s="99"/>
      <c r="AC556" s="99"/>
      <c r="AD556" s="99"/>
      <c r="AE556" s="99"/>
      <c r="AF556" s="99"/>
      <c r="AG556" s="99"/>
      <c r="AH556" s="99"/>
      <c r="AI556" s="99"/>
      <c r="AJ556" s="99"/>
      <c r="AK556" s="99"/>
      <c r="AL556" s="99"/>
      <c r="AM556" s="99"/>
    </row>
    <row r="557" ht="12.75" customHeight="1">
      <c r="A557" s="104"/>
      <c r="B557" s="104"/>
      <c r="C557" s="104"/>
      <c r="D557" s="110" t="s">
        <v>24</v>
      </c>
      <c r="E557" s="110" t="s">
        <v>131</v>
      </c>
      <c r="G557" s="136">
        <v>88.0</v>
      </c>
      <c r="H557" s="136" t="s">
        <v>233</v>
      </c>
      <c r="I557" s="137">
        <v>350000.0</v>
      </c>
      <c r="J557" s="46">
        <f t="shared" si="590"/>
        <v>30800000</v>
      </c>
      <c r="K557" s="46"/>
      <c r="L557" s="116">
        <f t="shared" si="362"/>
        <v>0</v>
      </c>
      <c r="M557" s="106"/>
      <c r="N557" s="105"/>
      <c r="O557" s="46">
        <f t="shared" si="591"/>
        <v>30800000</v>
      </c>
      <c r="P557" s="46">
        <f t="shared" si="592"/>
        <v>30800000</v>
      </c>
      <c r="Q557" s="46">
        <v>3.08E7</v>
      </c>
      <c r="R557" s="101"/>
      <c r="S557" s="101"/>
      <c r="T557" s="99"/>
      <c r="U557" s="99"/>
      <c r="V557" s="99"/>
      <c r="W557" s="99"/>
      <c r="X557" s="99"/>
      <c r="Y557" s="99"/>
      <c r="Z557" s="99"/>
      <c r="AA557" s="99"/>
      <c r="AB557" s="99"/>
      <c r="AC557" s="99"/>
      <c r="AD557" s="99"/>
      <c r="AE557" s="99"/>
      <c r="AF557" s="99"/>
      <c r="AG557" s="99"/>
      <c r="AH557" s="99"/>
      <c r="AI557" s="99"/>
      <c r="AJ557" s="99"/>
      <c r="AK557" s="99"/>
      <c r="AL557" s="99"/>
      <c r="AM557" s="99"/>
    </row>
    <row r="558" ht="12.75" customHeight="1">
      <c r="A558" s="104"/>
      <c r="B558" s="104"/>
      <c r="C558" s="104"/>
      <c r="D558" s="110" t="s">
        <v>24</v>
      </c>
      <c r="E558" s="110" t="s">
        <v>132</v>
      </c>
      <c r="G558" s="136">
        <v>44.0</v>
      </c>
      <c r="H558" s="136" t="s">
        <v>233</v>
      </c>
      <c r="I558" s="137">
        <v>175000.0</v>
      </c>
      <c r="J558" s="46">
        <f t="shared" si="590"/>
        <v>7700000</v>
      </c>
      <c r="K558" s="46"/>
      <c r="L558" s="116">
        <f t="shared" si="362"/>
        <v>0</v>
      </c>
      <c r="M558" s="106"/>
      <c r="N558" s="105"/>
      <c r="O558" s="46">
        <f t="shared" si="591"/>
        <v>7700000</v>
      </c>
      <c r="P558" s="46">
        <f t="shared" si="592"/>
        <v>7700000</v>
      </c>
      <c r="Q558" s="46">
        <v>7700000.0</v>
      </c>
      <c r="R558" s="101"/>
      <c r="S558" s="101"/>
      <c r="T558" s="99"/>
      <c r="U558" s="99"/>
      <c r="V558" s="99"/>
      <c r="W558" s="99"/>
      <c r="X558" s="99"/>
      <c r="Y558" s="99"/>
      <c r="Z558" s="99"/>
      <c r="AA558" s="99"/>
      <c r="AB558" s="99"/>
      <c r="AC558" s="99"/>
      <c r="AD558" s="99"/>
      <c r="AE558" s="99"/>
      <c r="AF558" s="99"/>
      <c r="AG558" s="99"/>
      <c r="AH558" s="99"/>
      <c r="AI558" s="99"/>
      <c r="AJ558" s="99"/>
      <c r="AK558" s="99"/>
      <c r="AL558" s="99"/>
      <c r="AM558" s="99"/>
    </row>
    <row r="559" ht="15.75" customHeight="1">
      <c r="A559" s="104"/>
      <c r="B559" s="104"/>
      <c r="C559" s="104"/>
      <c r="D559" s="110" t="s">
        <v>24</v>
      </c>
      <c r="E559" s="110" t="s">
        <v>133</v>
      </c>
      <c r="G559" s="136">
        <v>528.0</v>
      </c>
      <c r="H559" s="136" t="s">
        <v>233</v>
      </c>
      <c r="I559" s="137">
        <v>250000.0</v>
      </c>
      <c r="J559" s="46">
        <f t="shared" si="590"/>
        <v>132000000</v>
      </c>
      <c r="K559" s="46"/>
      <c r="L559" s="116">
        <f t="shared" si="362"/>
        <v>0</v>
      </c>
      <c r="M559" s="106"/>
      <c r="N559" s="105"/>
      <c r="O559" s="46">
        <f t="shared" si="591"/>
        <v>132000000</v>
      </c>
      <c r="P559" s="46">
        <f t="shared" si="592"/>
        <v>132000000</v>
      </c>
      <c r="Q559" s="46">
        <v>1.32E8</v>
      </c>
      <c r="R559" s="101"/>
      <c r="S559" s="101"/>
      <c r="T559" s="99"/>
      <c r="U559" s="99"/>
      <c r="V559" s="99"/>
      <c r="W559" s="99"/>
      <c r="X559" s="99"/>
      <c r="Y559" s="99"/>
      <c r="Z559" s="99"/>
      <c r="AA559" s="99"/>
      <c r="AB559" s="99"/>
      <c r="AC559" s="99"/>
      <c r="AD559" s="99"/>
      <c r="AE559" s="99"/>
      <c r="AF559" s="99"/>
      <c r="AG559" s="99"/>
      <c r="AH559" s="99"/>
      <c r="AI559" s="99"/>
      <c r="AJ559" s="99"/>
      <c r="AK559" s="99"/>
      <c r="AL559" s="99"/>
      <c r="AM559" s="99"/>
    </row>
    <row r="560" ht="12.75" customHeight="1">
      <c r="A560" s="144" t="s">
        <v>134</v>
      </c>
      <c r="D560" s="144" t="s">
        <v>135</v>
      </c>
      <c r="G560" s="104"/>
      <c r="H560" s="128"/>
      <c r="I560" s="104"/>
      <c r="J560" s="129">
        <f t="shared" ref="J560:K560" si="593">J561</f>
        <v>20020000</v>
      </c>
      <c r="K560" s="43">
        <f t="shared" si="593"/>
        <v>0</v>
      </c>
      <c r="L560" s="116">
        <f t="shared" si="362"/>
        <v>0</v>
      </c>
      <c r="M560" s="106"/>
      <c r="N560" s="105"/>
      <c r="O560" s="43">
        <f t="shared" ref="O560:P560" si="594">O561</f>
        <v>20020000</v>
      </c>
      <c r="P560" s="43">
        <f t="shared" si="594"/>
        <v>20020000</v>
      </c>
      <c r="Q560" s="43">
        <v>2.002E7</v>
      </c>
      <c r="R560" s="101"/>
      <c r="S560" s="101"/>
      <c r="T560" s="99"/>
      <c r="U560" s="99"/>
      <c r="V560" s="99"/>
      <c r="W560" s="99"/>
      <c r="X560" s="99"/>
      <c r="Y560" s="99"/>
      <c r="Z560" s="99"/>
      <c r="AA560" s="99"/>
      <c r="AB560" s="99"/>
      <c r="AC560" s="99"/>
      <c r="AD560" s="99"/>
      <c r="AE560" s="99"/>
      <c r="AF560" s="99"/>
      <c r="AG560" s="99"/>
      <c r="AH560" s="99"/>
      <c r="AI560" s="99"/>
      <c r="AJ560" s="99"/>
      <c r="AK560" s="99"/>
      <c r="AL560" s="99"/>
      <c r="AM560" s="99"/>
    </row>
    <row r="561" ht="12.75" customHeight="1">
      <c r="A561" s="110" t="s">
        <v>68</v>
      </c>
      <c r="D561" s="145" t="s">
        <v>69</v>
      </c>
      <c r="G561" s="104"/>
      <c r="H561" s="133"/>
      <c r="I561" s="104"/>
      <c r="J561" s="134">
        <f t="shared" ref="J561:K561" si="595">SUM(J563:J567)</f>
        <v>20020000</v>
      </c>
      <c r="K561" s="46">
        <f t="shared" si="595"/>
        <v>0</v>
      </c>
      <c r="L561" s="116">
        <f t="shared" si="362"/>
        <v>0</v>
      </c>
      <c r="M561" s="106"/>
      <c r="N561" s="105"/>
      <c r="O561" s="46">
        <f t="shared" ref="O561:P561" si="596">SUM(O563:O567)</f>
        <v>20020000</v>
      </c>
      <c r="P561" s="46">
        <f t="shared" si="596"/>
        <v>20020000</v>
      </c>
      <c r="Q561" s="46">
        <v>2.002E7</v>
      </c>
      <c r="R561" s="101"/>
      <c r="S561" s="101"/>
      <c r="T561" s="99"/>
      <c r="U561" s="99"/>
      <c r="V561" s="99"/>
      <c r="W561" s="99"/>
      <c r="X561" s="99"/>
      <c r="Y561" s="99"/>
      <c r="Z561" s="99"/>
      <c r="AA561" s="99"/>
      <c r="AB561" s="99"/>
      <c r="AC561" s="99"/>
      <c r="AD561" s="99"/>
      <c r="AE561" s="99"/>
      <c r="AF561" s="99"/>
      <c r="AG561" s="99"/>
      <c r="AH561" s="99"/>
      <c r="AI561" s="99"/>
      <c r="AJ561" s="99"/>
      <c r="AK561" s="99"/>
      <c r="AL561" s="99"/>
      <c r="AM561" s="99"/>
    </row>
    <row r="562" ht="12.75" customHeight="1">
      <c r="A562" s="104"/>
      <c r="B562" s="104"/>
      <c r="C562" s="104"/>
      <c r="D562" s="110" t="s">
        <v>23</v>
      </c>
      <c r="G562" s="104"/>
      <c r="H562" s="104"/>
      <c r="I562" s="104"/>
      <c r="J562" s="111"/>
      <c r="K562" s="111"/>
      <c r="L562" s="116" t="str">
        <f t="shared" si="362"/>
        <v>#DIV/0!</v>
      </c>
      <c r="M562" s="106"/>
      <c r="N562" s="105"/>
      <c r="O562" s="111"/>
      <c r="P562" s="111"/>
      <c r="Q562" s="111"/>
      <c r="R562" s="101"/>
      <c r="S562" s="101"/>
      <c r="T562" s="99"/>
      <c r="U562" s="99"/>
      <c r="V562" s="99"/>
      <c r="W562" s="99"/>
      <c r="X562" s="99"/>
      <c r="Y562" s="99"/>
      <c r="Z562" s="99"/>
      <c r="AA562" s="99"/>
      <c r="AB562" s="99"/>
      <c r="AC562" s="99"/>
      <c r="AD562" s="99"/>
      <c r="AE562" s="99"/>
      <c r="AF562" s="99"/>
      <c r="AG562" s="99"/>
      <c r="AH562" s="99"/>
      <c r="AI562" s="99"/>
      <c r="AJ562" s="99"/>
      <c r="AK562" s="99"/>
      <c r="AL562" s="99"/>
      <c r="AM562" s="99"/>
    </row>
    <row r="563" ht="12.75" customHeight="1">
      <c r="A563" s="104"/>
      <c r="B563" s="104"/>
      <c r="C563" s="104"/>
      <c r="D563" s="110" t="s">
        <v>24</v>
      </c>
      <c r="E563" s="110" t="s">
        <v>183</v>
      </c>
      <c r="G563" s="136">
        <v>150.0</v>
      </c>
      <c r="H563" s="136" t="s">
        <v>95</v>
      </c>
      <c r="I563" s="137">
        <v>75000.0</v>
      </c>
      <c r="J563" s="46">
        <f t="shared" ref="J563:J567" si="597">G563*I563</f>
        <v>11250000</v>
      </c>
      <c r="K563" s="46"/>
      <c r="L563" s="116">
        <f t="shared" si="362"/>
        <v>0</v>
      </c>
      <c r="M563" s="106"/>
      <c r="N563" s="105"/>
      <c r="O563" s="46">
        <f t="shared" ref="O563:O567" si="598">J563-K563</f>
        <v>11250000</v>
      </c>
      <c r="P563" s="46">
        <f t="shared" ref="P563:P567" si="599">J563-M563</f>
        <v>11250000</v>
      </c>
      <c r="Q563" s="46">
        <v>1.125E7</v>
      </c>
      <c r="R563" s="101"/>
      <c r="S563" s="101"/>
      <c r="T563" s="99"/>
      <c r="U563" s="99"/>
      <c r="V563" s="99"/>
      <c r="W563" s="99"/>
      <c r="X563" s="99"/>
      <c r="Y563" s="99"/>
      <c r="Z563" s="99"/>
      <c r="AA563" s="99"/>
      <c r="AB563" s="99"/>
      <c r="AC563" s="99"/>
      <c r="AD563" s="99"/>
      <c r="AE563" s="99"/>
      <c r="AF563" s="99"/>
      <c r="AG563" s="99"/>
      <c r="AH563" s="99"/>
      <c r="AI563" s="99"/>
      <c r="AJ563" s="99"/>
      <c r="AK563" s="99"/>
      <c r="AL563" s="99"/>
      <c r="AM563" s="99"/>
    </row>
    <row r="564" ht="12.75" customHeight="1">
      <c r="A564" s="104"/>
      <c r="B564" s="104"/>
      <c r="C564" s="104"/>
      <c r="D564" s="110" t="s">
        <v>24</v>
      </c>
      <c r="E564" s="110" t="s">
        <v>137</v>
      </c>
      <c r="G564" s="136">
        <v>2.0</v>
      </c>
      <c r="H564" s="136" t="s">
        <v>95</v>
      </c>
      <c r="I564" s="137">
        <v>360000.0</v>
      </c>
      <c r="J564" s="46">
        <f t="shared" si="597"/>
        <v>720000</v>
      </c>
      <c r="K564" s="46"/>
      <c r="L564" s="116">
        <f t="shared" si="362"/>
        <v>0</v>
      </c>
      <c r="M564" s="106"/>
      <c r="N564" s="105"/>
      <c r="O564" s="46">
        <f t="shared" si="598"/>
        <v>720000</v>
      </c>
      <c r="P564" s="46">
        <f t="shared" si="599"/>
        <v>720000</v>
      </c>
      <c r="Q564" s="46">
        <v>720000.0</v>
      </c>
      <c r="R564" s="101"/>
      <c r="S564" s="101"/>
      <c r="T564" s="99"/>
      <c r="U564" s="99"/>
      <c r="V564" s="99"/>
      <c r="W564" s="99"/>
      <c r="X564" s="99"/>
      <c r="Y564" s="99"/>
      <c r="Z564" s="99"/>
      <c r="AA564" s="99"/>
      <c r="AB564" s="99"/>
      <c r="AC564" s="99"/>
      <c r="AD564" s="99"/>
      <c r="AE564" s="99"/>
      <c r="AF564" s="99"/>
      <c r="AG564" s="99"/>
      <c r="AH564" s="99"/>
      <c r="AI564" s="99"/>
      <c r="AJ564" s="99"/>
      <c r="AK564" s="99"/>
      <c r="AL564" s="99"/>
      <c r="AM564" s="99"/>
    </row>
    <row r="565" ht="15.75" customHeight="1">
      <c r="A565" s="104"/>
      <c r="B565" s="104"/>
      <c r="C565" s="104"/>
      <c r="D565" s="110" t="s">
        <v>24</v>
      </c>
      <c r="E565" s="110" t="s">
        <v>184</v>
      </c>
      <c r="G565" s="136">
        <v>50.0</v>
      </c>
      <c r="H565" s="136" t="s">
        <v>95</v>
      </c>
      <c r="I565" s="137">
        <v>93000.0</v>
      </c>
      <c r="J565" s="46">
        <f t="shared" si="597"/>
        <v>4650000</v>
      </c>
      <c r="K565" s="46"/>
      <c r="L565" s="116">
        <f t="shared" si="362"/>
        <v>0</v>
      </c>
      <c r="M565" s="106"/>
      <c r="N565" s="105"/>
      <c r="O565" s="46">
        <f t="shared" si="598"/>
        <v>4650000</v>
      </c>
      <c r="P565" s="46">
        <f t="shared" si="599"/>
        <v>4650000</v>
      </c>
      <c r="Q565" s="46">
        <v>4650000.0</v>
      </c>
      <c r="R565" s="101"/>
      <c r="S565" s="101"/>
      <c r="T565" s="99"/>
      <c r="U565" s="99"/>
      <c r="V565" s="99"/>
      <c r="W565" s="99"/>
      <c r="X565" s="99"/>
      <c r="Y565" s="99"/>
      <c r="Z565" s="99"/>
      <c r="AA565" s="99"/>
      <c r="AB565" s="99"/>
      <c r="AC565" s="99"/>
      <c r="AD565" s="99"/>
      <c r="AE565" s="99"/>
      <c r="AF565" s="99"/>
      <c r="AG565" s="99"/>
      <c r="AH565" s="99"/>
      <c r="AI565" s="99"/>
      <c r="AJ565" s="99"/>
      <c r="AK565" s="99"/>
      <c r="AL565" s="99"/>
      <c r="AM565" s="99"/>
    </row>
    <row r="566" ht="12.75" customHeight="1">
      <c r="A566" s="104"/>
      <c r="B566" s="104"/>
      <c r="C566" s="104"/>
      <c r="D566" s="110" t="s">
        <v>24</v>
      </c>
      <c r="E566" s="110" t="s">
        <v>185</v>
      </c>
      <c r="G566" s="136">
        <v>50.0</v>
      </c>
      <c r="H566" s="136" t="s">
        <v>95</v>
      </c>
      <c r="I566" s="137">
        <v>53000.0</v>
      </c>
      <c r="J566" s="46">
        <f t="shared" si="597"/>
        <v>2650000</v>
      </c>
      <c r="K566" s="46"/>
      <c r="L566" s="116">
        <f t="shared" si="362"/>
        <v>0</v>
      </c>
      <c r="M566" s="106"/>
      <c r="N566" s="105"/>
      <c r="O566" s="46">
        <f t="shared" si="598"/>
        <v>2650000</v>
      </c>
      <c r="P566" s="46">
        <f t="shared" si="599"/>
        <v>2650000</v>
      </c>
      <c r="Q566" s="46">
        <v>2650000.0</v>
      </c>
      <c r="R566" s="101"/>
      <c r="S566" s="101"/>
      <c r="T566" s="99"/>
      <c r="U566" s="99"/>
      <c r="V566" s="99"/>
      <c r="W566" s="99"/>
      <c r="X566" s="99"/>
      <c r="Y566" s="99"/>
      <c r="Z566" s="99"/>
      <c r="AA566" s="99"/>
      <c r="AB566" s="99"/>
      <c r="AC566" s="99"/>
      <c r="AD566" s="99"/>
      <c r="AE566" s="99"/>
      <c r="AF566" s="99"/>
      <c r="AG566" s="99"/>
      <c r="AH566" s="99"/>
      <c r="AI566" s="99"/>
      <c r="AJ566" s="99"/>
      <c r="AK566" s="99"/>
      <c r="AL566" s="99"/>
      <c r="AM566" s="99"/>
    </row>
    <row r="567" ht="12.75" customHeight="1">
      <c r="A567" s="104"/>
      <c r="B567" s="104"/>
      <c r="C567" s="104"/>
      <c r="D567" s="110" t="s">
        <v>24</v>
      </c>
      <c r="E567" s="110" t="s">
        <v>186</v>
      </c>
      <c r="G567" s="136">
        <v>50.0</v>
      </c>
      <c r="H567" s="136" t="s">
        <v>95</v>
      </c>
      <c r="I567" s="137">
        <v>15000.0</v>
      </c>
      <c r="J567" s="46">
        <f t="shared" si="597"/>
        <v>750000</v>
      </c>
      <c r="K567" s="46"/>
      <c r="L567" s="116">
        <f t="shared" si="362"/>
        <v>0</v>
      </c>
      <c r="M567" s="106"/>
      <c r="N567" s="105"/>
      <c r="O567" s="46">
        <f t="shared" si="598"/>
        <v>750000</v>
      </c>
      <c r="P567" s="46">
        <f t="shared" si="599"/>
        <v>750000</v>
      </c>
      <c r="Q567" s="46">
        <v>750000.0</v>
      </c>
      <c r="R567" s="101"/>
      <c r="S567" s="101"/>
      <c r="T567" s="99"/>
      <c r="U567" s="99"/>
      <c r="V567" s="99"/>
      <c r="W567" s="99"/>
      <c r="X567" s="99"/>
      <c r="Y567" s="99"/>
      <c r="Z567" s="99"/>
      <c r="AA567" s="99"/>
      <c r="AB567" s="99"/>
      <c r="AC567" s="99"/>
      <c r="AD567" s="99"/>
      <c r="AE567" s="99"/>
      <c r="AF567" s="99"/>
      <c r="AG567" s="99"/>
      <c r="AH567" s="99"/>
      <c r="AI567" s="99"/>
      <c r="AJ567" s="99"/>
      <c r="AK567" s="99"/>
      <c r="AL567" s="99"/>
      <c r="AM567" s="99"/>
    </row>
    <row r="568" ht="12.75" customHeight="1">
      <c r="A568" s="144" t="s">
        <v>141</v>
      </c>
      <c r="D568" s="144" t="s">
        <v>142</v>
      </c>
      <c r="G568" s="104"/>
      <c r="H568" s="128"/>
      <c r="I568" s="104"/>
      <c r="J568" s="129">
        <f t="shared" ref="J568:K568" si="600">J569</f>
        <v>145500000</v>
      </c>
      <c r="K568" s="43">
        <f t="shared" si="600"/>
        <v>0</v>
      </c>
      <c r="L568" s="116">
        <f t="shared" si="362"/>
        <v>0</v>
      </c>
      <c r="M568" s="106"/>
      <c r="N568" s="105"/>
      <c r="O568" s="43">
        <f t="shared" ref="O568:P568" si="601">O569</f>
        <v>145500000</v>
      </c>
      <c r="P568" s="43">
        <f t="shared" si="601"/>
        <v>145500000</v>
      </c>
      <c r="Q568" s="43">
        <v>1.455E8</v>
      </c>
      <c r="R568" s="101"/>
      <c r="S568" s="101"/>
      <c r="T568" s="99"/>
      <c r="U568" s="99"/>
      <c r="V568" s="99"/>
      <c r="W568" s="99"/>
      <c r="X568" s="99"/>
      <c r="Y568" s="99"/>
      <c r="Z568" s="99"/>
      <c r="AA568" s="99"/>
      <c r="AB568" s="99"/>
      <c r="AC568" s="99"/>
      <c r="AD568" s="99"/>
      <c r="AE568" s="99"/>
      <c r="AF568" s="99"/>
      <c r="AG568" s="99"/>
      <c r="AH568" s="99"/>
      <c r="AI568" s="99"/>
      <c r="AJ568" s="99"/>
      <c r="AK568" s="99"/>
      <c r="AL568" s="99"/>
      <c r="AM568" s="99"/>
    </row>
    <row r="569" ht="12.75" customHeight="1">
      <c r="A569" s="110" t="s">
        <v>68</v>
      </c>
      <c r="D569" s="145" t="s">
        <v>69</v>
      </c>
      <c r="G569" s="104"/>
      <c r="H569" s="133"/>
      <c r="I569" s="104"/>
      <c r="J569" s="134">
        <f t="shared" ref="J569:K569" si="602">SUM(J571:J573)</f>
        <v>145500000</v>
      </c>
      <c r="K569" s="46">
        <f t="shared" si="602"/>
        <v>0</v>
      </c>
      <c r="L569" s="116">
        <f t="shared" si="362"/>
        <v>0</v>
      </c>
      <c r="M569" s="106"/>
      <c r="N569" s="105"/>
      <c r="O569" s="46">
        <f t="shared" ref="O569:P569" si="603">SUM(O571:O573)</f>
        <v>145500000</v>
      </c>
      <c r="P569" s="46">
        <f t="shared" si="603"/>
        <v>145500000</v>
      </c>
      <c r="Q569" s="46">
        <v>1.455E8</v>
      </c>
      <c r="R569" s="101"/>
      <c r="S569" s="101"/>
      <c r="T569" s="99"/>
      <c r="U569" s="99"/>
      <c r="V569" s="99"/>
      <c r="W569" s="99"/>
      <c r="X569" s="99"/>
      <c r="Y569" s="99"/>
      <c r="Z569" s="99"/>
      <c r="AA569" s="99"/>
      <c r="AB569" s="99"/>
      <c r="AC569" s="99"/>
      <c r="AD569" s="99"/>
      <c r="AE569" s="99"/>
      <c r="AF569" s="99"/>
      <c r="AG569" s="99"/>
      <c r="AH569" s="99"/>
      <c r="AI569" s="99"/>
      <c r="AJ569" s="99"/>
      <c r="AK569" s="99"/>
      <c r="AL569" s="99"/>
      <c r="AM569" s="99"/>
    </row>
    <row r="570" ht="12.75" customHeight="1">
      <c r="A570" s="104"/>
      <c r="B570" s="104"/>
      <c r="C570" s="104"/>
      <c r="D570" s="110" t="s">
        <v>23</v>
      </c>
      <c r="G570" s="104"/>
      <c r="H570" s="104"/>
      <c r="I570" s="104"/>
      <c r="J570" s="111"/>
      <c r="K570" s="111"/>
      <c r="L570" s="116" t="str">
        <f t="shared" si="362"/>
        <v>#DIV/0!</v>
      </c>
      <c r="M570" s="106"/>
      <c r="N570" s="105"/>
      <c r="O570" s="111"/>
      <c r="P570" s="111"/>
      <c r="Q570" s="111"/>
      <c r="R570" s="101"/>
      <c r="S570" s="101"/>
      <c r="T570" s="99"/>
      <c r="U570" s="99"/>
      <c r="V570" s="99"/>
      <c r="W570" s="99"/>
      <c r="X570" s="99"/>
      <c r="Y570" s="99"/>
      <c r="Z570" s="99"/>
      <c r="AA570" s="99"/>
      <c r="AB570" s="99"/>
      <c r="AC570" s="99"/>
      <c r="AD570" s="99"/>
      <c r="AE570" s="99"/>
      <c r="AF570" s="99"/>
      <c r="AG570" s="99"/>
      <c r="AH570" s="99"/>
      <c r="AI570" s="99"/>
      <c r="AJ570" s="99"/>
      <c r="AK570" s="99"/>
      <c r="AL570" s="99"/>
      <c r="AM570" s="99"/>
    </row>
    <row r="571" ht="15.75" customHeight="1">
      <c r="A571" s="104"/>
      <c r="B571" s="104"/>
      <c r="C571" s="104"/>
      <c r="D571" s="110" t="s">
        <v>24</v>
      </c>
      <c r="E571" s="110" t="s">
        <v>187</v>
      </c>
      <c r="G571" s="136">
        <v>50.0</v>
      </c>
      <c r="H571" s="136" t="s">
        <v>95</v>
      </c>
      <c r="I571" s="137">
        <v>2000000.0</v>
      </c>
      <c r="J571" s="46">
        <f t="shared" ref="J571:J573" si="604">G571*I571</f>
        <v>100000000</v>
      </c>
      <c r="K571" s="46"/>
      <c r="L571" s="116">
        <f t="shared" si="362"/>
        <v>0</v>
      </c>
      <c r="M571" s="106"/>
      <c r="N571" s="105"/>
      <c r="O571" s="46">
        <f t="shared" ref="O571:O573" si="605">J571-K571</f>
        <v>100000000</v>
      </c>
      <c r="P571" s="46">
        <f t="shared" ref="P571:P573" si="606">J571-M571</f>
        <v>100000000</v>
      </c>
      <c r="Q571" s="46">
        <v>1.0E8</v>
      </c>
      <c r="R571" s="101"/>
      <c r="S571" s="101"/>
      <c r="T571" s="99"/>
      <c r="U571" s="99"/>
      <c r="V571" s="99"/>
      <c r="W571" s="99"/>
      <c r="X571" s="99"/>
      <c r="Y571" s="99"/>
      <c r="Z571" s="99"/>
      <c r="AA571" s="99"/>
      <c r="AB571" s="99"/>
      <c r="AC571" s="99"/>
      <c r="AD571" s="99"/>
      <c r="AE571" s="99"/>
      <c r="AF571" s="99"/>
      <c r="AG571" s="99"/>
      <c r="AH571" s="99"/>
      <c r="AI571" s="99"/>
      <c r="AJ571" s="99"/>
      <c r="AK571" s="99"/>
      <c r="AL571" s="99"/>
      <c r="AM571" s="99"/>
    </row>
    <row r="572" ht="15.75" customHeight="1">
      <c r="A572" s="104"/>
      <c r="B572" s="104"/>
      <c r="C572" s="104"/>
      <c r="D572" s="110" t="s">
        <v>24</v>
      </c>
      <c r="E572" s="110" t="s">
        <v>188</v>
      </c>
      <c r="G572" s="136">
        <v>50.0</v>
      </c>
      <c r="H572" s="136" t="s">
        <v>95</v>
      </c>
      <c r="I572" s="137">
        <v>750000.0</v>
      </c>
      <c r="J572" s="46">
        <f t="shared" si="604"/>
        <v>37500000</v>
      </c>
      <c r="K572" s="46"/>
      <c r="L572" s="116">
        <f t="shared" si="362"/>
        <v>0</v>
      </c>
      <c r="M572" s="106"/>
      <c r="N572" s="105"/>
      <c r="O572" s="46">
        <f t="shared" si="605"/>
        <v>37500000</v>
      </c>
      <c r="P572" s="46">
        <f t="shared" si="606"/>
        <v>37500000</v>
      </c>
      <c r="Q572" s="46">
        <v>3.75E7</v>
      </c>
      <c r="R572" s="101"/>
      <c r="S572" s="101"/>
      <c r="T572" s="99"/>
      <c r="U572" s="99"/>
      <c r="V572" s="99"/>
      <c r="W572" s="99"/>
      <c r="X572" s="99"/>
      <c r="Y572" s="99"/>
      <c r="Z572" s="99"/>
      <c r="AA572" s="99"/>
      <c r="AB572" s="99"/>
      <c r="AC572" s="99"/>
      <c r="AD572" s="99"/>
      <c r="AE572" s="99"/>
      <c r="AF572" s="99"/>
      <c r="AG572" s="99"/>
      <c r="AH572" s="99"/>
      <c r="AI572" s="99"/>
      <c r="AJ572" s="99"/>
      <c r="AK572" s="99"/>
      <c r="AL572" s="99"/>
      <c r="AM572" s="99"/>
    </row>
    <row r="573" ht="15.75" customHeight="1">
      <c r="A573" s="104"/>
      <c r="B573" s="104"/>
      <c r="C573" s="104"/>
      <c r="D573" s="110" t="s">
        <v>24</v>
      </c>
      <c r="E573" s="110" t="s">
        <v>145</v>
      </c>
      <c r="G573" s="136">
        <v>4.0</v>
      </c>
      <c r="H573" s="136" t="s">
        <v>95</v>
      </c>
      <c r="I573" s="137">
        <v>2000000.0</v>
      </c>
      <c r="J573" s="46">
        <f t="shared" si="604"/>
        <v>8000000</v>
      </c>
      <c r="K573" s="46"/>
      <c r="L573" s="116">
        <f t="shared" si="362"/>
        <v>0</v>
      </c>
      <c r="M573" s="106"/>
      <c r="N573" s="105"/>
      <c r="O573" s="46">
        <f t="shared" si="605"/>
        <v>8000000</v>
      </c>
      <c r="P573" s="46">
        <f t="shared" si="606"/>
        <v>8000000</v>
      </c>
      <c r="Q573" s="46">
        <v>8000000.0</v>
      </c>
      <c r="R573" s="101"/>
      <c r="S573" s="101"/>
      <c r="T573" s="99"/>
      <c r="U573" s="99"/>
      <c r="V573" s="99"/>
      <c r="W573" s="99"/>
      <c r="X573" s="99"/>
      <c r="Y573" s="99"/>
      <c r="Z573" s="99"/>
      <c r="AA573" s="99"/>
      <c r="AB573" s="99"/>
      <c r="AC573" s="99"/>
      <c r="AD573" s="99"/>
      <c r="AE573" s="99"/>
      <c r="AF573" s="99"/>
      <c r="AG573" s="99"/>
      <c r="AH573" s="99"/>
      <c r="AI573" s="99"/>
      <c r="AJ573" s="99"/>
      <c r="AK573" s="99"/>
      <c r="AL573" s="99"/>
      <c r="AM573" s="99"/>
    </row>
    <row r="574" ht="12.75" customHeight="1">
      <c r="A574" s="144" t="s">
        <v>146</v>
      </c>
      <c r="D574" s="144" t="s">
        <v>147</v>
      </c>
      <c r="G574" s="104"/>
      <c r="H574" s="128"/>
      <c r="I574" s="104"/>
      <c r="J574" s="129">
        <f t="shared" ref="J574:K574" si="607">J575+J582</f>
        <v>219800000</v>
      </c>
      <c r="K574" s="43">
        <f t="shared" si="607"/>
        <v>0</v>
      </c>
      <c r="L574" s="116">
        <f t="shared" si="362"/>
        <v>0</v>
      </c>
      <c r="M574" s="106"/>
      <c r="N574" s="105"/>
      <c r="O574" s="43">
        <f t="shared" ref="O574:P574" si="608">O575+O582</f>
        <v>219800000</v>
      </c>
      <c r="P574" s="43">
        <f t="shared" si="608"/>
        <v>219800000</v>
      </c>
      <c r="Q574" s="43">
        <v>2.198E8</v>
      </c>
      <c r="R574" s="101"/>
      <c r="S574" s="101"/>
      <c r="T574" s="99"/>
      <c r="U574" s="99"/>
      <c r="V574" s="99"/>
      <c r="W574" s="99"/>
      <c r="X574" s="99"/>
      <c r="Y574" s="99"/>
      <c r="Z574" s="99"/>
      <c r="AA574" s="99"/>
      <c r="AB574" s="99"/>
      <c r="AC574" s="99"/>
      <c r="AD574" s="99"/>
      <c r="AE574" s="99"/>
      <c r="AF574" s="99"/>
      <c r="AG574" s="99"/>
      <c r="AH574" s="99"/>
      <c r="AI574" s="99"/>
      <c r="AJ574" s="99"/>
      <c r="AK574" s="99"/>
      <c r="AL574" s="99"/>
      <c r="AM574" s="99"/>
    </row>
    <row r="575" ht="12.75" customHeight="1">
      <c r="A575" s="110" t="s">
        <v>74</v>
      </c>
      <c r="D575" s="145" t="s">
        <v>75</v>
      </c>
      <c r="G575" s="104"/>
      <c r="H575" s="133"/>
      <c r="I575" s="104"/>
      <c r="J575" s="134">
        <f t="shared" ref="J575:K575" si="609">SUM(J577:J581)</f>
        <v>195800000</v>
      </c>
      <c r="K575" s="46">
        <f t="shared" si="609"/>
        <v>0</v>
      </c>
      <c r="L575" s="116">
        <f t="shared" si="362"/>
        <v>0</v>
      </c>
      <c r="M575" s="106"/>
      <c r="N575" s="105"/>
      <c r="O575" s="46">
        <f t="shared" ref="O575:P575" si="610">SUM(O577:O581)</f>
        <v>195800000</v>
      </c>
      <c r="P575" s="46">
        <f t="shared" si="610"/>
        <v>195800000</v>
      </c>
      <c r="Q575" s="46">
        <v>1.958E8</v>
      </c>
      <c r="R575" s="101"/>
      <c r="S575" s="101"/>
      <c r="T575" s="99"/>
      <c r="U575" s="99"/>
      <c r="V575" s="99"/>
      <c r="W575" s="99"/>
      <c r="X575" s="99"/>
      <c r="Y575" s="99"/>
      <c r="Z575" s="99"/>
      <c r="AA575" s="99"/>
      <c r="AB575" s="99"/>
      <c r="AC575" s="99"/>
      <c r="AD575" s="99"/>
      <c r="AE575" s="99"/>
      <c r="AF575" s="99"/>
      <c r="AG575" s="99"/>
      <c r="AH575" s="99"/>
      <c r="AI575" s="99"/>
      <c r="AJ575" s="99"/>
      <c r="AK575" s="99"/>
      <c r="AL575" s="99"/>
      <c r="AM575" s="99"/>
    </row>
    <row r="576" ht="12.75" customHeight="1">
      <c r="A576" s="104"/>
      <c r="B576" s="104"/>
      <c r="C576" s="104"/>
      <c r="D576" s="110" t="s">
        <v>23</v>
      </c>
      <c r="G576" s="104"/>
      <c r="H576" s="104"/>
      <c r="I576" s="104"/>
      <c r="J576" s="111"/>
      <c r="K576" s="111"/>
      <c r="L576" s="116" t="str">
        <f t="shared" si="362"/>
        <v>#DIV/0!</v>
      </c>
      <c r="M576" s="106"/>
      <c r="N576" s="105"/>
      <c r="O576" s="111"/>
      <c r="P576" s="111"/>
      <c r="Q576" s="111"/>
      <c r="R576" s="101"/>
      <c r="S576" s="101"/>
      <c r="T576" s="99"/>
      <c r="U576" s="99"/>
      <c r="V576" s="99"/>
      <c r="W576" s="99"/>
      <c r="X576" s="99"/>
      <c r="Y576" s="99"/>
      <c r="Z576" s="99"/>
      <c r="AA576" s="99"/>
      <c r="AB576" s="99"/>
      <c r="AC576" s="99"/>
      <c r="AD576" s="99"/>
      <c r="AE576" s="99"/>
      <c r="AF576" s="99"/>
      <c r="AG576" s="99"/>
      <c r="AH576" s="99"/>
      <c r="AI576" s="99"/>
      <c r="AJ576" s="99"/>
      <c r="AK576" s="99"/>
      <c r="AL576" s="99"/>
      <c r="AM576" s="99"/>
    </row>
    <row r="577" ht="12.75" customHeight="1">
      <c r="A577" s="104"/>
      <c r="B577" s="104"/>
      <c r="C577" s="104"/>
      <c r="D577" s="110" t="s">
        <v>24</v>
      </c>
      <c r="E577" s="110" t="s">
        <v>291</v>
      </c>
      <c r="G577" s="136">
        <v>75.0</v>
      </c>
      <c r="H577" s="136" t="s">
        <v>95</v>
      </c>
      <c r="I577" s="137">
        <v>430000.0</v>
      </c>
      <c r="J577" s="46">
        <f t="shared" ref="J577:J581" si="611">G577*I577</f>
        <v>32250000</v>
      </c>
      <c r="K577" s="46"/>
      <c r="L577" s="116">
        <f t="shared" si="362"/>
        <v>0</v>
      </c>
      <c r="M577" s="106"/>
      <c r="N577" s="105"/>
      <c r="O577" s="46">
        <f t="shared" ref="O577:O581" si="612">J577-K577</f>
        <v>32250000</v>
      </c>
      <c r="P577" s="46">
        <f t="shared" ref="P577:P581" si="613">J577-M577</f>
        <v>32250000</v>
      </c>
      <c r="Q577" s="46">
        <v>3.225E7</v>
      </c>
      <c r="R577" s="101"/>
      <c r="S577" s="101"/>
      <c r="T577" s="99"/>
      <c r="U577" s="99"/>
      <c r="V577" s="99"/>
      <c r="W577" s="99"/>
      <c r="X577" s="99"/>
      <c r="Y577" s="99"/>
      <c r="Z577" s="99"/>
      <c r="AA577" s="99"/>
      <c r="AB577" s="99"/>
      <c r="AC577" s="99"/>
      <c r="AD577" s="99"/>
      <c r="AE577" s="99"/>
      <c r="AF577" s="99"/>
      <c r="AG577" s="99"/>
      <c r="AH577" s="99"/>
      <c r="AI577" s="99"/>
      <c r="AJ577" s="99"/>
      <c r="AK577" s="99"/>
      <c r="AL577" s="99"/>
      <c r="AM577" s="99"/>
    </row>
    <row r="578" ht="15.75" customHeight="1">
      <c r="A578" s="104"/>
      <c r="B578" s="104"/>
      <c r="C578" s="104"/>
      <c r="D578" s="110" t="s">
        <v>24</v>
      </c>
      <c r="E578" s="110" t="s">
        <v>292</v>
      </c>
      <c r="G578" s="136">
        <v>50.0</v>
      </c>
      <c r="H578" s="136" t="s">
        <v>95</v>
      </c>
      <c r="I578" s="137">
        <v>783500.0</v>
      </c>
      <c r="J578" s="46">
        <f t="shared" si="611"/>
        <v>39175000</v>
      </c>
      <c r="K578" s="46"/>
      <c r="L578" s="116">
        <f t="shared" si="362"/>
        <v>0</v>
      </c>
      <c r="M578" s="106"/>
      <c r="N578" s="105"/>
      <c r="O578" s="46">
        <f t="shared" si="612"/>
        <v>39175000</v>
      </c>
      <c r="P578" s="46">
        <f t="shared" si="613"/>
        <v>39175000</v>
      </c>
      <c r="Q578" s="46">
        <v>3.9175E7</v>
      </c>
      <c r="R578" s="101"/>
      <c r="S578" s="101"/>
      <c r="T578" s="99"/>
      <c r="U578" s="99"/>
      <c r="V578" s="99"/>
      <c r="W578" s="99"/>
      <c r="X578" s="99"/>
      <c r="Y578" s="99"/>
      <c r="Z578" s="99"/>
      <c r="AA578" s="99"/>
      <c r="AB578" s="99"/>
      <c r="AC578" s="99"/>
      <c r="AD578" s="99"/>
      <c r="AE578" s="99"/>
      <c r="AF578" s="99"/>
      <c r="AG578" s="99"/>
      <c r="AH578" s="99"/>
      <c r="AI578" s="99"/>
      <c r="AJ578" s="99"/>
      <c r="AK578" s="99"/>
      <c r="AL578" s="99"/>
      <c r="AM578" s="99"/>
    </row>
    <row r="579" ht="12.75" customHeight="1">
      <c r="A579" s="104"/>
      <c r="B579" s="104"/>
      <c r="C579" s="104"/>
      <c r="D579" s="110" t="s">
        <v>24</v>
      </c>
      <c r="E579" s="110" t="s">
        <v>293</v>
      </c>
      <c r="G579" s="136">
        <v>25.0</v>
      </c>
      <c r="H579" s="136" t="s">
        <v>95</v>
      </c>
      <c r="I579" s="137">
        <v>875000.0</v>
      </c>
      <c r="J579" s="46">
        <f t="shared" si="611"/>
        <v>21875000</v>
      </c>
      <c r="K579" s="46"/>
      <c r="L579" s="116">
        <f t="shared" si="362"/>
        <v>0</v>
      </c>
      <c r="M579" s="106"/>
      <c r="N579" s="105"/>
      <c r="O579" s="46">
        <f t="shared" si="612"/>
        <v>21875000</v>
      </c>
      <c r="P579" s="46">
        <f t="shared" si="613"/>
        <v>21875000</v>
      </c>
      <c r="Q579" s="46">
        <v>2.1875E7</v>
      </c>
      <c r="R579" s="101"/>
      <c r="S579" s="101"/>
      <c r="T579" s="99"/>
      <c r="U579" s="99"/>
      <c r="V579" s="99"/>
      <c r="W579" s="99"/>
      <c r="X579" s="99"/>
      <c r="Y579" s="99"/>
      <c r="Z579" s="99"/>
      <c r="AA579" s="99"/>
      <c r="AB579" s="99"/>
      <c r="AC579" s="99"/>
      <c r="AD579" s="99"/>
      <c r="AE579" s="99"/>
      <c r="AF579" s="99"/>
      <c r="AG579" s="99"/>
      <c r="AH579" s="99"/>
      <c r="AI579" s="99"/>
      <c r="AJ579" s="99"/>
      <c r="AK579" s="99"/>
      <c r="AL579" s="99"/>
      <c r="AM579" s="99"/>
    </row>
    <row r="580" ht="15.75" customHeight="1">
      <c r="A580" s="104"/>
      <c r="B580" s="104"/>
      <c r="C580" s="104"/>
      <c r="D580" s="110" t="s">
        <v>24</v>
      </c>
      <c r="E580" s="110" t="s">
        <v>294</v>
      </c>
      <c r="G580" s="136">
        <v>100.0</v>
      </c>
      <c r="H580" s="136" t="s">
        <v>95</v>
      </c>
      <c r="I580" s="137">
        <v>500000.0</v>
      </c>
      <c r="J580" s="46">
        <f t="shared" si="611"/>
        <v>50000000</v>
      </c>
      <c r="K580" s="46"/>
      <c r="L580" s="116">
        <f t="shared" si="362"/>
        <v>0</v>
      </c>
      <c r="M580" s="106"/>
      <c r="N580" s="105"/>
      <c r="O580" s="46">
        <f t="shared" si="612"/>
        <v>50000000</v>
      </c>
      <c r="P580" s="46">
        <f t="shared" si="613"/>
        <v>50000000</v>
      </c>
      <c r="Q580" s="46">
        <v>5.0E7</v>
      </c>
      <c r="R580" s="101"/>
      <c r="S580" s="101"/>
      <c r="T580" s="99"/>
      <c r="U580" s="99"/>
      <c r="V580" s="99"/>
      <c r="W580" s="99"/>
      <c r="X580" s="99"/>
      <c r="Y580" s="99"/>
      <c r="Z580" s="99"/>
      <c r="AA580" s="99"/>
      <c r="AB580" s="99"/>
      <c r="AC580" s="99"/>
      <c r="AD580" s="99"/>
      <c r="AE580" s="99"/>
      <c r="AF580" s="99"/>
      <c r="AG580" s="99"/>
      <c r="AH580" s="99"/>
      <c r="AI580" s="99"/>
      <c r="AJ580" s="99"/>
      <c r="AK580" s="99"/>
      <c r="AL580" s="99"/>
      <c r="AM580" s="99"/>
    </row>
    <row r="581" ht="15.75" customHeight="1">
      <c r="A581" s="104"/>
      <c r="B581" s="104"/>
      <c r="C581" s="104"/>
      <c r="D581" s="110" t="s">
        <v>24</v>
      </c>
      <c r="E581" s="110" t="s">
        <v>295</v>
      </c>
      <c r="G581" s="136">
        <v>150.0</v>
      </c>
      <c r="H581" s="136" t="s">
        <v>95</v>
      </c>
      <c r="I581" s="137">
        <v>350000.0</v>
      </c>
      <c r="J581" s="46">
        <f t="shared" si="611"/>
        <v>52500000</v>
      </c>
      <c r="K581" s="46"/>
      <c r="L581" s="116">
        <f t="shared" si="362"/>
        <v>0</v>
      </c>
      <c r="M581" s="106"/>
      <c r="N581" s="105"/>
      <c r="O581" s="46">
        <f t="shared" si="612"/>
        <v>52500000</v>
      </c>
      <c r="P581" s="46">
        <f t="shared" si="613"/>
        <v>52500000</v>
      </c>
      <c r="Q581" s="46">
        <v>5.25E7</v>
      </c>
      <c r="R581" s="101"/>
      <c r="S581" s="101"/>
      <c r="T581" s="99"/>
      <c r="U581" s="99"/>
      <c r="V581" s="99"/>
      <c r="W581" s="99"/>
      <c r="X581" s="99"/>
      <c r="Y581" s="99"/>
      <c r="Z581" s="99"/>
      <c r="AA581" s="99"/>
      <c r="AB581" s="99"/>
      <c r="AC581" s="99"/>
      <c r="AD581" s="99"/>
      <c r="AE581" s="99"/>
      <c r="AF581" s="99"/>
      <c r="AG581" s="99"/>
      <c r="AH581" s="99"/>
      <c r="AI581" s="99"/>
      <c r="AJ581" s="99"/>
      <c r="AK581" s="99"/>
      <c r="AL581" s="99"/>
      <c r="AM581" s="99"/>
    </row>
    <row r="582" ht="12.75" customHeight="1">
      <c r="A582" s="110" t="s">
        <v>79</v>
      </c>
      <c r="D582" s="145" t="s">
        <v>80</v>
      </c>
      <c r="G582" s="104"/>
      <c r="H582" s="133"/>
      <c r="I582" s="104"/>
      <c r="J582" s="134">
        <f t="shared" ref="J582:K582" si="614">J584</f>
        <v>24000000</v>
      </c>
      <c r="K582" s="46" t="str">
        <f t="shared" si="614"/>
        <v/>
      </c>
      <c r="L582" s="116">
        <f t="shared" si="362"/>
        <v>0</v>
      </c>
      <c r="M582" s="106"/>
      <c r="N582" s="105"/>
      <c r="O582" s="46">
        <f t="shared" ref="O582:P582" si="615">O584</f>
        <v>24000000</v>
      </c>
      <c r="P582" s="46">
        <f t="shared" si="615"/>
        <v>24000000</v>
      </c>
      <c r="Q582" s="46">
        <v>2.4E7</v>
      </c>
      <c r="R582" s="101"/>
      <c r="S582" s="101"/>
      <c r="T582" s="99"/>
      <c r="U582" s="99"/>
      <c r="V582" s="99"/>
      <c r="W582" s="99"/>
      <c r="X582" s="99"/>
      <c r="Y582" s="99"/>
      <c r="Z582" s="99"/>
      <c r="AA582" s="99"/>
      <c r="AB582" s="99"/>
      <c r="AC582" s="99"/>
      <c r="AD582" s="99"/>
      <c r="AE582" s="99"/>
      <c r="AF582" s="99"/>
      <c r="AG582" s="99"/>
      <c r="AH582" s="99"/>
      <c r="AI582" s="99"/>
      <c r="AJ582" s="99"/>
      <c r="AK582" s="99"/>
      <c r="AL582" s="99"/>
      <c r="AM582" s="99"/>
    </row>
    <row r="583" ht="12.75" customHeight="1">
      <c r="A583" s="104"/>
      <c r="B583" s="104"/>
      <c r="C583" s="104"/>
      <c r="D583" s="110" t="s">
        <v>23</v>
      </c>
      <c r="G583" s="104"/>
      <c r="H583" s="104"/>
      <c r="I583" s="104"/>
      <c r="J583" s="111"/>
      <c r="K583" s="111"/>
      <c r="L583" s="116" t="str">
        <f t="shared" si="362"/>
        <v>#DIV/0!</v>
      </c>
      <c r="M583" s="106"/>
      <c r="N583" s="105"/>
      <c r="O583" s="111"/>
      <c r="P583" s="111"/>
      <c r="Q583" s="111"/>
      <c r="R583" s="101"/>
      <c r="S583" s="101"/>
      <c r="T583" s="99"/>
      <c r="U583" s="99"/>
      <c r="V583" s="99"/>
      <c r="W583" s="99"/>
      <c r="X583" s="99"/>
      <c r="Y583" s="99"/>
      <c r="Z583" s="99"/>
      <c r="AA583" s="99"/>
      <c r="AB583" s="99"/>
      <c r="AC583" s="99"/>
      <c r="AD583" s="99"/>
      <c r="AE583" s="99"/>
      <c r="AF583" s="99"/>
      <c r="AG583" s="99"/>
      <c r="AH583" s="99"/>
      <c r="AI583" s="99"/>
      <c r="AJ583" s="99"/>
      <c r="AK583" s="99"/>
      <c r="AL583" s="99"/>
      <c r="AM583" s="99"/>
    </row>
    <row r="584" ht="12.75" customHeight="1">
      <c r="A584" s="104"/>
      <c r="B584" s="104"/>
      <c r="C584" s="104"/>
      <c r="D584" s="110" t="s">
        <v>24</v>
      </c>
      <c r="E584" s="110" t="s">
        <v>296</v>
      </c>
      <c r="G584" s="136">
        <v>160.0</v>
      </c>
      <c r="H584" s="136" t="s">
        <v>95</v>
      </c>
      <c r="I584" s="137">
        <v>150000.0</v>
      </c>
      <c r="J584" s="46">
        <f>G584*I584</f>
        <v>24000000</v>
      </c>
      <c r="K584" s="46"/>
      <c r="L584" s="116">
        <f t="shared" si="362"/>
        <v>0</v>
      </c>
      <c r="M584" s="106"/>
      <c r="N584" s="105"/>
      <c r="O584" s="46">
        <f>J584-K584</f>
        <v>24000000</v>
      </c>
      <c r="P584" s="46">
        <f>J584-M584</f>
        <v>24000000</v>
      </c>
      <c r="Q584" s="46">
        <v>2.4E7</v>
      </c>
      <c r="R584" s="101"/>
      <c r="S584" s="101"/>
      <c r="T584" s="99"/>
      <c r="U584" s="99"/>
      <c r="V584" s="99"/>
      <c r="W584" s="99"/>
      <c r="X584" s="99"/>
      <c r="Y584" s="99"/>
      <c r="Z584" s="99"/>
      <c r="AA584" s="99"/>
      <c r="AB584" s="99"/>
      <c r="AC584" s="99"/>
      <c r="AD584" s="99"/>
      <c r="AE584" s="99"/>
      <c r="AF584" s="99"/>
      <c r="AG584" s="99"/>
      <c r="AH584" s="99"/>
      <c r="AI584" s="99"/>
      <c r="AJ584" s="99"/>
      <c r="AK584" s="99"/>
      <c r="AL584" s="99"/>
      <c r="AM584" s="99"/>
    </row>
    <row r="585" ht="12.75" customHeight="1">
      <c r="A585" s="140" t="s">
        <v>244</v>
      </c>
      <c r="B585" s="121"/>
      <c r="C585" s="122"/>
      <c r="D585" s="140" t="s">
        <v>245</v>
      </c>
      <c r="E585" s="121"/>
      <c r="F585" s="122"/>
      <c r="G585" s="141" t="s">
        <v>306</v>
      </c>
      <c r="H585" s="141" t="s">
        <v>306</v>
      </c>
      <c r="I585" s="142"/>
      <c r="J585" s="125">
        <f t="shared" ref="J585:K585" si="616">J586+J600+J612+J625+J642+J651+J661+J666+J682+J696+J704+J712+J718</f>
        <v>4068871000</v>
      </c>
      <c r="K585" s="84">
        <f t="shared" si="616"/>
        <v>198367500</v>
      </c>
      <c r="L585" s="105"/>
      <c r="M585" s="106"/>
      <c r="N585" s="105"/>
      <c r="O585" s="84">
        <f t="shared" ref="O585:P585" si="617">O586+O600+O612+O625+O642+O651+O661+O666+O682+O696+O704+O712+O718</f>
        <v>3870503500</v>
      </c>
      <c r="P585" s="84">
        <f t="shared" si="617"/>
        <v>4068871000</v>
      </c>
      <c r="Q585" s="143">
        <v>4.068871E9</v>
      </c>
      <c r="R585" s="101">
        <v>2.78880188E8</v>
      </c>
      <c r="S585" s="101" t="s">
        <v>353</v>
      </c>
      <c r="T585" s="99"/>
      <c r="U585" s="99"/>
      <c r="V585" s="99"/>
      <c r="W585" s="99"/>
      <c r="X585" s="99"/>
      <c r="Y585" s="99"/>
      <c r="Z585" s="99"/>
      <c r="AA585" s="99"/>
      <c r="AB585" s="99"/>
      <c r="AC585" s="99"/>
      <c r="AD585" s="99"/>
      <c r="AE585" s="99"/>
      <c r="AF585" s="99"/>
      <c r="AG585" s="99"/>
      <c r="AH585" s="99"/>
      <c r="AI585" s="99"/>
      <c r="AJ585" s="99"/>
      <c r="AK585" s="99"/>
      <c r="AL585" s="99"/>
      <c r="AM585" s="99"/>
    </row>
    <row r="586" ht="12.75" customHeight="1">
      <c r="A586" s="144" t="s">
        <v>20</v>
      </c>
      <c r="D586" s="144" t="s">
        <v>21</v>
      </c>
      <c r="G586" s="104"/>
      <c r="H586" s="104"/>
      <c r="I586" s="104"/>
      <c r="J586" s="129">
        <f t="shared" ref="J586:K586" si="618">J587+J596</f>
        <v>195140000</v>
      </c>
      <c r="K586" s="43">
        <f t="shared" si="618"/>
        <v>0</v>
      </c>
      <c r="L586" s="105"/>
      <c r="M586" s="106"/>
      <c r="N586" s="105"/>
      <c r="O586" s="43">
        <f t="shared" ref="O586:P586" si="619">O587+O596</f>
        <v>195140000</v>
      </c>
      <c r="P586" s="43">
        <f t="shared" si="619"/>
        <v>195140000</v>
      </c>
      <c r="Q586" s="43">
        <v>1.9514E8</v>
      </c>
      <c r="R586" s="101"/>
      <c r="S586" s="101"/>
      <c r="T586" s="99"/>
      <c r="U586" s="99"/>
      <c r="V586" s="99"/>
      <c r="W586" s="99"/>
      <c r="X586" s="99"/>
      <c r="Y586" s="99"/>
      <c r="Z586" s="99"/>
      <c r="AA586" s="99"/>
      <c r="AB586" s="99"/>
      <c r="AC586" s="99"/>
      <c r="AD586" s="99"/>
      <c r="AE586" s="99"/>
      <c r="AF586" s="99"/>
      <c r="AG586" s="99"/>
      <c r="AH586" s="99"/>
      <c r="AI586" s="99"/>
      <c r="AJ586" s="99"/>
      <c r="AK586" s="99"/>
      <c r="AL586" s="99"/>
      <c r="AM586" s="99"/>
    </row>
    <row r="587" ht="12.75" customHeight="1">
      <c r="A587" s="110" t="s">
        <v>40</v>
      </c>
      <c r="D587" s="145" t="s">
        <v>22</v>
      </c>
      <c r="G587" s="104"/>
      <c r="H587" s="104"/>
      <c r="I587" s="104"/>
      <c r="J587" s="134">
        <f t="shared" ref="J587:K587" si="620">SUM(J589:J595)</f>
        <v>179140000</v>
      </c>
      <c r="K587" s="46">
        <f t="shared" si="620"/>
        <v>0</v>
      </c>
      <c r="L587" s="105"/>
      <c r="M587" s="106"/>
      <c r="N587" s="105"/>
      <c r="O587" s="46">
        <f t="shared" ref="O587:P587" si="621">SUM(O589:O595)</f>
        <v>179140000</v>
      </c>
      <c r="P587" s="46">
        <f t="shared" si="621"/>
        <v>179140000</v>
      </c>
      <c r="Q587" s="46">
        <v>1.7914E8</v>
      </c>
      <c r="R587" s="101"/>
      <c r="S587" s="101"/>
      <c r="T587" s="99"/>
      <c r="U587" s="99"/>
      <c r="V587" s="99"/>
      <c r="W587" s="99"/>
      <c r="X587" s="99"/>
      <c r="Y587" s="99"/>
      <c r="Z587" s="99"/>
      <c r="AA587" s="99"/>
      <c r="AB587" s="99"/>
      <c r="AC587" s="99"/>
      <c r="AD587" s="99"/>
      <c r="AE587" s="99"/>
      <c r="AF587" s="99"/>
      <c r="AG587" s="99"/>
      <c r="AH587" s="99"/>
      <c r="AI587" s="99"/>
      <c r="AJ587" s="99"/>
      <c r="AK587" s="99"/>
      <c r="AL587" s="99"/>
      <c r="AM587" s="99"/>
    </row>
    <row r="588" ht="12.75" customHeight="1">
      <c r="A588" s="104"/>
      <c r="B588" s="104"/>
      <c r="C588" s="104"/>
      <c r="D588" s="110" t="s">
        <v>23</v>
      </c>
      <c r="G588" s="104"/>
      <c r="H588" s="104"/>
      <c r="I588" s="104"/>
      <c r="J588" s="111"/>
      <c r="K588" s="111"/>
      <c r="L588" s="105"/>
      <c r="M588" s="106"/>
      <c r="N588" s="105"/>
      <c r="O588" s="111"/>
      <c r="P588" s="111"/>
      <c r="Q588" s="111"/>
      <c r="R588" s="101"/>
      <c r="S588" s="101"/>
      <c r="T588" s="99"/>
      <c r="U588" s="99"/>
      <c r="V588" s="99"/>
      <c r="W588" s="99"/>
      <c r="X588" s="99"/>
      <c r="Y588" s="99"/>
      <c r="Z588" s="99"/>
      <c r="AA588" s="99"/>
      <c r="AB588" s="99"/>
      <c r="AC588" s="99"/>
      <c r="AD588" s="99"/>
      <c r="AE588" s="99"/>
      <c r="AF588" s="99"/>
      <c r="AG588" s="99"/>
      <c r="AH588" s="99"/>
      <c r="AI588" s="99"/>
      <c r="AJ588" s="99"/>
      <c r="AK588" s="99"/>
      <c r="AL588" s="99"/>
      <c r="AM588" s="99"/>
    </row>
    <row r="589" ht="12.75" customHeight="1">
      <c r="A589" s="104"/>
      <c r="B589" s="104"/>
      <c r="C589" s="104"/>
      <c r="D589" s="110" t="s">
        <v>24</v>
      </c>
      <c r="E589" s="110" t="s">
        <v>246</v>
      </c>
      <c r="G589" s="136">
        <v>36.0</v>
      </c>
      <c r="H589" s="136" t="s">
        <v>26</v>
      </c>
      <c r="I589" s="137">
        <v>500000.0</v>
      </c>
      <c r="J589" s="46">
        <f t="shared" ref="J589:J595" si="622">G589*I589</f>
        <v>18000000</v>
      </c>
      <c r="K589" s="46"/>
      <c r="L589" s="105"/>
      <c r="M589" s="106"/>
      <c r="N589" s="105"/>
      <c r="O589" s="46">
        <f t="shared" ref="O589:O595" si="623">J589-K589</f>
        <v>18000000</v>
      </c>
      <c r="P589" s="46">
        <f t="shared" ref="P589:P595" si="624">J589-M589</f>
        <v>18000000</v>
      </c>
      <c r="Q589" s="46">
        <v>1.8E7</v>
      </c>
      <c r="R589" s="101"/>
      <c r="S589" s="101"/>
      <c r="T589" s="99"/>
      <c r="U589" s="99"/>
      <c r="V589" s="99"/>
      <c r="W589" s="99"/>
      <c r="X589" s="99"/>
      <c r="Y589" s="99"/>
      <c r="Z589" s="99"/>
      <c r="AA589" s="99"/>
      <c r="AB589" s="99"/>
      <c r="AC589" s="99"/>
      <c r="AD589" s="99"/>
      <c r="AE589" s="99"/>
      <c r="AF589" s="99"/>
      <c r="AG589" s="99"/>
      <c r="AH589" s="99"/>
      <c r="AI589" s="99"/>
      <c r="AJ589" s="99"/>
      <c r="AK589" s="99"/>
      <c r="AL589" s="99"/>
      <c r="AM589" s="99"/>
    </row>
    <row r="590" ht="12.75" customHeight="1">
      <c r="A590" s="104"/>
      <c r="B590" s="104"/>
      <c r="C590" s="104"/>
      <c r="D590" s="110" t="s">
        <v>24</v>
      </c>
      <c r="E590" s="110" t="s">
        <v>27</v>
      </c>
      <c r="G590" s="136">
        <v>2.0</v>
      </c>
      <c r="H590" s="136" t="s">
        <v>26</v>
      </c>
      <c r="I590" s="137">
        <v>2000000.0</v>
      </c>
      <c r="J590" s="46">
        <f t="shared" si="622"/>
        <v>4000000</v>
      </c>
      <c r="K590" s="46"/>
      <c r="L590" s="105"/>
      <c r="M590" s="106"/>
      <c r="N590" s="105"/>
      <c r="O590" s="46">
        <f t="shared" si="623"/>
        <v>4000000</v>
      </c>
      <c r="P590" s="46">
        <f t="shared" si="624"/>
        <v>4000000</v>
      </c>
      <c r="Q590" s="46">
        <v>4000000.0</v>
      </c>
      <c r="R590" s="101"/>
      <c r="S590" s="101"/>
      <c r="T590" s="99"/>
      <c r="U590" s="99"/>
      <c r="V590" s="99"/>
      <c r="W590" s="99"/>
      <c r="X590" s="99"/>
      <c r="Y590" s="99"/>
      <c r="Z590" s="99"/>
      <c r="AA590" s="99"/>
      <c r="AB590" s="99"/>
      <c r="AC590" s="99"/>
      <c r="AD590" s="99"/>
      <c r="AE590" s="99"/>
      <c r="AF590" s="99"/>
      <c r="AG590" s="99"/>
      <c r="AH590" s="99"/>
      <c r="AI590" s="99"/>
      <c r="AJ590" s="99"/>
      <c r="AK590" s="99"/>
      <c r="AL590" s="99"/>
      <c r="AM590" s="99"/>
    </row>
    <row r="591" ht="15.75" customHeight="1">
      <c r="A591" s="104"/>
      <c r="B591" s="104"/>
      <c r="C591" s="104"/>
      <c r="D591" s="110" t="s">
        <v>24</v>
      </c>
      <c r="E591" s="110" t="s">
        <v>28</v>
      </c>
      <c r="G591" s="136">
        <v>10.0</v>
      </c>
      <c r="H591" s="136" t="s">
        <v>26</v>
      </c>
      <c r="I591" s="137">
        <v>500000.0</v>
      </c>
      <c r="J591" s="46">
        <f t="shared" si="622"/>
        <v>5000000</v>
      </c>
      <c r="K591" s="46"/>
      <c r="L591" s="105"/>
      <c r="M591" s="106"/>
      <c r="N591" s="105"/>
      <c r="O591" s="46">
        <f t="shared" si="623"/>
        <v>5000000</v>
      </c>
      <c r="P591" s="46">
        <f t="shared" si="624"/>
        <v>5000000</v>
      </c>
      <c r="Q591" s="46">
        <v>5000000.0</v>
      </c>
      <c r="R591" s="101"/>
      <c r="S591" s="101"/>
      <c r="T591" s="99"/>
      <c r="U591" s="99"/>
      <c r="V591" s="99"/>
      <c r="W591" s="99"/>
      <c r="X591" s="99"/>
      <c r="Y591" s="99"/>
      <c r="Z591" s="99"/>
      <c r="AA591" s="99"/>
      <c r="AB591" s="99"/>
      <c r="AC591" s="99"/>
      <c r="AD591" s="99"/>
      <c r="AE591" s="99"/>
      <c r="AF591" s="99"/>
      <c r="AG591" s="99"/>
      <c r="AH591" s="99"/>
      <c r="AI591" s="99"/>
      <c r="AJ591" s="99"/>
      <c r="AK591" s="99"/>
      <c r="AL591" s="99"/>
      <c r="AM591" s="99"/>
    </row>
    <row r="592" ht="12.75" customHeight="1">
      <c r="A592" s="104"/>
      <c r="B592" s="104"/>
      <c r="C592" s="104"/>
      <c r="D592" s="110" t="s">
        <v>24</v>
      </c>
      <c r="E592" s="110" t="s">
        <v>247</v>
      </c>
      <c r="G592" s="136">
        <v>300.0</v>
      </c>
      <c r="H592" s="136" t="s">
        <v>26</v>
      </c>
      <c r="I592" s="137">
        <v>25000.0</v>
      </c>
      <c r="J592" s="46">
        <f t="shared" si="622"/>
        <v>7500000</v>
      </c>
      <c r="K592" s="46"/>
      <c r="L592" s="105"/>
      <c r="M592" s="106"/>
      <c r="N592" s="105"/>
      <c r="O592" s="46">
        <f t="shared" si="623"/>
        <v>7500000</v>
      </c>
      <c r="P592" s="46">
        <f t="shared" si="624"/>
        <v>7500000</v>
      </c>
      <c r="Q592" s="46">
        <v>7500000.0</v>
      </c>
      <c r="R592" s="101"/>
      <c r="S592" s="101"/>
      <c r="T592" s="99"/>
      <c r="U592" s="99"/>
      <c r="V592" s="99"/>
      <c r="W592" s="99"/>
      <c r="X592" s="99"/>
      <c r="Y592" s="99"/>
      <c r="Z592" s="99"/>
      <c r="AA592" s="99"/>
      <c r="AB592" s="99"/>
      <c r="AC592" s="99"/>
      <c r="AD592" s="99"/>
      <c r="AE592" s="99"/>
      <c r="AF592" s="99"/>
      <c r="AG592" s="99"/>
      <c r="AH592" s="99"/>
      <c r="AI592" s="99"/>
      <c r="AJ592" s="99"/>
      <c r="AK592" s="99"/>
      <c r="AL592" s="99"/>
      <c r="AM592" s="99"/>
    </row>
    <row r="593" ht="15.75" customHeight="1">
      <c r="A593" s="104"/>
      <c r="B593" s="104"/>
      <c r="C593" s="104"/>
      <c r="D593" s="110" t="s">
        <v>24</v>
      </c>
      <c r="E593" s="110" t="s">
        <v>31</v>
      </c>
      <c r="G593" s="136">
        <v>320.0</v>
      </c>
      <c r="H593" s="136" t="s">
        <v>26</v>
      </c>
      <c r="I593" s="137">
        <v>53000.0</v>
      </c>
      <c r="J593" s="46">
        <f t="shared" si="622"/>
        <v>16960000</v>
      </c>
      <c r="K593" s="46"/>
      <c r="L593" s="105"/>
      <c r="M593" s="106"/>
      <c r="N593" s="105"/>
      <c r="O593" s="46">
        <f t="shared" si="623"/>
        <v>16960000</v>
      </c>
      <c r="P593" s="46">
        <f t="shared" si="624"/>
        <v>16960000</v>
      </c>
      <c r="Q593" s="46">
        <v>1.696E7</v>
      </c>
      <c r="R593" s="101"/>
      <c r="S593" s="101"/>
      <c r="T593" s="99"/>
      <c r="U593" s="99"/>
      <c r="V593" s="99"/>
      <c r="W593" s="99"/>
      <c r="X593" s="99"/>
      <c r="Y593" s="99"/>
      <c r="Z593" s="99"/>
      <c r="AA593" s="99"/>
      <c r="AB593" s="99"/>
      <c r="AC593" s="99"/>
      <c r="AD593" s="99"/>
      <c r="AE593" s="99"/>
      <c r="AF593" s="99"/>
      <c r="AG593" s="99"/>
      <c r="AH593" s="99"/>
      <c r="AI593" s="99"/>
      <c r="AJ593" s="99"/>
      <c r="AK593" s="99"/>
      <c r="AL593" s="99"/>
      <c r="AM593" s="99"/>
    </row>
    <row r="594" ht="15.75" customHeight="1">
      <c r="A594" s="104"/>
      <c r="B594" s="104"/>
      <c r="C594" s="104"/>
      <c r="D594" s="110" t="s">
        <v>24</v>
      </c>
      <c r="E594" s="110" t="s">
        <v>32</v>
      </c>
      <c r="G594" s="136">
        <v>320.0</v>
      </c>
      <c r="H594" s="136" t="s">
        <v>26</v>
      </c>
      <c r="I594" s="137">
        <v>24000.0</v>
      </c>
      <c r="J594" s="46">
        <f t="shared" si="622"/>
        <v>7680000</v>
      </c>
      <c r="K594" s="46"/>
      <c r="L594" s="105"/>
      <c r="M594" s="106"/>
      <c r="N594" s="105"/>
      <c r="O594" s="46">
        <f t="shared" si="623"/>
        <v>7680000</v>
      </c>
      <c r="P594" s="46">
        <f t="shared" si="624"/>
        <v>7680000</v>
      </c>
      <c r="Q594" s="46">
        <v>7680000.0</v>
      </c>
      <c r="R594" s="101"/>
      <c r="S594" s="101"/>
      <c r="T594" s="99"/>
      <c r="U594" s="99"/>
      <c r="V594" s="99"/>
      <c r="W594" s="99"/>
      <c r="X594" s="99"/>
      <c r="Y594" s="99"/>
      <c r="Z594" s="99"/>
      <c r="AA594" s="99"/>
      <c r="AB594" s="99"/>
      <c r="AC594" s="99"/>
      <c r="AD594" s="99"/>
      <c r="AE594" s="99"/>
      <c r="AF594" s="99"/>
      <c r="AG594" s="99"/>
      <c r="AH594" s="99"/>
      <c r="AI594" s="99"/>
      <c r="AJ594" s="99"/>
      <c r="AK594" s="99"/>
      <c r="AL594" s="99"/>
      <c r="AM594" s="99"/>
    </row>
    <row r="595" ht="15.75" customHeight="1">
      <c r="A595" s="104"/>
      <c r="B595" s="104"/>
      <c r="C595" s="104"/>
      <c r="D595" s="110" t="s">
        <v>24</v>
      </c>
      <c r="E595" s="110" t="s">
        <v>348</v>
      </c>
      <c r="G595" s="136">
        <v>150.0</v>
      </c>
      <c r="H595" s="136" t="s">
        <v>26</v>
      </c>
      <c r="I595" s="137">
        <v>800000.0</v>
      </c>
      <c r="J595" s="46">
        <f t="shared" si="622"/>
        <v>120000000</v>
      </c>
      <c r="K595" s="46"/>
      <c r="L595" s="105"/>
      <c r="M595" s="106"/>
      <c r="N595" s="105"/>
      <c r="O595" s="46">
        <f t="shared" si="623"/>
        <v>120000000</v>
      </c>
      <c r="P595" s="46">
        <f t="shared" si="624"/>
        <v>120000000</v>
      </c>
      <c r="Q595" s="46">
        <v>1.2E8</v>
      </c>
      <c r="R595" s="101"/>
      <c r="S595" s="101"/>
      <c r="T595" s="99"/>
      <c r="U595" s="99"/>
      <c r="V595" s="99"/>
      <c r="W595" s="99"/>
      <c r="X595" s="99"/>
      <c r="Y595" s="99"/>
      <c r="Z595" s="99"/>
      <c r="AA595" s="99"/>
      <c r="AB595" s="99"/>
      <c r="AC595" s="99"/>
      <c r="AD595" s="99"/>
      <c r="AE595" s="99"/>
      <c r="AF595" s="99"/>
      <c r="AG595" s="99"/>
      <c r="AH595" s="99"/>
      <c r="AI595" s="99"/>
      <c r="AJ595" s="99"/>
      <c r="AK595" s="99"/>
      <c r="AL595" s="99"/>
      <c r="AM595" s="99"/>
    </row>
    <row r="596" ht="12.75" customHeight="1">
      <c r="A596" s="110" t="s">
        <v>58</v>
      </c>
      <c r="D596" s="145" t="s">
        <v>34</v>
      </c>
      <c r="G596" s="104"/>
      <c r="H596" s="133"/>
      <c r="I596" s="104"/>
      <c r="J596" s="134">
        <f t="shared" ref="J596:K596" si="625">SUM(J598:J599)</f>
        <v>16000000</v>
      </c>
      <c r="K596" s="46">
        <f t="shared" si="625"/>
        <v>0</v>
      </c>
      <c r="L596" s="105"/>
      <c r="M596" s="106"/>
      <c r="N596" s="105"/>
      <c r="O596" s="46">
        <f t="shared" ref="O596:P596" si="626">SUM(O598:O599)</f>
        <v>16000000</v>
      </c>
      <c r="P596" s="46">
        <f t="shared" si="626"/>
        <v>16000000</v>
      </c>
      <c r="Q596" s="46">
        <v>1.6E7</v>
      </c>
      <c r="R596" s="101"/>
      <c r="S596" s="101"/>
      <c r="T596" s="99"/>
      <c r="U596" s="99"/>
      <c r="V596" s="99"/>
      <c r="W596" s="99"/>
      <c r="X596" s="99"/>
      <c r="Y596" s="99"/>
      <c r="Z596" s="99"/>
      <c r="AA596" s="99"/>
      <c r="AB596" s="99"/>
      <c r="AC596" s="99"/>
      <c r="AD596" s="99"/>
      <c r="AE596" s="99"/>
      <c r="AF596" s="99"/>
      <c r="AG596" s="99"/>
      <c r="AH596" s="99"/>
      <c r="AI596" s="99"/>
      <c r="AJ596" s="99"/>
      <c r="AK596" s="99"/>
      <c r="AL596" s="99"/>
      <c r="AM596" s="99"/>
    </row>
    <row r="597" ht="12.75" customHeight="1">
      <c r="A597" s="104"/>
      <c r="B597" s="104"/>
      <c r="C597" s="104"/>
      <c r="D597" s="110" t="s">
        <v>23</v>
      </c>
      <c r="G597" s="104"/>
      <c r="H597" s="104"/>
      <c r="I597" s="104"/>
      <c r="J597" s="111"/>
      <c r="K597" s="111"/>
      <c r="L597" s="105"/>
      <c r="M597" s="106"/>
      <c r="N597" s="105"/>
      <c r="O597" s="111"/>
      <c r="P597" s="111"/>
      <c r="Q597" s="111"/>
      <c r="R597" s="101"/>
      <c r="S597" s="101"/>
      <c r="T597" s="99"/>
      <c r="U597" s="99"/>
      <c r="V597" s="99"/>
      <c r="W597" s="99"/>
      <c r="X597" s="99"/>
      <c r="Y597" s="99"/>
      <c r="Z597" s="99"/>
      <c r="AA597" s="99"/>
      <c r="AB597" s="99"/>
      <c r="AC597" s="99"/>
      <c r="AD597" s="99"/>
      <c r="AE597" s="99"/>
      <c r="AF597" s="99"/>
      <c r="AG597" s="99"/>
      <c r="AH597" s="99"/>
      <c r="AI597" s="99"/>
      <c r="AJ597" s="99"/>
      <c r="AK597" s="99"/>
      <c r="AL597" s="99"/>
      <c r="AM597" s="99"/>
    </row>
    <row r="598" ht="12.75" customHeight="1">
      <c r="A598" s="104"/>
      <c r="B598" s="104"/>
      <c r="C598" s="104"/>
      <c r="D598" s="110" t="s">
        <v>24</v>
      </c>
      <c r="E598" s="110" t="s">
        <v>249</v>
      </c>
      <c r="G598" s="136">
        <v>24.0</v>
      </c>
      <c r="H598" s="136" t="s">
        <v>26</v>
      </c>
      <c r="I598" s="137">
        <v>500000.0</v>
      </c>
      <c r="J598" s="46">
        <f t="shared" ref="J598:J599" si="627">G598*I598</f>
        <v>12000000</v>
      </c>
      <c r="K598" s="46"/>
      <c r="L598" s="105"/>
      <c r="M598" s="106"/>
      <c r="N598" s="105"/>
      <c r="O598" s="46">
        <f t="shared" ref="O598:O599" si="628">J598-K598</f>
        <v>12000000</v>
      </c>
      <c r="P598" s="46">
        <f t="shared" ref="P598:P599" si="629">J598-M598</f>
        <v>12000000</v>
      </c>
      <c r="Q598" s="46">
        <v>1.2E7</v>
      </c>
      <c r="R598" s="101"/>
      <c r="S598" s="101"/>
      <c r="T598" s="99"/>
      <c r="U598" s="99"/>
      <c r="V598" s="99"/>
      <c r="W598" s="99"/>
      <c r="X598" s="99"/>
      <c r="Y598" s="99"/>
      <c r="Z598" s="99"/>
      <c r="AA598" s="99"/>
      <c r="AB598" s="99"/>
      <c r="AC598" s="99"/>
      <c r="AD598" s="99"/>
      <c r="AE598" s="99"/>
      <c r="AF598" s="99"/>
      <c r="AG598" s="99"/>
      <c r="AH598" s="99"/>
      <c r="AI598" s="99"/>
      <c r="AJ598" s="99"/>
      <c r="AK598" s="99"/>
      <c r="AL598" s="99"/>
      <c r="AM598" s="99"/>
    </row>
    <row r="599" ht="12.75" customHeight="1">
      <c r="A599" s="104"/>
      <c r="B599" s="104"/>
      <c r="C599" s="104"/>
      <c r="D599" s="110" t="s">
        <v>24</v>
      </c>
      <c r="E599" s="110" t="s">
        <v>230</v>
      </c>
      <c r="G599" s="136">
        <v>8.0</v>
      </c>
      <c r="H599" s="136" t="s">
        <v>26</v>
      </c>
      <c r="I599" s="137">
        <v>500000.0</v>
      </c>
      <c r="J599" s="46">
        <f t="shared" si="627"/>
        <v>4000000</v>
      </c>
      <c r="K599" s="46"/>
      <c r="L599" s="105"/>
      <c r="M599" s="106"/>
      <c r="N599" s="105"/>
      <c r="O599" s="46">
        <f t="shared" si="628"/>
        <v>4000000</v>
      </c>
      <c r="P599" s="46">
        <f t="shared" si="629"/>
        <v>4000000</v>
      </c>
      <c r="Q599" s="46">
        <v>4000000.0</v>
      </c>
      <c r="R599" s="101"/>
      <c r="S599" s="101"/>
      <c r="T599" s="99"/>
      <c r="U599" s="99"/>
      <c r="V599" s="99"/>
      <c r="W599" s="99"/>
      <c r="X599" s="99"/>
      <c r="Y599" s="99"/>
      <c r="Z599" s="99"/>
      <c r="AA599" s="99"/>
      <c r="AB599" s="99"/>
      <c r="AC599" s="99"/>
      <c r="AD599" s="99"/>
      <c r="AE599" s="99"/>
      <c r="AF599" s="99"/>
      <c r="AG599" s="99"/>
      <c r="AH599" s="99"/>
      <c r="AI599" s="99"/>
      <c r="AJ599" s="99"/>
      <c r="AK599" s="99"/>
      <c r="AL599" s="99"/>
      <c r="AM599" s="99"/>
    </row>
    <row r="600" ht="12.75" customHeight="1">
      <c r="A600" s="144" t="s">
        <v>37</v>
      </c>
      <c r="D600" s="144" t="s">
        <v>38</v>
      </c>
      <c r="G600" s="104"/>
      <c r="H600" s="128"/>
      <c r="I600" s="104"/>
      <c r="J600" s="129">
        <f t="shared" ref="J600:K600" si="630">J601+J606+J609</f>
        <v>35050000</v>
      </c>
      <c r="K600" s="43">
        <f t="shared" si="630"/>
        <v>0</v>
      </c>
      <c r="L600" s="105"/>
      <c r="M600" s="106"/>
      <c r="N600" s="105"/>
      <c r="O600" s="43">
        <f t="shared" ref="O600:P600" si="631">O601+O606+O609</f>
        <v>35050000</v>
      </c>
      <c r="P600" s="43">
        <f t="shared" si="631"/>
        <v>35050000</v>
      </c>
      <c r="Q600" s="43">
        <v>3.505E7</v>
      </c>
      <c r="R600" s="101"/>
      <c r="S600" s="101"/>
      <c r="T600" s="99"/>
      <c r="U600" s="99"/>
      <c r="V600" s="99"/>
      <c r="W600" s="99"/>
      <c r="X600" s="99"/>
      <c r="Y600" s="99"/>
      <c r="Z600" s="99"/>
      <c r="AA600" s="99"/>
      <c r="AB600" s="99"/>
      <c r="AC600" s="99"/>
      <c r="AD600" s="99"/>
      <c r="AE600" s="99"/>
      <c r="AF600" s="99"/>
      <c r="AG600" s="99"/>
      <c r="AH600" s="99"/>
      <c r="AI600" s="99"/>
      <c r="AJ600" s="99"/>
      <c r="AK600" s="99"/>
      <c r="AL600" s="99"/>
      <c r="AM600" s="99"/>
    </row>
    <row r="601" ht="12.75" customHeight="1">
      <c r="A601" s="110" t="s">
        <v>40</v>
      </c>
      <c r="D601" s="145" t="s">
        <v>22</v>
      </c>
      <c r="G601" s="104"/>
      <c r="H601" s="133"/>
      <c r="I601" s="104"/>
      <c r="J601" s="134">
        <f t="shared" ref="J601:K601" si="632">SUM(J603:J605)</f>
        <v>9050000</v>
      </c>
      <c r="K601" s="46">
        <f t="shared" si="632"/>
        <v>0</v>
      </c>
      <c r="L601" s="105"/>
      <c r="M601" s="106"/>
      <c r="N601" s="105"/>
      <c r="O601" s="46">
        <f t="shared" ref="O601:P601" si="633">SUM(O603:O605)</f>
        <v>9050000</v>
      </c>
      <c r="P601" s="46">
        <f t="shared" si="633"/>
        <v>9050000</v>
      </c>
      <c r="Q601" s="46">
        <v>9050000.0</v>
      </c>
      <c r="R601" s="101"/>
      <c r="S601" s="101"/>
      <c r="T601" s="99"/>
      <c r="U601" s="99"/>
      <c r="V601" s="99"/>
      <c r="W601" s="99"/>
      <c r="X601" s="99"/>
      <c r="Y601" s="99"/>
      <c r="Z601" s="99"/>
      <c r="AA601" s="99"/>
      <c r="AB601" s="99"/>
      <c r="AC601" s="99"/>
      <c r="AD601" s="99"/>
      <c r="AE601" s="99"/>
      <c r="AF601" s="99"/>
      <c r="AG601" s="99"/>
      <c r="AH601" s="99"/>
      <c r="AI601" s="99"/>
      <c r="AJ601" s="99"/>
      <c r="AK601" s="99"/>
      <c r="AL601" s="99"/>
      <c r="AM601" s="99"/>
    </row>
    <row r="602" ht="12.75" customHeight="1">
      <c r="A602" s="104"/>
      <c r="B602" s="104"/>
      <c r="C602" s="104"/>
      <c r="D602" s="110" t="s">
        <v>23</v>
      </c>
      <c r="G602" s="104"/>
      <c r="H602" s="104"/>
      <c r="I602" s="104"/>
      <c r="J602" s="111"/>
      <c r="K602" s="111"/>
      <c r="L602" s="105"/>
      <c r="M602" s="106"/>
      <c r="N602" s="105"/>
      <c r="O602" s="111"/>
      <c r="P602" s="111"/>
      <c r="Q602" s="111"/>
      <c r="R602" s="101"/>
      <c r="S602" s="101"/>
      <c r="T602" s="99"/>
      <c r="U602" s="99"/>
      <c r="V602" s="99"/>
      <c r="W602" s="99"/>
      <c r="X602" s="99"/>
      <c r="Y602" s="99"/>
      <c r="Z602" s="99"/>
      <c r="AA602" s="99"/>
      <c r="AB602" s="99"/>
      <c r="AC602" s="99"/>
      <c r="AD602" s="99"/>
      <c r="AE602" s="99"/>
      <c r="AF602" s="99"/>
      <c r="AG602" s="99"/>
      <c r="AH602" s="99"/>
      <c r="AI602" s="99"/>
      <c r="AJ602" s="99"/>
      <c r="AK602" s="99"/>
      <c r="AL602" s="99"/>
      <c r="AM602" s="99"/>
    </row>
    <row r="603" ht="12.75" customHeight="1">
      <c r="A603" s="104"/>
      <c r="B603" s="104"/>
      <c r="C603" s="104"/>
      <c r="D603" s="110" t="s">
        <v>24</v>
      </c>
      <c r="E603" s="110" t="s">
        <v>251</v>
      </c>
      <c r="G603" s="136">
        <v>150.0</v>
      </c>
      <c r="H603" s="136" t="s">
        <v>26</v>
      </c>
      <c r="I603" s="137">
        <v>53000.0</v>
      </c>
      <c r="J603" s="46">
        <f t="shared" ref="J603:J605" si="634">G603*I603</f>
        <v>7950000</v>
      </c>
      <c r="K603" s="46"/>
      <c r="L603" s="105"/>
      <c r="M603" s="106"/>
      <c r="N603" s="105"/>
      <c r="O603" s="46">
        <f t="shared" ref="O603:O605" si="635">J603-K603</f>
        <v>7950000</v>
      </c>
      <c r="P603" s="46">
        <f t="shared" ref="P603:P605" si="636">J603-M603</f>
        <v>7950000</v>
      </c>
      <c r="Q603" s="46">
        <v>7950000.0</v>
      </c>
      <c r="R603" s="101"/>
      <c r="S603" s="101"/>
      <c r="T603" s="99"/>
      <c r="U603" s="99"/>
      <c r="V603" s="99"/>
      <c r="W603" s="99"/>
      <c r="X603" s="99"/>
      <c r="Y603" s="99"/>
      <c r="Z603" s="99"/>
      <c r="AA603" s="99"/>
      <c r="AB603" s="99"/>
      <c r="AC603" s="99"/>
      <c r="AD603" s="99"/>
      <c r="AE603" s="99"/>
      <c r="AF603" s="99"/>
      <c r="AG603" s="99"/>
      <c r="AH603" s="99"/>
      <c r="AI603" s="99"/>
      <c r="AJ603" s="99"/>
      <c r="AK603" s="99"/>
      <c r="AL603" s="99"/>
      <c r="AM603" s="99"/>
    </row>
    <row r="604" ht="12.75" customHeight="1">
      <c r="A604" s="104"/>
      <c r="B604" s="104"/>
      <c r="C604" s="104"/>
      <c r="D604" s="110" t="s">
        <v>24</v>
      </c>
      <c r="E604" s="110" t="s">
        <v>42</v>
      </c>
      <c r="G604" s="136">
        <v>2.0</v>
      </c>
      <c r="H604" s="136" t="s">
        <v>26</v>
      </c>
      <c r="I604" s="137">
        <v>250000.0</v>
      </c>
      <c r="J604" s="46">
        <f t="shared" si="634"/>
        <v>500000</v>
      </c>
      <c r="K604" s="46"/>
      <c r="L604" s="105"/>
      <c r="M604" s="106"/>
      <c r="N604" s="105"/>
      <c r="O604" s="46">
        <f t="shared" si="635"/>
        <v>500000</v>
      </c>
      <c r="P604" s="46">
        <f t="shared" si="636"/>
        <v>500000</v>
      </c>
      <c r="Q604" s="46">
        <v>500000.0</v>
      </c>
      <c r="R604" s="101"/>
      <c r="S604" s="101"/>
      <c r="T604" s="99"/>
      <c r="U604" s="99"/>
      <c r="V604" s="99"/>
      <c r="W604" s="99"/>
      <c r="X604" s="99"/>
      <c r="Y604" s="99"/>
      <c r="Z604" s="99"/>
      <c r="AA604" s="99"/>
      <c r="AB604" s="99"/>
      <c r="AC604" s="99"/>
      <c r="AD604" s="99"/>
      <c r="AE604" s="99"/>
      <c r="AF604" s="99"/>
      <c r="AG604" s="99"/>
      <c r="AH604" s="99"/>
      <c r="AI604" s="99"/>
      <c r="AJ604" s="99"/>
      <c r="AK604" s="99"/>
      <c r="AL604" s="99"/>
      <c r="AM604" s="99"/>
    </row>
    <row r="605" ht="12.75" customHeight="1">
      <c r="A605" s="104"/>
      <c r="B605" s="104"/>
      <c r="C605" s="104"/>
      <c r="D605" s="110" t="s">
        <v>24</v>
      </c>
      <c r="E605" s="110" t="s">
        <v>43</v>
      </c>
      <c r="G605" s="136">
        <v>2.0</v>
      </c>
      <c r="H605" s="136" t="s">
        <v>26</v>
      </c>
      <c r="I605" s="137">
        <v>300000.0</v>
      </c>
      <c r="J605" s="46">
        <f t="shared" si="634"/>
        <v>600000</v>
      </c>
      <c r="K605" s="46"/>
      <c r="L605" s="105"/>
      <c r="M605" s="106"/>
      <c r="N605" s="105"/>
      <c r="O605" s="46">
        <f t="shared" si="635"/>
        <v>600000</v>
      </c>
      <c r="P605" s="46">
        <f t="shared" si="636"/>
        <v>600000</v>
      </c>
      <c r="Q605" s="46">
        <v>600000.0</v>
      </c>
      <c r="R605" s="101"/>
      <c r="S605" s="101"/>
      <c r="T605" s="99"/>
      <c r="U605" s="99"/>
      <c r="V605" s="99"/>
      <c r="W605" s="99"/>
      <c r="X605" s="99"/>
      <c r="Y605" s="99"/>
      <c r="Z605" s="99"/>
      <c r="AA605" s="99"/>
      <c r="AB605" s="99"/>
      <c r="AC605" s="99"/>
      <c r="AD605" s="99"/>
      <c r="AE605" s="99"/>
      <c r="AF605" s="99"/>
      <c r="AG605" s="99"/>
      <c r="AH605" s="99"/>
      <c r="AI605" s="99"/>
      <c r="AJ605" s="99"/>
      <c r="AK605" s="99"/>
      <c r="AL605" s="99"/>
      <c r="AM605" s="99"/>
    </row>
    <row r="606" ht="12.75" customHeight="1">
      <c r="A606" s="110" t="s">
        <v>44</v>
      </c>
      <c r="D606" s="145" t="s">
        <v>45</v>
      </c>
      <c r="G606" s="104"/>
      <c r="H606" s="133"/>
      <c r="I606" s="104"/>
      <c r="J606" s="134">
        <f t="shared" ref="J606:K606" si="637">J608</f>
        <v>2000000</v>
      </c>
      <c r="K606" s="46" t="str">
        <f t="shared" si="637"/>
        <v/>
      </c>
      <c r="L606" s="105"/>
      <c r="M606" s="106"/>
      <c r="N606" s="105"/>
      <c r="O606" s="46">
        <f t="shared" ref="O606:P606" si="638">O608</f>
        <v>2000000</v>
      </c>
      <c r="P606" s="46">
        <f t="shared" si="638"/>
        <v>2000000</v>
      </c>
      <c r="Q606" s="46">
        <v>2000000.0</v>
      </c>
      <c r="R606" s="101"/>
      <c r="S606" s="101"/>
      <c r="T606" s="99"/>
      <c r="U606" s="99"/>
      <c r="V606" s="99"/>
      <c r="W606" s="99"/>
      <c r="X606" s="99"/>
      <c r="Y606" s="99"/>
      <c r="Z606" s="99"/>
      <c r="AA606" s="99"/>
      <c r="AB606" s="99"/>
      <c r="AC606" s="99"/>
      <c r="AD606" s="99"/>
      <c r="AE606" s="99"/>
      <c r="AF606" s="99"/>
      <c r="AG606" s="99"/>
      <c r="AH606" s="99"/>
      <c r="AI606" s="99"/>
      <c r="AJ606" s="99"/>
      <c r="AK606" s="99"/>
      <c r="AL606" s="99"/>
      <c r="AM606" s="99"/>
    </row>
    <row r="607" ht="12.75" customHeight="1">
      <c r="A607" s="104"/>
      <c r="B607" s="104"/>
      <c r="C607" s="104"/>
      <c r="D607" s="110" t="s">
        <v>23</v>
      </c>
      <c r="G607" s="104"/>
      <c r="H607" s="104"/>
      <c r="I607" s="104"/>
      <c r="J607" s="111"/>
      <c r="K607" s="111"/>
      <c r="L607" s="105"/>
      <c r="M607" s="106"/>
      <c r="N607" s="105"/>
      <c r="O607" s="111"/>
      <c r="P607" s="111"/>
      <c r="Q607" s="111"/>
      <c r="R607" s="101"/>
      <c r="S607" s="101"/>
      <c r="T607" s="99"/>
      <c r="U607" s="99"/>
      <c r="V607" s="99"/>
      <c r="W607" s="99"/>
      <c r="X607" s="99"/>
      <c r="Y607" s="99"/>
      <c r="Z607" s="99"/>
      <c r="AA607" s="99"/>
      <c r="AB607" s="99"/>
      <c r="AC607" s="99"/>
      <c r="AD607" s="99"/>
      <c r="AE607" s="99"/>
      <c r="AF607" s="99"/>
      <c r="AG607" s="99"/>
      <c r="AH607" s="99"/>
      <c r="AI607" s="99"/>
      <c r="AJ607" s="99"/>
      <c r="AK607" s="99"/>
      <c r="AL607" s="99"/>
      <c r="AM607" s="99"/>
    </row>
    <row r="608" ht="12.75" customHeight="1">
      <c r="A608" s="104"/>
      <c r="B608" s="104"/>
      <c r="C608" s="104"/>
      <c r="D608" s="110" t="s">
        <v>24</v>
      </c>
      <c r="E608" s="110" t="s">
        <v>161</v>
      </c>
      <c r="G608" s="136">
        <v>4.0</v>
      </c>
      <c r="H608" s="136" t="s">
        <v>26</v>
      </c>
      <c r="I608" s="137">
        <v>500000.0</v>
      </c>
      <c r="J608" s="46">
        <f>G608*I608</f>
        <v>2000000</v>
      </c>
      <c r="K608" s="46"/>
      <c r="L608" s="105"/>
      <c r="M608" s="106"/>
      <c r="N608" s="105"/>
      <c r="O608" s="46">
        <f>J608-K608</f>
        <v>2000000</v>
      </c>
      <c r="P608" s="46">
        <f>J608-M608</f>
        <v>2000000</v>
      </c>
      <c r="Q608" s="46">
        <v>2000000.0</v>
      </c>
      <c r="R608" s="101"/>
      <c r="S608" s="101"/>
      <c r="T608" s="99"/>
      <c r="U608" s="99"/>
      <c r="V608" s="99"/>
      <c r="W608" s="99"/>
      <c r="X608" s="99"/>
      <c r="Y608" s="99"/>
      <c r="Z608" s="99"/>
      <c r="AA608" s="99"/>
      <c r="AB608" s="99"/>
      <c r="AC608" s="99"/>
      <c r="AD608" s="99"/>
      <c r="AE608" s="99"/>
      <c r="AF608" s="99"/>
      <c r="AG608" s="99"/>
      <c r="AH608" s="99"/>
      <c r="AI608" s="99"/>
      <c r="AJ608" s="99"/>
      <c r="AK608" s="99"/>
      <c r="AL608" s="99"/>
      <c r="AM608" s="99"/>
    </row>
    <row r="609" ht="12.75" customHeight="1">
      <c r="A609" s="110" t="s">
        <v>47</v>
      </c>
      <c r="D609" s="145" t="s">
        <v>48</v>
      </c>
      <c r="G609" s="104"/>
      <c r="H609" s="133"/>
      <c r="I609" s="104"/>
      <c r="J609" s="134">
        <f t="shared" ref="J609:K609" si="639">J611</f>
        <v>24000000</v>
      </c>
      <c r="K609" s="46" t="str">
        <f t="shared" si="639"/>
        <v/>
      </c>
      <c r="L609" s="105"/>
      <c r="M609" s="106"/>
      <c r="N609" s="105"/>
      <c r="O609" s="46">
        <f t="shared" ref="O609:P609" si="640">O611</f>
        <v>24000000</v>
      </c>
      <c r="P609" s="46">
        <f t="shared" si="640"/>
        <v>24000000</v>
      </c>
      <c r="Q609" s="46">
        <v>2.4E7</v>
      </c>
      <c r="R609" s="101"/>
      <c r="S609" s="101"/>
      <c r="T609" s="99"/>
      <c r="U609" s="99"/>
      <c r="V609" s="99"/>
      <c r="W609" s="99"/>
      <c r="X609" s="99"/>
      <c r="Y609" s="99"/>
      <c r="Z609" s="99"/>
      <c r="AA609" s="99"/>
      <c r="AB609" s="99"/>
      <c r="AC609" s="99"/>
      <c r="AD609" s="99"/>
      <c r="AE609" s="99"/>
      <c r="AF609" s="99"/>
      <c r="AG609" s="99"/>
      <c r="AH609" s="99"/>
      <c r="AI609" s="99"/>
      <c r="AJ609" s="99"/>
      <c r="AK609" s="99"/>
      <c r="AL609" s="99"/>
      <c r="AM609" s="99"/>
    </row>
    <row r="610" ht="12.75" customHeight="1">
      <c r="A610" s="104"/>
      <c r="B610" s="104"/>
      <c r="C610" s="104"/>
      <c r="D610" s="110" t="s">
        <v>23</v>
      </c>
      <c r="G610" s="104"/>
      <c r="H610" s="104"/>
      <c r="I610" s="104"/>
      <c r="J610" s="111"/>
      <c r="K610" s="111"/>
      <c r="L610" s="105"/>
      <c r="M610" s="106"/>
      <c r="N610" s="105"/>
      <c r="O610" s="111"/>
      <c r="P610" s="111"/>
      <c r="Q610" s="111"/>
      <c r="R610" s="101"/>
      <c r="S610" s="101"/>
      <c r="T610" s="99"/>
      <c r="U610" s="99"/>
      <c r="V610" s="99"/>
      <c r="W610" s="99"/>
      <c r="X610" s="99"/>
      <c r="Y610" s="99"/>
      <c r="Z610" s="99"/>
      <c r="AA610" s="99"/>
      <c r="AB610" s="99"/>
      <c r="AC610" s="99"/>
      <c r="AD610" s="99"/>
      <c r="AE610" s="99"/>
      <c r="AF610" s="99"/>
      <c r="AG610" s="99"/>
      <c r="AH610" s="99"/>
      <c r="AI610" s="99"/>
      <c r="AJ610" s="99"/>
      <c r="AK610" s="99"/>
      <c r="AL610" s="99"/>
      <c r="AM610" s="99"/>
    </row>
    <row r="611" ht="12.75" customHeight="1">
      <c r="A611" s="104"/>
      <c r="B611" s="104"/>
      <c r="C611" s="104"/>
      <c r="D611" s="110" t="s">
        <v>24</v>
      </c>
      <c r="E611" s="110" t="s">
        <v>252</v>
      </c>
      <c r="G611" s="136">
        <v>6.0</v>
      </c>
      <c r="H611" s="136" t="s">
        <v>26</v>
      </c>
      <c r="I611" s="137">
        <v>4000000.0</v>
      </c>
      <c r="J611" s="46">
        <f>G611*I611</f>
        <v>24000000</v>
      </c>
      <c r="K611" s="46"/>
      <c r="L611" s="105"/>
      <c r="M611" s="106"/>
      <c r="N611" s="105"/>
      <c r="O611" s="46">
        <f>J611-K611</f>
        <v>24000000</v>
      </c>
      <c r="P611" s="46">
        <f>J611-M611</f>
        <v>24000000</v>
      </c>
      <c r="Q611" s="46">
        <v>2.4E7</v>
      </c>
      <c r="R611" s="101"/>
      <c r="S611" s="101"/>
      <c r="T611" s="99"/>
      <c r="U611" s="99"/>
      <c r="V611" s="99"/>
      <c r="W611" s="99"/>
      <c r="X611" s="99"/>
      <c r="Y611" s="99"/>
      <c r="Z611" s="99"/>
      <c r="AA611" s="99"/>
      <c r="AB611" s="99"/>
      <c r="AC611" s="99"/>
      <c r="AD611" s="99"/>
      <c r="AE611" s="99"/>
      <c r="AF611" s="99"/>
      <c r="AG611" s="99"/>
      <c r="AH611" s="99"/>
      <c r="AI611" s="99"/>
      <c r="AJ611" s="99"/>
      <c r="AK611" s="99"/>
      <c r="AL611" s="99"/>
      <c r="AM611" s="99"/>
    </row>
    <row r="612" ht="12.75" customHeight="1">
      <c r="A612" s="144" t="s">
        <v>50</v>
      </c>
      <c r="D612" s="144" t="s">
        <v>51</v>
      </c>
      <c r="G612" s="104"/>
      <c r="H612" s="128"/>
      <c r="I612" s="104"/>
      <c r="J612" s="129">
        <f t="shared" ref="J612:K612" si="641">J613+J619+J622</f>
        <v>81700000</v>
      </c>
      <c r="K612" s="43">
        <f t="shared" si="641"/>
        <v>0</v>
      </c>
      <c r="L612" s="105"/>
      <c r="M612" s="106"/>
      <c r="N612" s="105"/>
      <c r="O612" s="43">
        <f t="shared" ref="O612:P612" si="642">O613+O619+O622</f>
        <v>81700000</v>
      </c>
      <c r="P612" s="43">
        <f t="shared" si="642"/>
        <v>81700000</v>
      </c>
      <c r="Q612" s="43">
        <v>8.17E7</v>
      </c>
      <c r="R612" s="101"/>
      <c r="S612" s="101"/>
      <c r="T612" s="99"/>
      <c r="U612" s="99"/>
      <c r="V612" s="99"/>
      <c r="W612" s="99"/>
      <c r="X612" s="99"/>
      <c r="Y612" s="99"/>
      <c r="Z612" s="99"/>
      <c r="AA612" s="99"/>
      <c r="AB612" s="99"/>
      <c r="AC612" s="99"/>
      <c r="AD612" s="99"/>
      <c r="AE612" s="99"/>
      <c r="AF612" s="99"/>
      <c r="AG612" s="99"/>
      <c r="AH612" s="99"/>
      <c r="AI612" s="99"/>
      <c r="AJ612" s="99"/>
      <c r="AK612" s="99"/>
      <c r="AL612" s="99"/>
      <c r="AM612" s="99"/>
    </row>
    <row r="613" ht="12.75" customHeight="1">
      <c r="A613" s="110" t="s">
        <v>40</v>
      </c>
      <c r="D613" s="145" t="s">
        <v>22</v>
      </c>
      <c r="G613" s="104"/>
      <c r="H613" s="133"/>
      <c r="I613" s="104"/>
      <c r="J613" s="134">
        <f t="shared" ref="J613:K613" si="643">SUM(J615:J618)</f>
        <v>55700000</v>
      </c>
      <c r="K613" s="46">
        <f t="shared" si="643"/>
        <v>0</v>
      </c>
      <c r="L613" s="105"/>
      <c r="M613" s="106"/>
      <c r="N613" s="105"/>
      <c r="O613" s="46">
        <f t="shared" ref="O613:P613" si="644">SUM(O615:O618)</f>
        <v>55700000</v>
      </c>
      <c r="P613" s="46">
        <f t="shared" si="644"/>
        <v>55700000</v>
      </c>
      <c r="Q613" s="46">
        <v>5.57E7</v>
      </c>
      <c r="R613" s="101"/>
      <c r="S613" s="101"/>
      <c r="T613" s="99"/>
      <c r="U613" s="99"/>
      <c r="V613" s="99"/>
      <c r="W613" s="99"/>
      <c r="X613" s="99"/>
      <c r="Y613" s="99"/>
      <c r="Z613" s="99"/>
      <c r="AA613" s="99"/>
      <c r="AB613" s="99"/>
      <c r="AC613" s="99"/>
      <c r="AD613" s="99"/>
      <c r="AE613" s="99"/>
      <c r="AF613" s="99"/>
      <c r="AG613" s="99"/>
      <c r="AH613" s="99"/>
      <c r="AI613" s="99"/>
      <c r="AJ613" s="99"/>
      <c r="AK613" s="99"/>
      <c r="AL613" s="99"/>
      <c r="AM613" s="99"/>
    </row>
    <row r="614" ht="12.75" customHeight="1">
      <c r="A614" s="104"/>
      <c r="B614" s="104"/>
      <c r="C614" s="104"/>
      <c r="D614" s="110" t="s">
        <v>23</v>
      </c>
      <c r="G614" s="104"/>
      <c r="H614" s="104"/>
      <c r="I614" s="104"/>
      <c r="J614" s="111"/>
      <c r="K614" s="111"/>
      <c r="L614" s="105"/>
      <c r="M614" s="106"/>
      <c r="N614" s="105"/>
      <c r="O614" s="111"/>
      <c r="P614" s="111"/>
      <c r="Q614" s="111"/>
      <c r="R614" s="101"/>
      <c r="S614" s="101"/>
      <c r="T614" s="99"/>
      <c r="U614" s="99"/>
      <c r="V614" s="99"/>
      <c r="W614" s="99"/>
      <c r="X614" s="99"/>
      <c r="Y614" s="99"/>
      <c r="Z614" s="99"/>
      <c r="AA614" s="99"/>
      <c r="AB614" s="99"/>
      <c r="AC614" s="99"/>
      <c r="AD614" s="99"/>
      <c r="AE614" s="99"/>
      <c r="AF614" s="99"/>
      <c r="AG614" s="99"/>
      <c r="AH614" s="99"/>
      <c r="AI614" s="99"/>
      <c r="AJ614" s="99"/>
      <c r="AK614" s="99"/>
      <c r="AL614" s="99"/>
      <c r="AM614" s="99"/>
    </row>
    <row r="615" ht="12.75" customHeight="1">
      <c r="A615" s="104"/>
      <c r="B615" s="104"/>
      <c r="C615" s="104"/>
      <c r="D615" s="110" t="s">
        <v>24</v>
      </c>
      <c r="E615" s="110" t="s">
        <v>253</v>
      </c>
      <c r="G615" s="136">
        <v>150.0</v>
      </c>
      <c r="H615" s="136" t="s">
        <v>26</v>
      </c>
      <c r="I615" s="137">
        <v>53000.0</v>
      </c>
      <c r="J615" s="46">
        <f t="shared" ref="J615:J618" si="645">G615*I615</f>
        <v>7950000</v>
      </c>
      <c r="K615" s="46"/>
      <c r="L615" s="105"/>
      <c r="M615" s="106"/>
      <c r="N615" s="105"/>
      <c r="O615" s="46">
        <f t="shared" ref="O615:O618" si="646">J615-K615</f>
        <v>7950000</v>
      </c>
      <c r="P615" s="46">
        <f t="shared" ref="P615:P618" si="647">J615-M615</f>
        <v>7950000</v>
      </c>
      <c r="Q615" s="46">
        <v>7950000.0</v>
      </c>
      <c r="R615" s="101"/>
      <c r="S615" s="101"/>
      <c r="T615" s="99"/>
      <c r="U615" s="99"/>
      <c r="V615" s="99"/>
      <c r="W615" s="99"/>
      <c r="X615" s="99"/>
      <c r="Y615" s="99"/>
      <c r="Z615" s="99"/>
      <c r="AA615" s="99"/>
      <c r="AB615" s="99"/>
      <c r="AC615" s="99"/>
      <c r="AD615" s="99"/>
      <c r="AE615" s="99"/>
      <c r="AF615" s="99"/>
      <c r="AG615" s="99"/>
      <c r="AH615" s="99"/>
      <c r="AI615" s="99"/>
      <c r="AJ615" s="99"/>
      <c r="AK615" s="99"/>
      <c r="AL615" s="99"/>
      <c r="AM615" s="99"/>
    </row>
    <row r="616" ht="12.75" customHeight="1">
      <c r="A616" s="104"/>
      <c r="B616" s="104"/>
      <c r="C616" s="104"/>
      <c r="D616" s="110" t="s">
        <v>24</v>
      </c>
      <c r="E616" s="110" t="s">
        <v>53</v>
      </c>
      <c r="G616" s="136">
        <v>5.0</v>
      </c>
      <c r="H616" s="136" t="s">
        <v>26</v>
      </c>
      <c r="I616" s="137">
        <v>500000.0</v>
      </c>
      <c r="J616" s="46">
        <f t="shared" si="645"/>
        <v>2500000</v>
      </c>
      <c r="K616" s="46"/>
      <c r="L616" s="105"/>
      <c r="M616" s="106"/>
      <c r="N616" s="105"/>
      <c r="O616" s="46">
        <f t="shared" si="646"/>
        <v>2500000</v>
      </c>
      <c r="P616" s="46">
        <f t="shared" si="647"/>
        <v>2500000</v>
      </c>
      <c r="Q616" s="46">
        <v>2500000.0</v>
      </c>
      <c r="R616" s="101"/>
      <c r="S616" s="101"/>
      <c r="T616" s="99"/>
      <c r="U616" s="99"/>
      <c r="V616" s="99"/>
      <c r="W616" s="99"/>
      <c r="X616" s="99"/>
      <c r="Y616" s="99"/>
      <c r="Z616" s="99"/>
      <c r="AA616" s="99"/>
      <c r="AB616" s="99"/>
      <c r="AC616" s="99"/>
      <c r="AD616" s="99"/>
      <c r="AE616" s="99"/>
      <c r="AF616" s="99"/>
      <c r="AG616" s="99"/>
      <c r="AH616" s="99"/>
      <c r="AI616" s="99"/>
      <c r="AJ616" s="99"/>
      <c r="AK616" s="99"/>
      <c r="AL616" s="99"/>
      <c r="AM616" s="99"/>
    </row>
    <row r="617" ht="12.75" customHeight="1">
      <c r="A617" s="104"/>
      <c r="B617" s="104"/>
      <c r="C617" s="104"/>
      <c r="D617" s="110" t="s">
        <v>24</v>
      </c>
      <c r="E617" s="110" t="s">
        <v>54</v>
      </c>
      <c r="G617" s="136">
        <v>1.0</v>
      </c>
      <c r="H617" s="136" t="s">
        <v>55</v>
      </c>
      <c r="I617" s="137">
        <v>250000.0</v>
      </c>
      <c r="J617" s="46">
        <f t="shared" si="645"/>
        <v>250000</v>
      </c>
      <c r="K617" s="46"/>
      <c r="L617" s="105"/>
      <c r="M617" s="106"/>
      <c r="N617" s="105"/>
      <c r="O617" s="46">
        <f t="shared" si="646"/>
        <v>250000</v>
      </c>
      <c r="P617" s="46">
        <f t="shared" si="647"/>
        <v>250000</v>
      </c>
      <c r="Q617" s="46">
        <v>250000.0</v>
      </c>
      <c r="R617" s="101"/>
      <c r="S617" s="101"/>
      <c r="T617" s="99"/>
      <c r="U617" s="99"/>
      <c r="V617" s="99"/>
      <c r="W617" s="99"/>
      <c r="X617" s="99"/>
      <c r="Y617" s="99"/>
      <c r="Z617" s="99"/>
      <c r="AA617" s="99"/>
      <c r="AB617" s="99"/>
      <c r="AC617" s="99"/>
      <c r="AD617" s="99"/>
      <c r="AE617" s="99"/>
      <c r="AF617" s="99"/>
      <c r="AG617" s="99"/>
      <c r="AH617" s="99"/>
      <c r="AI617" s="99"/>
      <c r="AJ617" s="99"/>
      <c r="AK617" s="99"/>
      <c r="AL617" s="99"/>
      <c r="AM617" s="99"/>
    </row>
    <row r="618" ht="12.75" customHeight="1">
      <c r="A618" s="104"/>
      <c r="B618" s="104"/>
      <c r="C618" s="104"/>
      <c r="D618" s="110" t="s">
        <v>24</v>
      </c>
      <c r="E618" s="110" t="s">
        <v>254</v>
      </c>
      <c r="G618" s="136">
        <v>150.0</v>
      </c>
      <c r="H618" s="136" t="s">
        <v>26</v>
      </c>
      <c r="I618" s="137">
        <v>300000.0</v>
      </c>
      <c r="J618" s="46">
        <f t="shared" si="645"/>
        <v>45000000</v>
      </c>
      <c r="K618" s="46"/>
      <c r="L618" s="105"/>
      <c r="M618" s="106"/>
      <c r="N618" s="105"/>
      <c r="O618" s="46">
        <f t="shared" si="646"/>
        <v>45000000</v>
      </c>
      <c r="P618" s="46">
        <f t="shared" si="647"/>
        <v>45000000</v>
      </c>
      <c r="Q618" s="46">
        <v>4.5E7</v>
      </c>
      <c r="R618" s="101"/>
      <c r="S618" s="101"/>
      <c r="T618" s="99"/>
      <c r="U618" s="99"/>
      <c r="V618" s="99"/>
      <c r="W618" s="99"/>
      <c r="X618" s="99"/>
      <c r="Y618" s="99"/>
      <c r="Z618" s="99"/>
      <c r="AA618" s="99"/>
      <c r="AB618" s="99"/>
      <c r="AC618" s="99"/>
      <c r="AD618" s="99"/>
      <c r="AE618" s="99"/>
      <c r="AF618" s="99"/>
      <c r="AG618" s="99"/>
      <c r="AH618" s="99"/>
      <c r="AI618" s="99"/>
      <c r="AJ618" s="99"/>
      <c r="AK618" s="99"/>
      <c r="AL618" s="99"/>
      <c r="AM618" s="99"/>
    </row>
    <row r="619" ht="12.75" customHeight="1">
      <c r="A619" s="110" t="s">
        <v>47</v>
      </c>
      <c r="D619" s="145" t="s">
        <v>48</v>
      </c>
      <c r="G619" s="104"/>
      <c r="H619" s="133"/>
      <c r="I619" s="104"/>
      <c r="J619" s="134">
        <f t="shared" ref="J619:K619" si="648">J621</f>
        <v>24000000</v>
      </c>
      <c r="K619" s="46" t="str">
        <f t="shared" si="648"/>
        <v/>
      </c>
      <c r="L619" s="105"/>
      <c r="M619" s="106"/>
      <c r="N619" s="105"/>
      <c r="O619" s="46">
        <f t="shared" ref="O619:P619" si="649">O621</f>
        <v>24000000</v>
      </c>
      <c r="P619" s="46">
        <f t="shared" si="649"/>
        <v>24000000</v>
      </c>
      <c r="Q619" s="46">
        <v>2.4E7</v>
      </c>
      <c r="R619" s="101"/>
      <c r="S619" s="101"/>
      <c r="T619" s="99"/>
      <c r="U619" s="99"/>
      <c r="V619" s="99"/>
      <c r="W619" s="99"/>
      <c r="X619" s="99"/>
      <c r="Y619" s="99"/>
      <c r="Z619" s="99"/>
      <c r="AA619" s="99"/>
      <c r="AB619" s="99"/>
      <c r="AC619" s="99"/>
      <c r="AD619" s="99"/>
      <c r="AE619" s="99"/>
      <c r="AF619" s="99"/>
      <c r="AG619" s="99"/>
      <c r="AH619" s="99"/>
      <c r="AI619" s="99"/>
      <c r="AJ619" s="99"/>
      <c r="AK619" s="99"/>
      <c r="AL619" s="99"/>
      <c r="AM619" s="99"/>
    </row>
    <row r="620" ht="12.75" customHeight="1">
      <c r="A620" s="104"/>
      <c r="B620" s="104"/>
      <c r="C620" s="104"/>
      <c r="D620" s="110" t="s">
        <v>23</v>
      </c>
      <c r="G620" s="104"/>
      <c r="H620" s="104"/>
      <c r="I620" s="104"/>
      <c r="J620" s="111"/>
      <c r="K620" s="111"/>
      <c r="L620" s="105"/>
      <c r="M620" s="106"/>
      <c r="N620" s="105"/>
      <c r="O620" s="111"/>
      <c r="P620" s="111"/>
      <c r="Q620" s="111"/>
      <c r="R620" s="101"/>
      <c r="S620" s="101"/>
      <c r="T620" s="99"/>
      <c r="U620" s="99"/>
      <c r="V620" s="99"/>
      <c r="W620" s="99"/>
      <c r="X620" s="99"/>
      <c r="Y620" s="99"/>
      <c r="Z620" s="99"/>
      <c r="AA620" s="99"/>
      <c r="AB620" s="99"/>
      <c r="AC620" s="99"/>
      <c r="AD620" s="99"/>
      <c r="AE620" s="99"/>
      <c r="AF620" s="99"/>
      <c r="AG620" s="99"/>
      <c r="AH620" s="99"/>
      <c r="AI620" s="99"/>
      <c r="AJ620" s="99"/>
      <c r="AK620" s="99"/>
      <c r="AL620" s="99"/>
      <c r="AM620" s="99"/>
    </row>
    <row r="621" ht="12.75" customHeight="1">
      <c r="A621" s="104"/>
      <c r="B621" s="104"/>
      <c r="C621" s="104"/>
      <c r="D621" s="110" t="s">
        <v>24</v>
      </c>
      <c r="E621" s="110" t="s">
        <v>255</v>
      </c>
      <c r="G621" s="136">
        <v>6.0</v>
      </c>
      <c r="H621" s="136" t="s">
        <v>26</v>
      </c>
      <c r="I621" s="137">
        <v>4000000.0</v>
      </c>
      <c r="J621" s="46">
        <f>G621*I621</f>
        <v>24000000</v>
      </c>
      <c r="K621" s="46"/>
      <c r="L621" s="105"/>
      <c r="M621" s="106"/>
      <c r="N621" s="105"/>
      <c r="O621" s="46">
        <f>J621-K621</f>
        <v>24000000</v>
      </c>
      <c r="P621" s="46">
        <f>J621-M621</f>
        <v>24000000</v>
      </c>
      <c r="Q621" s="46">
        <v>2.4E7</v>
      </c>
      <c r="R621" s="101"/>
      <c r="S621" s="101"/>
      <c r="T621" s="99"/>
      <c r="U621" s="99"/>
      <c r="V621" s="99"/>
      <c r="W621" s="99"/>
      <c r="X621" s="99"/>
      <c r="Y621" s="99"/>
      <c r="Z621" s="99"/>
      <c r="AA621" s="99"/>
      <c r="AB621" s="99"/>
      <c r="AC621" s="99"/>
      <c r="AD621" s="99"/>
      <c r="AE621" s="99"/>
      <c r="AF621" s="99"/>
      <c r="AG621" s="99"/>
      <c r="AH621" s="99"/>
      <c r="AI621" s="99"/>
      <c r="AJ621" s="99"/>
      <c r="AK621" s="99"/>
      <c r="AL621" s="99"/>
      <c r="AM621" s="99"/>
    </row>
    <row r="622" ht="12.75" customHeight="1">
      <c r="A622" s="110" t="s">
        <v>58</v>
      </c>
      <c r="D622" s="145" t="s">
        <v>34</v>
      </c>
      <c r="G622" s="104"/>
      <c r="H622" s="133"/>
      <c r="I622" s="104"/>
      <c r="J622" s="134">
        <f t="shared" ref="J622:K622" si="650">J624</f>
        <v>2000000</v>
      </c>
      <c r="K622" s="46" t="str">
        <f t="shared" si="650"/>
        <v/>
      </c>
      <c r="L622" s="105"/>
      <c r="M622" s="106"/>
      <c r="N622" s="105"/>
      <c r="O622" s="46">
        <f t="shared" ref="O622:P622" si="651">O624</f>
        <v>2000000</v>
      </c>
      <c r="P622" s="46">
        <f t="shared" si="651"/>
        <v>2000000</v>
      </c>
      <c r="Q622" s="46">
        <v>2000000.0</v>
      </c>
      <c r="R622" s="101"/>
      <c r="S622" s="101"/>
      <c r="T622" s="99"/>
      <c r="U622" s="99"/>
      <c r="V622" s="99"/>
      <c r="W622" s="99"/>
      <c r="X622" s="99"/>
      <c r="Y622" s="99"/>
      <c r="Z622" s="99"/>
      <c r="AA622" s="99"/>
      <c r="AB622" s="99"/>
      <c r="AC622" s="99"/>
      <c r="AD622" s="99"/>
      <c r="AE622" s="99"/>
      <c r="AF622" s="99"/>
      <c r="AG622" s="99"/>
      <c r="AH622" s="99"/>
      <c r="AI622" s="99"/>
      <c r="AJ622" s="99"/>
      <c r="AK622" s="99"/>
      <c r="AL622" s="99"/>
      <c r="AM622" s="99"/>
    </row>
    <row r="623" ht="12.75" customHeight="1">
      <c r="A623" s="104"/>
      <c r="B623" s="104"/>
      <c r="C623" s="104"/>
      <c r="D623" s="110" t="s">
        <v>23</v>
      </c>
      <c r="G623" s="104"/>
      <c r="H623" s="104"/>
      <c r="I623" s="104"/>
      <c r="J623" s="111"/>
      <c r="K623" s="111"/>
      <c r="L623" s="105"/>
      <c r="M623" s="106"/>
      <c r="N623" s="105"/>
      <c r="O623" s="111"/>
      <c r="P623" s="111"/>
      <c r="Q623" s="111"/>
      <c r="R623" s="101"/>
      <c r="S623" s="101"/>
      <c r="T623" s="99"/>
      <c r="U623" s="99"/>
      <c r="V623" s="99"/>
      <c r="W623" s="99"/>
      <c r="X623" s="99"/>
      <c r="Y623" s="99"/>
      <c r="Z623" s="99"/>
      <c r="AA623" s="99"/>
      <c r="AB623" s="99"/>
      <c r="AC623" s="99"/>
      <c r="AD623" s="99"/>
      <c r="AE623" s="99"/>
      <c r="AF623" s="99"/>
      <c r="AG623" s="99"/>
      <c r="AH623" s="99"/>
      <c r="AI623" s="99"/>
      <c r="AJ623" s="99"/>
      <c r="AK623" s="99"/>
      <c r="AL623" s="99"/>
      <c r="AM623" s="99"/>
    </row>
    <row r="624" ht="12.75" customHeight="1">
      <c r="A624" s="104"/>
      <c r="B624" s="104"/>
      <c r="C624" s="104"/>
      <c r="D624" s="110" t="s">
        <v>24</v>
      </c>
      <c r="E624" s="110" t="s">
        <v>59</v>
      </c>
      <c r="G624" s="136">
        <v>4.0</v>
      </c>
      <c r="H624" s="136" t="s">
        <v>26</v>
      </c>
      <c r="I624" s="137">
        <v>500000.0</v>
      </c>
      <c r="J624" s="46">
        <f>G624*I624</f>
        <v>2000000</v>
      </c>
      <c r="K624" s="46"/>
      <c r="L624" s="105"/>
      <c r="M624" s="106"/>
      <c r="N624" s="105"/>
      <c r="O624" s="46">
        <f>J624-K624</f>
        <v>2000000</v>
      </c>
      <c r="P624" s="46">
        <f>J624-M624</f>
        <v>2000000</v>
      </c>
      <c r="Q624" s="46">
        <v>2000000.0</v>
      </c>
      <c r="R624" s="101"/>
      <c r="S624" s="101"/>
      <c r="T624" s="99"/>
      <c r="U624" s="99"/>
      <c r="V624" s="99"/>
      <c r="W624" s="99"/>
      <c r="X624" s="99"/>
      <c r="Y624" s="99"/>
      <c r="Z624" s="99"/>
      <c r="AA624" s="99"/>
      <c r="AB624" s="99"/>
      <c r="AC624" s="99"/>
      <c r="AD624" s="99"/>
      <c r="AE624" s="99"/>
      <c r="AF624" s="99"/>
      <c r="AG624" s="99"/>
      <c r="AH624" s="99"/>
      <c r="AI624" s="99"/>
      <c r="AJ624" s="99"/>
      <c r="AK624" s="99"/>
      <c r="AL624" s="99"/>
      <c r="AM624" s="99"/>
    </row>
    <row r="625" ht="12.75" customHeight="1">
      <c r="A625" s="144" t="s">
        <v>60</v>
      </c>
      <c r="D625" s="144" t="s">
        <v>61</v>
      </c>
      <c r="G625" s="104"/>
      <c r="H625" s="128"/>
      <c r="I625" s="104"/>
      <c r="J625" s="129">
        <f t="shared" ref="J625:K625" si="652">J626+J629+J633+J636+J639</f>
        <v>254700000</v>
      </c>
      <c r="K625" s="43">
        <f t="shared" si="652"/>
        <v>0</v>
      </c>
      <c r="L625" s="105"/>
      <c r="M625" s="106"/>
      <c r="N625" s="105"/>
      <c r="O625" s="43">
        <f t="shared" ref="O625:P625" si="653">O626+O629+O633+O636+O639</f>
        <v>254700000</v>
      </c>
      <c r="P625" s="43">
        <f t="shared" si="653"/>
        <v>254700000</v>
      </c>
      <c r="Q625" s="43">
        <v>2.547E8</v>
      </c>
      <c r="R625" s="101"/>
      <c r="S625" s="101"/>
      <c r="T625" s="99"/>
      <c r="U625" s="99"/>
      <c r="V625" s="99"/>
      <c r="W625" s="99"/>
      <c r="X625" s="99"/>
      <c r="Y625" s="99"/>
      <c r="Z625" s="99"/>
      <c r="AA625" s="99"/>
      <c r="AB625" s="99"/>
      <c r="AC625" s="99"/>
      <c r="AD625" s="99"/>
      <c r="AE625" s="99"/>
      <c r="AF625" s="99"/>
      <c r="AG625" s="99"/>
      <c r="AH625" s="99"/>
      <c r="AI625" s="99"/>
      <c r="AJ625" s="99"/>
      <c r="AK625" s="99"/>
      <c r="AL625" s="99"/>
      <c r="AM625" s="99"/>
    </row>
    <row r="626" ht="12.75" customHeight="1">
      <c r="A626" s="110" t="s">
        <v>40</v>
      </c>
      <c r="D626" s="145" t="s">
        <v>22</v>
      </c>
      <c r="G626" s="104"/>
      <c r="H626" s="133"/>
      <c r="I626" s="104"/>
      <c r="J626" s="134">
        <f t="shared" ref="J626:K626" si="654">J628</f>
        <v>47700000</v>
      </c>
      <c r="K626" s="46" t="str">
        <f t="shared" si="654"/>
        <v/>
      </c>
      <c r="L626" s="105"/>
      <c r="M626" s="106"/>
      <c r="N626" s="105"/>
      <c r="O626" s="46">
        <f t="shared" ref="O626:P626" si="655">O628</f>
        <v>47700000</v>
      </c>
      <c r="P626" s="46">
        <f t="shared" si="655"/>
        <v>47700000</v>
      </c>
      <c r="Q626" s="46">
        <v>4.77E7</v>
      </c>
      <c r="R626" s="101"/>
      <c r="S626" s="101"/>
      <c r="T626" s="99"/>
      <c r="U626" s="99"/>
      <c r="V626" s="99"/>
      <c r="W626" s="99"/>
      <c r="X626" s="99"/>
      <c r="Y626" s="99"/>
      <c r="Z626" s="99"/>
      <c r="AA626" s="99"/>
      <c r="AB626" s="99"/>
      <c r="AC626" s="99"/>
      <c r="AD626" s="99"/>
      <c r="AE626" s="99"/>
      <c r="AF626" s="99"/>
      <c r="AG626" s="99"/>
      <c r="AH626" s="99"/>
      <c r="AI626" s="99"/>
      <c r="AJ626" s="99"/>
      <c r="AK626" s="99"/>
      <c r="AL626" s="99"/>
      <c r="AM626" s="99"/>
    </row>
    <row r="627" ht="12.75" customHeight="1">
      <c r="A627" s="104"/>
      <c r="B627" s="104"/>
      <c r="C627" s="104"/>
      <c r="D627" s="110" t="s">
        <v>23</v>
      </c>
      <c r="G627" s="104"/>
      <c r="H627" s="104"/>
      <c r="I627" s="104"/>
      <c r="J627" s="111"/>
      <c r="K627" s="111"/>
      <c r="L627" s="105"/>
      <c r="M627" s="106"/>
      <c r="N627" s="105"/>
      <c r="O627" s="111"/>
      <c r="P627" s="111"/>
      <c r="Q627" s="111"/>
      <c r="R627" s="101"/>
      <c r="S627" s="101"/>
      <c r="T627" s="99"/>
      <c r="U627" s="99"/>
      <c r="V627" s="99"/>
      <c r="W627" s="99"/>
      <c r="X627" s="99"/>
      <c r="Y627" s="99"/>
      <c r="Z627" s="99"/>
      <c r="AA627" s="99"/>
      <c r="AB627" s="99"/>
      <c r="AC627" s="99"/>
      <c r="AD627" s="99"/>
      <c r="AE627" s="99"/>
      <c r="AF627" s="99"/>
      <c r="AG627" s="99"/>
      <c r="AH627" s="99"/>
      <c r="AI627" s="99"/>
      <c r="AJ627" s="99"/>
      <c r="AK627" s="99"/>
      <c r="AL627" s="99"/>
      <c r="AM627" s="99"/>
    </row>
    <row r="628" ht="15.75" customHeight="1">
      <c r="A628" s="104"/>
      <c r="B628" s="104"/>
      <c r="C628" s="104"/>
      <c r="D628" s="110" t="s">
        <v>24</v>
      </c>
      <c r="E628" s="110" t="s">
        <v>256</v>
      </c>
      <c r="G628" s="136">
        <v>900.0</v>
      </c>
      <c r="H628" s="136" t="s">
        <v>26</v>
      </c>
      <c r="I628" s="137">
        <v>53000.0</v>
      </c>
      <c r="J628" s="46">
        <f>G628*I628</f>
        <v>47700000</v>
      </c>
      <c r="K628" s="46"/>
      <c r="L628" s="105"/>
      <c r="M628" s="106"/>
      <c r="N628" s="105"/>
      <c r="O628" s="46">
        <f>J628-K628</f>
        <v>47700000</v>
      </c>
      <c r="P628" s="46">
        <f>J628-M628</f>
        <v>47700000</v>
      </c>
      <c r="Q628" s="46">
        <v>4.77E7</v>
      </c>
      <c r="R628" s="101"/>
      <c r="S628" s="101"/>
      <c r="T628" s="99"/>
      <c r="U628" s="99"/>
      <c r="V628" s="99"/>
      <c r="W628" s="99"/>
      <c r="X628" s="99"/>
      <c r="Y628" s="99"/>
      <c r="Z628" s="99"/>
      <c r="AA628" s="99"/>
      <c r="AB628" s="99"/>
      <c r="AC628" s="99"/>
      <c r="AD628" s="99"/>
      <c r="AE628" s="99"/>
      <c r="AF628" s="99"/>
      <c r="AG628" s="99"/>
      <c r="AH628" s="99"/>
      <c r="AI628" s="99"/>
      <c r="AJ628" s="99"/>
      <c r="AK628" s="99"/>
      <c r="AL628" s="99"/>
      <c r="AM628" s="99"/>
    </row>
    <row r="629" ht="12.75" customHeight="1">
      <c r="A629" s="110" t="s">
        <v>63</v>
      </c>
      <c r="D629" s="145" t="s">
        <v>64</v>
      </c>
      <c r="G629" s="104"/>
      <c r="H629" s="133"/>
      <c r="I629" s="104"/>
      <c r="J629" s="134">
        <f t="shared" ref="J629:K629" si="656">SUM(J631:J632)</f>
        <v>125000000</v>
      </c>
      <c r="K629" s="46">
        <f t="shared" si="656"/>
        <v>0</v>
      </c>
      <c r="L629" s="105"/>
      <c r="M629" s="106"/>
      <c r="N629" s="105"/>
      <c r="O629" s="46">
        <f t="shared" ref="O629:P629" si="657">SUM(O631:O632)</f>
        <v>125000000</v>
      </c>
      <c r="P629" s="46">
        <f t="shared" si="657"/>
        <v>125000000</v>
      </c>
      <c r="Q629" s="46">
        <v>1.25E8</v>
      </c>
      <c r="R629" s="101"/>
      <c r="S629" s="101"/>
      <c r="T629" s="99"/>
      <c r="U629" s="99"/>
      <c r="V629" s="99"/>
      <c r="W629" s="99"/>
      <c r="X629" s="99"/>
      <c r="Y629" s="99"/>
      <c r="Z629" s="99"/>
      <c r="AA629" s="99"/>
      <c r="AB629" s="99"/>
      <c r="AC629" s="99"/>
      <c r="AD629" s="99"/>
      <c r="AE629" s="99"/>
      <c r="AF629" s="99"/>
      <c r="AG629" s="99"/>
      <c r="AH629" s="99"/>
      <c r="AI629" s="99"/>
      <c r="AJ629" s="99"/>
      <c r="AK629" s="99"/>
      <c r="AL629" s="99"/>
      <c r="AM629" s="99"/>
    </row>
    <row r="630" ht="12.75" customHeight="1">
      <c r="A630" s="104"/>
      <c r="B630" s="104"/>
      <c r="C630" s="104"/>
      <c r="D630" s="110" t="s">
        <v>23</v>
      </c>
      <c r="G630" s="104"/>
      <c r="H630" s="104"/>
      <c r="I630" s="104"/>
      <c r="J630" s="111"/>
      <c r="K630" s="111"/>
      <c r="L630" s="105"/>
      <c r="M630" s="106"/>
      <c r="N630" s="105"/>
      <c r="O630" s="111"/>
      <c r="P630" s="111"/>
      <c r="Q630" s="111"/>
      <c r="R630" s="101"/>
      <c r="S630" s="101"/>
      <c r="T630" s="99"/>
      <c r="U630" s="99"/>
      <c r="V630" s="99"/>
      <c r="W630" s="99"/>
      <c r="X630" s="99"/>
      <c r="Y630" s="99"/>
      <c r="Z630" s="99"/>
      <c r="AA630" s="99"/>
      <c r="AB630" s="99"/>
      <c r="AC630" s="99"/>
      <c r="AD630" s="99"/>
      <c r="AE630" s="99"/>
      <c r="AF630" s="99"/>
      <c r="AG630" s="99"/>
      <c r="AH630" s="99"/>
      <c r="AI630" s="99"/>
      <c r="AJ630" s="99"/>
      <c r="AK630" s="99"/>
      <c r="AL630" s="99"/>
      <c r="AM630" s="99"/>
    </row>
    <row r="631" ht="15.75" customHeight="1">
      <c r="A631" s="104"/>
      <c r="B631" s="104"/>
      <c r="C631" s="104"/>
      <c r="D631" s="110" t="s">
        <v>24</v>
      </c>
      <c r="E631" s="110" t="s">
        <v>289</v>
      </c>
      <c r="G631" s="136">
        <v>1.0</v>
      </c>
      <c r="H631" s="136" t="s">
        <v>97</v>
      </c>
      <c r="I631" s="137">
        <v>9.5E7</v>
      </c>
      <c r="J631" s="46">
        <f t="shared" ref="J631:J632" si="658">G631*I631</f>
        <v>95000000</v>
      </c>
      <c r="K631" s="46"/>
      <c r="L631" s="105"/>
      <c r="M631" s="106"/>
      <c r="N631" s="105"/>
      <c r="O631" s="46">
        <f t="shared" ref="O631:O632" si="659">J631-K631</f>
        <v>95000000</v>
      </c>
      <c r="P631" s="46">
        <f t="shared" ref="P631:P632" si="660">J631-M631</f>
        <v>95000000</v>
      </c>
      <c r="Q631" s="46">
        <v>9.5E7</v>
      </c>
      <c r="R631" s="101"/>
      <c r="S631" s="101"/>
      <c r="T631" s="99"/>
      <c r="U631" s="99"/>
      <c r="V631" s="99"/>
      <c r="W631" s="99"/>
      <c r="X631" s="99"/>
      <c r="Y631" s="99"/>
      <c r="Z631" s="99"/>
      <c r="AA631" s="99"/>
      <c r="AB631" s="99"/>
      <c r="AC631" s="99"/>
      <c r="AD631" s="99"/>
      <c r="AE631" s="99"/>
      <c r="AF631" s="99"/>
      <c r="AG631" s="99"/>
      <c r="AH631" s="99"/>
      <c r="AI631" s="99"/>
      <c r="AJ631" s="99"/>
      <c r="AK631" s="99"/>
      <c r="AL631" s="99"/>
      <c r="AM631" s="99"/>
    </row>
    <row r="632" ht="12.75" customHeight="1">
      <c r="A632" s="104"/>
      <c r="B632" s="104"/>
      <c r="C632" s="104"/>
      <c r="D632" s="110" t="s">
        <v>24</v>
      </c>
      <c r="E632" s="110" t="s">
        <v>354</v>
      </c>
      <c r="G632" s="136">
        <v>150.0</v>
      </c>
      <c r="H632" s="136" t="s">
        <v>26</v>
      </c>
      <c r="I632" s="137">
        <v>200000.0</v>
      </c>
      <c r="J632" s="46">
        <f t="shared" si="658"/>
        <v>30000000</v>
      </c>
      <c r="K632" s="46"/>
      <c r="L632" s="105"/>
      <c r="M632" s="106"/>
      <c r="N632" s="105"/>
      <c r="O632" s="46">
        <f t="shared" si="659"/>
        <v>30000000</v>
      </c>
      <c r="P632" s="46">
        <f t="shared" si="660"/>
        <v>30000000</v>
      </c>
      <c r="Q632" s="46">
        <v>3.0E7</v>
      </c>
      <c r="R632" s="101"/>
      <c r="S632" s="101"/>
      <c r="T632" s="99"/>
      <c r="U632" s="99"/>
      <c r="V632" s="99"/>
      <c r="W632" s="99"/>
      <c r="X632" s="99"/>
      <c r="Y632" s="99"/>
      <c r="Z632" s="99"/>
      <c r="AA632" s="99"/>
      <c r="AB632" s="99"/>
      <c r="AC632" s="99"/>
      <c r="AD632" s="99"/>
      <c r="AE632" s="99"/>
      <c r="AF632" s="99"/>
      <c r="AG632" s="99"/>
      <c r="AH632" s="99"/>
      <c r="AI632" s="99"/>
      <c r="AJ632" s="99"/>
      <c r="AK632" s="99"/>
      <c r="AL632" s="99"/>
      <c r="AM632" s="99"/>
    </row>
    <row r="633" ht="12.75" customHeight="1">
      <c r="A633" s="110" t="s">
        <v>68</v>
      </c>
      <c r="D633" s="145" t="s">
        <v>69</v>
      </c>
      <c r="G633" s="104"/>
      <c r="H633" s="133"/>
      <c r="I633" s="104"/>
      <c r="J633" s="134">
        <f t="shared" ref="J633:K633" si="661">J635</f>
        <v>10000000</v>
      </c>
      <c r="K633" s="46" t="str">
        <f t="shared" si="661"/>
        <v/>
      </c>
      <c r="L633" s="105"/>
      <c r="M633" s="106"/>
      <c r="N633" s="105"/>
      <c r="O633" s="46">
        <f t="shared" ref="O633:P633" si="662">O635</f>
        <v>10000000</v>
      </c>
      <c r="P633" s="46">
        <f t="shared" si="662"/>
        <v>10000000</v>
      </c>
      <c r="Q633" s="46">
        <v>1.0E7</v>
      </c>
      <c r="R633" s="101"/>
      <c r="S633" s="101"/>
      <c r="T633" s="99"/>
      <c r="U633" s="99"/>
      <c r="V633" s="99"/>
      <c r="W633" s="99"/>
      <c r="X633" s="99"/>
      <c r="Y633" s="99"/>
      <c r="Z633" s="99"/>
      <c r="AA633" s="99"/>
      <c r="AB633" s="99"/>
      <c r="AC633" s="99"/>
      <c r="AD633" s="99"/>
      <c r="AE633" s="99"/>
      <c r="AF633" s="99"/>
      <c r="AG633" s="99"/>
      <c r="AH633" s="99"/>
      <c r="AI633" s="99"/>
      <c r="AJ633" s="99"/>
      <c r="AK633" s="99"/>
      <c r="AL633" s="99"/>
      <c r="AM633" s="99"/>
    </row>
    <row r="634" ht="12.75" customHeight="1">
      <c r="A634" s="104"/>
      <c r="B634" s="104"/>
      <c r="C634" s="104"/>
      <c r="D634" s="110" t="s">
        <v>23</v>
      </c>
      <c r="G634" s="104"/>
      <c r="H634" s="104"/>
      <c r="I634" s="104"/>
      <c r="J634" s="111"/>
      <c r="K634" s="111"/>
      <c r="L634" s="105"/>
      <c r="M634" s="106"/>
      <c r="N634" s="105"/>
      <c r="O634" s="111"/>
      <c r="P634" s="111"/>
      <c r="Q634" s="111"/>
      <c r="R634" s="101"/>
      <c r="S634" s="101"/>
      <c r="T634" s="99"/>
      <c r="U634" s="99"/>
      <c r="V634" s="99"/>
      <c r="W634" s="99"/>
      <c r="X634" s="99"/>
      <c r="Y634" s="99"/>
      <c r="Z634" s="99"/>
      <c r="AA634" s="99"/>
      <c r="AB634" s="99"/>
      <c r="AC634" s="99"/>
      <c r="AD634" s="99"/>
      <c r="AE634" s="99"/>
      <c r="AF634" s="99"/>
      <c r="AG634" s="99"/>
      <c r="AH634" s="99"/>
      <c r="AI634" s="99"/>
      <c r="AJ634" s="99"/>
      <c r="AK634" s="99"/>
      <c r="AL634" s="99"/>
      <c r="AM634" s="99"/>
    </row>
    <row r="635" ht="12.75" customHeight="1">
      <c r="A635" s="104"/>
      <c r="B635" s="104"/>
      <c r="C635" s="104"/>
      <c r="D635" s="110" t="s">
        <v>24</v>
      </c>
      <c r="E635" s="110" t="s">
        <v>70</v>
      </c>
      <c r="G635" s="136">
        <v>20.0</v>
      </c>
      <c r="H635" s="136" t="s">
        <v>26</v>
      </c>
      <c r="I635" s="137">
        <v>500000.0</v>
      </c>
      <c r="J635" s="46">
        <f>G635*I635</f>
        <v>10000000</v>
      </c>
      <c r="K635" s="46"/>
      <c r="L635" s="105"/>
      <c r="M635" s="106"/>
      <c r="N635" s="105"/>
      <c r="O635" s="46">
        <f>J635-K635</f>
        <v>10000000</v>
      </c>
      <c r="P635" s="46">
        <f>J635-M635</f>
        <v>10000000</v>
      </c>
      <c r="Q635" s="46">
        <v>1.0E7</v>
      </c>
      <c r="R635" s="101"/>
      <c r="S635" s="101"/>
      <c r="T635" s="99"/>
      <c r="U635" s="99"/>
      <c r="V635" s="99"/>
      <c r="W635" s="99"/>
      <c r="X635" s="99"/>
      <c r="Y635" s="99"/>
      <c r="Z635" s="99"/>
      <c r="AA635" s="99"/>
      <c r="AB635" s="99"/>
      <c r="AC635" s="99"/>
      <c r="AD635" s="99"/>
      <c r="AE635" s="99"/>
      <c r="AF635" s="99"/>
      <c r="AG635" s="99"/>
      <c r="AH635" s="99"/>
      <c r="AI635" s="99"/>
      <c r="AJ635" s="99"/>
      <c r="AK635" s="99"/>
      <c r="AL635" s="99"/>
      <c r="AM635" s="99"/>
    </row>
    <row r="636" ht="12.75" customHeight="1">
      <c r="A636" s="110" t="s">
        <v>47</v>
      </c>
      <c r="D636" s="145" t="s">
        <v>48</v>
      </c>
      <c r="G636" s="104"/>
      <c r="H636" s="133"/>
      <c r="I636" s="104"/>
      <c r="J636" s="134">
        <f t="shared" ref="J636:K636" si="663">J638</f>
        <v>24000000</v>
      </c>
      <c r="K636" s="46" t="str">
        <f t="shared" si="663"/>
        <v/>
      </c>
      <c r="L636" s="105"/>
      <c r="M636" s="106"/>
      <c r="N636" s="105"/>
      <c r="O636" s="46">
        <f t="shared" ref="O636:P636" si="664">O638</f>
        <v>24000000</v>
      </c>
      <c r="P636" s="46">
        <f t="shared" si="664"/>
        <v>24000000</v>
      </c>
      <c r="Q636" s="46">
        <v>2.4E7</v>
      </c>
      <c r="R636" s="101"/>
      <c r="S636" s="101"/>
      <c r="T636" s="99"/>
      <c r="U636" s="99"/>
      <c r="V636" s="99"/>
      <c r="W636" s="99"/>
      <c r="X636" s="99"/>
      <c r="Y636" s="99"/>
      <c r="Z636" s="99"/>
      <c r="AA636" s="99"/>
      <c r="AB636" s="99"/>
      <c r="AC636" s="99"/>
      <c r="AD636" s="99"/>
      <c r="AE636" s="99"/>
      <c r="AF636" s="99"/>
      <c r="AG636" s="99"/>
      <c r="AH636" s="99"/>
      <c r="AI636" s="99"/>
      <c r="AJ636" s="99"/>
      <c r="AK636" s="99"/>
      <c r="AL636" s="99"/>
      <c r="AM636" s="99"/>
    </row>
    <row r="637" ht="12.75" customHeight="1">
      <c r="A637" s="104"/>
      <c r="B637" s="104"/>
      <c r="C637" s="104"/>
      <c r="D637" s="110" t="s">
        <v>23</v>
      </c>
      <c r="G637" s="104"/>
      <c r="H637" s="104"/>
      <c r="I637" s="104"/>
      <c r="J637" s="111"/>
      <c r="K637" s="111"/>
      <c r="L637" s="105"/>
      <c r="M637" s="106"/>
      <c r="N637" s="105"/>
      <c r="O637" s="111"/>
      <c r="P637" s="111"/>
      <c r="Q637" s="111"/>
      <c r="R637" s="101"/>
      <c r="S637" s="101"/>
      <c r="T637" s="99"/>
      <c r="U637" s="99"/>
      <c r="V637" s="99"/>
      <c r="W637" s="99"/>
      <c r="X637" s="99"/>
      <c r="Y637" s="99"/>
      <c r="Z637" s="99"/>
      <c r="AA637" s="99"/>
      <c r="AB637" s="99"/>
      <c r="AC637" s="99"/>
      <c r="AD637" s="99"/>
      <c r="AE637" s="99"/>
      <c r="AF637" s="99"/>
      <c r="AG637" s="99"/>
      <c r="AH637" s="99"/>
      <c r="AI637" s="99"/>
      <c r="AJ637" s="99"/>
      <c r="AK637" s="99"/>
      <c r="AL637" s="99"/>
      <c r="AM637" s="99"/>
    </row>
    <row r="638" ht="12.75" customHeight="1">
      <c r="A638" s="104"/>
      <c r="B638" s="104"/>
      <c r="C638" s="104"/>
      <c r="D638" s="110" t="s">
        <v>24</v>
      </c>
      <c r="E638" s="110" t="s">
        <v>255</v>
      </c>
      <c r="G638" s="136">
        <v>6.0</v>
      </c>
      <c r="H638" s="136" t="s">
        <v>26</v>
      </c>
      <c r="I638" s="137">
        <v>4000000.0</v>
      </c>
      <c r="J638" s="46">
        <f>G638*I638</f>
        <v>24000000</v>
      </c>
      <c r="K638" s="46"/>
      <c r="L638" s="105"/>
      <c r="M638" s="106"/>
      <c r="N638" s="105"/>
      <c r="O638" s="46">
        <f>J638-K638</f>
        <v>24000000</v>
      </c>
      <c r="P638" s="46">
        <f>J638-M638</f>
        <v>24000000</v>
      </c>
      <c r="Q638" s="46">
        <v>2.4E7</v>
      </c>
      <c r="R638" s="101"/>
      <c r="S638" s="101"/>
      <c r="T638" s="99"/>
      <c r="U638" s="99"/>
      <c r="V638" s="99"/>
      <c r="W638" s="99"/>
      <c r="X638" s="99"/>
      <c r="Y638" s="99"/>
      <c r="Z638" s="99"/>
      <c r="AA638" s="99"/>
      <c r="AB638" s="99"/>
      <c r="AC638" s="99"/>
      <c r="AD638" s="99"/>
      <c r="AE638" s="99"/>
      <c r="AF638" s="99"/>
      <c r="AG638" s="99"/>
      <c r="AH638" s="99"/>
      <c r="AI638" s="99"/>
      <c r="AJ638" s="99"/>
      <c r="AK638" s="99"/>
      <c r="AL638" s="99"/>
      <c r="AM638" s="99"/>
    </row>
    <row r="639" ht="12.75" customHeight="1">
      <c r="A639" s="110" t="s">
        <v>58</v>
      </c>
      <c r="D639" s="145" t="s">
        <v>34</v>
      </c>
      <c r="G639" s="104"/>
      <c r="H639" s="133"/>
      <c r="I639" s="104"/>
      <c r="J639" s="134">
        <f t="shared" ref="J639:K639" si="665">J641</f>
        <v>48000000</v>
      </c>
      <c r="K639" s="46" t="str">
        <f t="shared" si="665"/>
        <v/>
      </c>
      <c r="L639" s="105"/>
      <c r="M639" s="106"/>
      <c r="N639" s="105"/>
      <c r="O639" s="46">
        <f t="shared" ref="O639:P639" si="666">O641</f>
        <v>48000000</v>
      </c>
      <c r="P639" s="46">
        <f t="shared" si="666"/>
        <v>48000000</v>
      </c>
      <c r="Q639" s="46">
        <v>4.8E7</v>
      </c>
      <c r="R639" s="101"/>
      <c r="S639" s="101"/>
      <c r="T639" s="99"/>
      <c r="U639" s="99"/>
      <c r="V639" s="99"/>
      <c r="W639" s="99"/>
      <c r="X639" s="99"/>
      <c r="Y639" s="99"/>
      <c r="Z639" s="99"/>
      <c r="AA639" s="99"/>
      <c r="AB639" s="99"/>
      <c r="AC639" s="99"/>
      <c r="AD639" s="99"/>
      <c r="AE639" s="99"/>
      <c r="AF639" s="99"/>
      <c r="AG639" s="99"/>
      <c r="AH639" s="99"/>
      <c r="AI639" s="99"/>
      <c r="AJ639" s="99"/>
      <c r="AK639" s="99"/>
      <c r="AL639" s="99"/>
      <c r="AM639" s="99"/>
    </row>
    <row r="640" ht="12.75" customHeight="1">
      <c r="A640" s="104"/>
      <c r="B640" s="104"/>
      <c r="C640" s="104"/>
      <c r="D640" s="110" t="s">
        <v>23</v>
      </c>
      <c r="G640" s="104"/>
      <c r="H640" s="104"/>
      <c r="I640" s="104"/>
      <c r="J640" s="111"/>
      <c r="K640" s="111"/>
      <c r="L640" s="105"/>
      <c r="M640" s="106"/>
      <c r="N640" s="105"/>
      <c r="O640" s="111"/>
      <c r="P640" s="111"/>
      <c r="Q640" s="111"/>
      <c r="R640" s="101"/>
      <c r="S640" s="101"/>
      <c r="T640" s="99"/>
      <c r="U640" s="99"/>
      <c r="V640" s="99"/>
      <c r="W640" s="99"/>
      <c r="X640" s="99"/>
      <c r="Y640" s="99"/>
      <c r="Z640" s="99"/>
      <c r="AA640" s="99"/>
      <c r="AB640" s="99"/>
      <c r="AC640" s="99"/>
      <c r="AD640" s="99"/>
      <c r="AE640" s="99"/>
      <c r="AF640" s="99"/>
      <c r="AG640" s="99"/>
      <c r="AH640" s="99"/>
      <c r="AI640" s="99"/>
      <c r="AJ640" s="99"/>
      <c r="AK640" s="99"/>
      <c r="AL640" s="99"/>
      <c r="AM640" s="99"/>
    </row>
    <row r="641" ht="15.75" customHeight="1">
      <c r="A641" s="104"/>
      <c r="B641" s="104"/>
      <c r="C641" s="104"/>
      <c r="D641" s="110" t="s">
        <v>24</v>
      </c>
      <c r="E641" s="110" t="s">
        <v>71</v>
      </c>
      <c r="G641" s="136">
        <v>96.0</v>
      </c>
      <c r="H641" s="136" t="s">
        <v>26</v>
      </c>
      <c r="I641" s="137">
        <v>500000.0</v>
      </c>
      <c r="J641" s="46">
        <f>G641*I641</f>
        <v>48000000</v>
      </c>
      <c r="K641" s="46"/>
      <c r="L641" s="105"/>
      <c r="M641" s="106"/>
      <c r="N641" s="105"/>
      <c r="O641" s="46">
        <f>J641-K641</f>
        <v>48000000</v>
      </c>
      <c r="P641" s="46">
        <f>J641-M641</f>
        <v>48000000</v>
      </c>
      <c r="Q641" s="46">
        <v>4.8E7</v>
      </c>
      <c r="R641" s="101"/>
      <c r="S641" s="101"/>
      <c r="T641" s="99"/>
      <c r="U641" s="99"/>
      <c r="V641" s="99"/>
      <c r="W641" s="99"/>
      <c r="X641" s="99"/>
      <c r="Y641" s="99"/>
      <c r="Z641" s="99"/>
      <c r="AA641" s="99"/>
      <c r="AB641" s="99"/>
      <c r="AC641" s="99"/>
      <c r="AD641" s="99"/>
      <c r="AE641" s="99"/>
      <c r="AF641" s="99"/>
      <c r="AG641" s="99"/>
      <c r="AH641" s="99"/>
      <c r="AI641" s="99"/>
      <c r="AJ641" s="99"/>
      <c r="AK641" s="99"/>
      <c r="AL641" s="99"/>
      <c r="AM641" s="99"/>
    </row>
    <row r="642" ht="12.75" customHeight="1">
      <c r="A642" s="144" t="s">
        <v>72</v>
      </c>
      <c r="D642" s="144" t="s">
        <v>73</v>
      </c>
      <c r="G642" s="104"/>
      <c r="H642" s="128"/>
      <c r="I642" s="104"/>
      <c r="J642" s="129">
        <f t="shared" ref="J642:K642" si="667">J643+J648</f>
        <v>151200000</v>
      </c>
      <c r="K642" s="43">
        <f t="shared" si="667"/>
        <v>0</v>
      </c>
      <c r="L642" s="105"/>
      <c r="M642" s="106"/>
      <c r="N642" s="105"/>
      <c r="O642" s="43">
        <f t="shared" ref="O642:P642" si="668">O643+O648</f>
        <v>151200000</v>
      </c>
      <c r="P642" s="43">
        <f t="shared" si="668"/>
        <v>151200000</v>
      </c>
      <c r="Q642" s="43">
        <v>1.512E8</v>
      </c>
      <c r="R642" s="101"/>
      <c r="S642" s="101"/>
      <c r="T642" s="99"/>
      <c r="U642" s="99"/>
      <c r="V642" s="99"/>
      <c r="W642" s="99"/>
      <c r="X642" s="99"/>
      <c r="Y642" s="99"/>
      <c r="Z642" s="99"/>
      <c r="AA642" s="99"/>
      <c r="AB642" s="99"/>
      <c r="AC642" s="99"/>
      <c r="AD642" s="99"/>
      <c r="AE642" s="99"/>
      <c r="AF642" s="99"/>
      <c r="AG642" s="99"/>
      <c r="AH642" s="99"/>
      <c r="AI642" s="99"/>
      <c r="AJ642" s="99"/>
      <c r="AK642" s="99"/>
      <c r="AL642" s="99"/>
      <c r="AM642" s="99"/>
    </row>
    <row r="643" ht="12.75" customHeight="1">
      <c r="A643" s="110" t="s">
        <v>74</v>
      </c>
      <c r="D643" s="145" t="s">
        <v>75</v>
      </c>
      <c r="G643" s="104"/>
      <c r="H643" s="133"/>
      <c r="I643" s="104"/>
      <c r="J643" s="134">
        <f t="shared" ref="J643:K643" si="669">SUM(J645:J647)</f>
        <v>142700000</v>
      </c>
      <c r="K643" s="46">
        <f t="shared" si="669"/>
        <v>0</v>
      </c>
      <c r="L643" s="105"/>
      <c r="M643" s="106"/>
      <c r="N643" s="105"/>
      <c r="O643" s="46">
        <f t="shared" ref="O643:P643" si="670">SUM(O645:O647)</f>
        <v>142700000</v>
      </c>
      <c r="P643" s="46">
        <f t="shared" si="670"/>
        <v>142700000</v>
      </c>
      <c r="Q643" s="46">
        <v>1.427E8</v>
      </c>
      <c r="R643" s="101"/>
      <c r="S643" s="101"/>
      <c r="T643" s="99"/>
      <c r="U643" s="99"/>
      <c r="V643" s="99"/>
      <c r="W643" s="99"/>
      <c r="X643" s="99"/>
      <c r="Y643" s="99"/>
      <c r="Z643" s="99"/>
      <c r="AA643" s="99"/>
      <c r="AB643" s="99"/>
      <c r="AC643" s="99"/>
      <c r="AD643" s="99"/>
      <c r="AE643" s="99"/>
      <c r="AF643" s="99"/>
      <c r="AG643" s="99"/>
      <c r="AH643" s="99"/>
      <c r="AI643" s="99"/>
      <c r="AJ643" s="99"/>
      <c r="AK643" s="99"/>
      <c r="AL643" s="99"/>
      <c r="AM643" s="99"/>
    </row>
    <row r="644" ht="12.75" customHeight="1">
      <c r="A644" s="104"/>
      <c r="B644" s="104"/>
      <c r="C644" s="104"/>
      <c r="D644" s="110" t="s">
        <v>23</v>
      </c>
      <c r="G644" s="104"/>
      <c r="H644" s="104"/>
      <c r="I644" s="104"/>
      <c r="J644" s="111"/>
      <c r="K644" s="111"/>
      <c r="L644" s="105"/>
      <c r="M644" s="106"/>
      <c r="N644" s="105"/>
      <c r="O644" s="111"/>
      <c r="P644" s="111"/>
      <c r="Q644" s="111"/>
      <c r="R644" s="101"/>
      <c r="S644" s="101"/>
      <c r="T644" s="99"/>
      <c r="U644" s="99"/>
      <c r="V644" s="99"/>
      <c r="W644" s="99"/>
      <c r="X644" s="99"/>
      <c r="Y644" s="99"/>
      <c r="Z644" s="99"/>
      <c r="AA644" s="99"/>
      <c r="AB644" s="99"/>
      <c r="AC644" s="99"/>
      <c r="AD644" s="99"/>
      <c r="AE644" s="99"/>
      <c r="AF644" s="99"/>
      <c r="AG644" s="99"/>
      <c r="AH644" s="99"/>
      <c r="AI644" s="99"/>
      <c r="AJ644" s="99"/>
      <c r="AK644" s="99"/>
      <c r="AL644" s="99"/>
      <c r="AM644" s="99"/>
    </row>
    <row r="645" ht="12.75" customHeight="1">
      <c r="A645" s="104"/>
      <c r="B645" s="104"/>
      <c r="C645" s="104"/>
      <c r="D645" s="110" t="s">
        <v>24</v>
      </c>
      <c r="E645" s="110" t="s">
        <v>76</v>
      </c>
      <c r="G645" s="136">
        <v>20.0</v>
      </c>
      <c r="H645" s="136" t="s">
        <v>26</v>
      </c>
      <c r="I645" s="137">
        <v>5000000.0</v>
      </c>
      <c r="J645" s="46">
        <f t="shared" ref="J645:J647" si="671">G645*I645</f>
        <v>100000000</v>
      </c>
      <c r="K645" s="46"/>
      <c r="L645" s="105"/>
      <c r="M645" s="106"/>
      <c r="N645" s="105"/>
      <c r="O645" s="46">
        <f t="shared" ref="O645:O647" si="672">J645-K645</f>
        <v>100000000</v>
      </c>
      <c r="P645" s="46">
        <f t="shared" ref="P645:P647" si="673">J645-M645</f>
        <v>100000000</v>
      </c>
      <c r="Q645" s="46">
        <v>1.0E8</v>
      </c>
      <c r="R645" s="101"/>
      <c r="S645" s="101"/>
      <c r="T645" s="99"/>
      <c r="U645" s="99"/>
      <c r="V645" s="99"/>
      <c r="W645" s="99"/>
      <c r="X645" s="99"/>
      <c r="Y645" s="99"/>
      <c r="Z645" s="99"/>
      <c r="AA645" s="99"/>
      <c r="AB645" s="99"/>
      <c r="AC645" s="99"/>
      <c r="AD645" s="99"/>
      <c r="AE645" s="99"/>
      <c r="AF645" s="99"/>
      <c r="AG645" s="99"/>
      <c r="AH645" s="99"/>
      <c r="AI645" s="99"/>
      <c r="AJ645" s="99"/>
      <c r="AK645" s="99"/>
      <c r="AL645" s="99"/>
      <c r="AM645" s="99"/>
    </row>
    <row r="646" ht="15.75" customHeight="1">
      <c r="A646" s="104"/>
      <c r="B646" s="104"/>
      <c r="C646" s="104"/>
      <c r="D646" s="110" t="s">
        <v>24</v>
      </c>
      <c r="E646" s="110" t="s">
        <v>77</v>
      </c>
      <c r="G646" s="136">
        <v>30.0</v>
      </c>
      <c r="H646" s="136" t="s">
        <v>26</v>
      </c>
      <c r="I646" s="137">
        <v>850000.0</v>
      </c>
      <c r="J646" s="46">
        <f t="shared" si="671"/>
        <v>25500000</v>
      </c>
      <c r="K646" s="46"/>
      <c r="L646" s="105"/>
      <c r="M646" s="106"/>
      <c r="N646" s="105"/>
      <c r="O646" s="46">
        <f t="shared" si="672"/>
        <v>25500000</v>
      </c>
      <c r="P646" s="46">
        <f t="shared" si="673"/>
        <v>25500000</v>
      </c>
      <c r="Q646" s="46">
        <v>2.55E7</v>
      </c>
      <c r="R646" s="101"/>
      <c r="S646" s="101"/>
      <c r="T646" s="99"/>
      <c r="U646" s="99"/>
      <c r="V646" s="99"/>
      <c r="W646" s="99"/>
      <c r="X646" s="99"/>
      <c r="Y646" s="99"/>
      <c r="Z646" s="99"/>
      <c r="AA646" s="99"/>
      <c r="AB646" s="99"/>
      <c r="AC646" s="99"/>
      <c r="AD646" s="99"/>
      <c r="AE646" s="99"/>
      <c r="AF646" s="99"/>
      <c r="AG646" s="99"/>
      <c r="AH646" s="99"/>
      <c r="AI646" s="99"/>
      <c r="AJ646" s="99"/>
      <c r="AK646" s="99"/>
      <c r="AL646" s="99"/>
      <c r="AM646" s="99"/>
    </row>
    <row r="647" ht="12.75" customHeight="1">
      <c r="A647" s="104"/>
      <c r="B647" s="104"/>
      <c r="C647" s="104"/>
      <c r="D647" s="110" t="s">
        <v>24</v>
      </c>
      <c r="E647" s="110" t="s">
        <v>78</v>
      </c>
      <c r="G647" s="136">
        <v>40.0</v>
      </c>
      <c r="H647" s="136" t="s">
        <v>26</v>
      </c>
      <c r="I647" s="137">
        <v>430000.0</v>
      </c>
      <c r="J647" s="46">
        <f t="shared" si="671"/>
        <v>17200000</v>
      </c>
      <c r="K647" s="46"/>
      <c r="L647" s="105"/>
      <c r="M647" s="106"/>
      <c r="N647" s="105"/>
      <c r="O647" s="46">
        <f t="shared" si="672"/>
        <v>17200000</v>
      </c>
      <c r="P647" s="46">
        <f t="shared" si="673"/>
        <v>17200000</v>
      </c>
      <c r="Q647" s="46">
        <v>1.72E7</v>
      </c>
      <c r="R647" s="101"/>
      <c r="S647" s="101"/>
      <c r="T647" s="99"/>
      <c r="U647" s="99"/>
      <c r="V647" s="99"/>
      <c r="W647" s="99"/>
      <c r="X647" s="99"/>
      <c r="Y647" s="99"/>
      <c r="Z647" s="99"/>
      <c r="AA647" s="99"/>
      <c r="AB647" s="99"/>
      <c r="AC647" s="99"/>
      <c r="AD647" s="99"/>
      <c r="AE647" s="99"/>
      <c r="AF647" s="99"/>
      <c r="AG647" s="99"/>
      <c r="AH647" s="99"/>
      <c r="AI647" s="99"/>
      <c r="AJ647" s="99"/>
      <c r="AK647" s="99"/>
      <c r="AL647" s="99"/>
      <c r="AM647" s="99"/>
    </row>
    <row r="648" ht="12.75" customHeight="1">
      <c r="A648" s="110" t="s">
        <v>79</v>
      </c>
      <c r="D648" s="145" t="s">
        <v>80</v>
      </c>
      <c r="G648" s="104"/>
      <c r="H648" s="133"/>
      <c r="I648" s="104"/>
      <c r="J648" s="134">
        <f t="shared" ref="J648:K648" si="674">J650</f>
        <v>8500000</v>
      </c>
      <c r="K648" s="46" t="str">
        <f t="shared" si="674"/>
        <v/>
      </c>
      <c r="L648" s="105"/>
      <c r="M648" s="106"/>
      <c r="N648" s="105"/>
      <c r="O648" s="46">
        <f t="shared" ref="O648:P648" si="675">O650</f>
        <v>8500000</v>
      </c>
      <c r="P648" s="46">
        <f t="shared" si="675"/>
        <v>8500000</v>
      </c>
      <c r="Q648" s="46">
        <v>8500000.0</v>
      </c>
      <c r="R648" s="101"/>
      <c r="S648" s="101"/>
      <c r="T648" s="99"/>
      <c r="U648" s="99"/>
      <c r="V648" s="99"/>
      <c r="W648" s="99"/>
      <c r="X648" s="99"/>
      <c r="Y648" s="99"/>
      <c r="Z648" s="99"/>
      <c r="AA648" s="99"/>
      <c r="AB648" s="99"/>
      <c r="AC648" s="99"/>
      <c r="AD648" s="99"/>
      <c r="AE648" s="99"/>
      <c r="AF648" s="99"/>
      <c r="AG648" s="99"/>
      <c r="AH648" s="99"/>
      <c r="AI648" s="99"/>
      <c r="AJ648" s="99"/>
      <c r="AK648" s="99"/>
      <c r="AL648" s="99"/>
      <c r="AM648" s="99"/>
    </row>
    <row r="649" ht="12.75" customHeight="1">
      <c r="A649" s="104"/>
      <c r="B649" s="104"/>
      <c r="C649" s="104"/>
      <c r="D649" s="110" t="s">
        <v>23</v>
      </c>
      <c r="G649" s="104"/>
      <c r="H649" s="104"/>
      <c r="I649" s="104"/>
      <c r="J649" s="111"/>
      <c r="K649" s="111"/>
      <c r="L649" s="105"/>
      <c r="M649" s="106"/>
      <c r="N649" s="105"/>
      <c r="O649" s="111"/>
      <c r="P649" s="111"/>
      <c r="Q649" s="111"/>
      <c r="R649" s="101"/>
      <c r="S649" s="101"/>
      <c r="T649" s="99"/>
      <c r="U649" s="99"/>
      <c r="V649" s="99"/>
      <c r="W649" s="99"/>
      <c r="X649" s="99"/>
      <c r="Y649" s="99"/>
      <c r="Z649" s="99"/>
      <c r="AA649" s="99"/>
      <c r="AB649" s="99"/>
      <c r="AC649" s="99"/>
      <c r="AD649" s="99"/>
      <c r="AE649" s="99"/>
      <c r="AF649" s="99"/>
      <c r="AG649" s="99"/>
      <c r="AH649" s="99"/>
      <c r="AI649" s="99"/>
      <c r="AJ649" s="99"/>
      <c r="AK649" s="99"/>
      <c r="AL649" s="99"/>
      <c r="AM649" s="99"/>
    </row>
    <row r="650" ht="12.75" customHeight="1">
      <c r="A650" s="104"/>
      <c r="B650" s="104"/>
      <c r="C650" s="104"/>
      <c r="D650" s="110" t="s">
        <v>24</v>
      </c>
      <c r="E650" s="110" t="s">
        <v>81</v>
      </c>
      <c r="G650" s="136">
        <v>50.0</v>
      </c>
      <c r="H650" s="136" t="s">
        <v>26</v>
      </c>
      <c r="I650" s="137">
        <v>170000.0</v>
      </c>
      <c r="J650" s="46">
        <f>G650*I650</f>
        <v>8500000</v>
      </c>
      <c r="K650" s="46"/>
      <c r="L650" s="105"/>
      <c r="M650" s="106"/>
      <c r="N650" s="105"/>
      <c r="O650" s="46">
        <f>J650-K650</f>
        <v>8500000</v>
      </c>
      <c r="P650" s="46">
        <f>J650-M650</f>
        <v>8500000</v>
      </c>
      <c r="Q650" s="46">
        <v>8500000.0</v>
      </c>
      <c r="R650" s="101"/>
      <c r="S650" s="101"/>
      <c r="T650" s="99"/>
      <c r="U650" s="99"/>
      <c r="V650" s="99"/>
      <c r="W650" s="99"/>
      <c r="X650" s="99"/>
      <c r="Y650" s="99"/>
      <c r="Z650" s="99"/>
      <c r="AA650" s="99"/>
      <c r="AB650" s="99"/>
      <c r="AC650" s="99"/>
      <c r="AD650" s="99"/>
      <c r="AE650" s="99"/>
      <c r="AF650" s="99"/>
      <c r="AG650" s="99"/>
      <c r="AH650" s="99"/>
      <c r="AI650" s="99"/>
      <c r="AJ650" s="99"/>
      <c r="AK650" s="99"/>
      <c r="AL650" s="99"/>
      <c r="AM650" s="99"/>
    </row>
    <row r="651" ht="12.75" customHeight="1">
      <c r="A651" s="144" t="s">
        <v>82</v>
      </c>
      <c r="D651" s="144" t="s">
        <v>83</v>
      </c>
      <c r="G651" s="104"/>
      <c r="H651" s="128"/>
      <c r="I651" s="104"/>
      <c r="J651" s="129">
        <f t="shared" ref="J651:K651" si="676">J652+J657</f>
        <v>1993500000</v>
      </c>
      <c r="K651" s="43">
        <f t="shared" si="676"/>
        <v>198367500</v>
      </c>
      <c r="L651" s="105"/>
      <c r="M651" s="106"/>
      <c r="N651" s="105"/>
      <c r="O651" s="43">
        <f t="shared" ref="O651:P651" si="677">O652+O657</f>
        <v>1795132500</v>
      </c>
      <c r="P651" s="43">
        <f t="shared" si="677"/>
        <v>1993500000</v>
      </c>
      <c r="Q651" s="43">
        <v>1.9935E9</v>
      </c>
      <c r="R651" s="101"/>
      <c r="S651" s="101"/>
      <c r="T651" s="99"/>
      <c r="U651" s="99"/>
      <c r="V651" s="99"/>
      <c r="W651" s="99"/>
      <c r="X651" s="99"/>
      <c r="Y651" s="99"/>
      <c r="Z651" s="99"/>
      <c r="AA651" s="99"/>
      <c r="AB651" s="99"/>
      <c r="AC651" s="99"/>
      <c r="AD651" s="99"/>
      <c r="AE651" s="99"/>
      <c r="AF651" s="99"/>
      <c r="AG651" s="99"/>
      <c r="AH651" s="99"/>
      <c r="AI651" s="99"/>
      <c r="AJ651" s="99"/>
      <c r="AK651" s="99"/>
      <c r="AL651" s="99"/>
      <c r="AM651" s="99"/>
    </row>
    <row r="652" ht="12.75" customHeight="1">
      <c r="A652" s="110" t="s">
        <v>84</v>
      </c>
      <c r="D652" s="145" t="s">
        <v>85</v>
      </c>
      <c r="G652" s="104"/>
      <c r="H652" s="133"/>
      <c r="I652" s="104"/>
      <c r="J652" s="134">
        <f t="shared" ref="J652:K652" si="678">SUM(J654:J656)</f>
        <v>1867500000</v>
      </c>
      <c r="K652" s="46">
        <f t="shared" si="678"/>
        <v>198367500</v>
      </c>
      <c r="L652" s="105"/>
      <c r="M652" s="106"/>
      <c r="N652" s="105"/>
      <c r="O652" s="46">
        <f t="shared" ref="O652:P652" si="679">SUM(O654:O656)</f>
        <v>1669132500</v>
      </c>
      <c r="P652" s="46">
        <f t="shared" si="679"/>
        <v>1867500000</v>
      </c>
      <c r="Q652" s="46">
        <v>1.8675E9</v>
      </c>
      <c r="R652" s="101"/>
      <c r="S652" s="101"/>
      <c r="T652" s="99"/>
      <c r="U652" s="99"/>
      <c r="V652" s="99"/>
      <c r="W652" s="99"/>
      <c r="X652" s="99"/>
      <c r="Y652" s="99"/>
      <c r="Z652" s="99"/>
      <c r="AA652" s="99"/>
      <c r="AB652" s="99"/>
      <c r="AC652" s="99"/>
      <c r="AD652" s="99"/>
      <c r="AE652" s="99"/>
      <c r="AF652" s="99"/>
      <c r="AG652" s="99"/>
      <c r="AH652" s="99"/>
      <c r="AI652" s="99"/>
      <c r="AJ652" s="99"/>
      <c r="AK652" s="99"/>
      <c r="AL652" s="99"/>
      <c r="AM652" s="99"/>
    </row>
    <row r="653" ht="12.75" customHeight="1">
      <c r="A653" s="104"/>
      <c r="B653" s="104"/>
      <c r="C653" s="104"/>
      <c r="D653" s="110" t="s">
        <v>23</v>
      </c>
      <c r="G653" s="104"/>
      <c r="H653" s="104"/>
      <c r="I653" s="104"/>
      <c r="J653" s="111"/>
      <c r="K653" s="111"/>
      <c r="L653" s="105"/>
      <c r="M653" s="106"/>
      <c r="N653" s="105"/>
      <c r="O653" s="111"/>
      <c r="P653" s="111"/>
      <c r="Q653" s="111"/>
      <c r="R653" s="101"/>
      <c r="S653" s="101"/>
      <c r="T653" s="99"/>
      <c r="U653" s="99"/>
      <c r="V653" s="99"/>
      <c r="W653" s="99"/>
      <c r="X653" s="99"/>
      <c r="Y653" s="99"/>
      <c r="Z653" s="99"/>
      <c r="AA653" s="99"/>
      <c r="AB653" s="99"/>
      <c r="AC653" s="99"/>
      <c r="AD653" s="99"/>
      <c r="AE653" s="99"/>
      <c r="AF653" s="99"/>
      <c r="AG653" s="99"/>
      <c r="AH653" s="99"/>
      <c r="AI653" s="99"/>
      <c r="AJ653" s="99"/>
      <c r="AK653" s="99"/>
      <c r="AL653" s="99"/>
      <c r="AM653" s="99"/>
    </row>
    <row r="654" ht="12.75" customHeight="1">
      <c r="A654" s="104"/>
      <c r="B654" s="104"/>
      <c r="C654" s="104"/>
      <c r="D654" s="110" t="s">
        <v>24</v>
      </c>
      <c r="E654" s="110" t="s">
        <v>259</v>
      </c>
      <c r="G654" s="136">
        <v>82125.0</v>
      </c>
      <c r="H654" s="136" t="s">
        <v>87</v>
      </c>
      <c r="I654" s="137">
        <v>15000.0</v>
      </c>
      <c r="J654" s="46">
        <f t="shared" ref="J654:J656" si="680">G654*I654</f>
        <v>1231875000</v>
      </c>
      <c r="K654" s="46">
        <v>1.3791E8</v>
      </c>
      <c r="L654" s="105"/>
      <c r="M654" s="106"/>
      <c r="N654" s="105"/>
      <c r="O654" s="46">
        <f t="shared" ref="O654:O656" si="681">J654-K654</f>
        <v>1093965000</v>
      </c>
      <c r="P654" s="46">
        <f t="shared" ref="P654:P656" si="682">J654-M654</f>
        <v>1231875000</v>
      </c>
      <c r="Q654" s="46">
        <v>1.231875E9</v>
      </c>
      <c r="R654" s="101"/>
      <c r="S654" s="101"/>
      <c r="T654" s="99"/>
      <c r="U654" s="99"/>
      <c r="V654" s="99"/>
      <c r="W654" s="99"/>
      <c r="X654" s="99"/>
      <c r="Y654" s="99"/>
      <c r="Z654" s="99"/>
      <c r="AA654" s="99"/>
      <c r="AB654" s="99"/>
      <c r="AC654" s="99"/>
      <c r="AD654" s="99"/>
      <c r="AE654" s="99"/>
      <c r="AF654" s="99"/>
      <c r="AG654" s="99"/>
      <c r="AH654" s="99"/>
      <c r="AI654" s="99"/>
      <c r="AJ654" s="99"/>
      <c r="AK654" s="99"/>
      <c r="AL654" s="99"/>
      <c r="AM654" s="99"/>
    </row>
    <row r="655" ht="12.75" customHeight="1">
      <c r="A655" s="104"/>
      <c r="B655" s="104"/>
      <c r="C655" s="104"/>
      <c r="D655" s="110" t="s">
        <v>24</v>
      </c>
      <c r="E655" s="110" t="s">
        <v>88</v>
      </c>
      <c r="G655" s="136">
        <v>9000.0</v>
      </c>
      <c r="H655" s="136" t="s">
        <v>87</v>
      </c>
      <c r="I655" s="137">
        <v>25000.0</v>
      </c>
      <c r="J655" s="46">
        <f t="shared" si="680"/>
        <v>225000000</v>
      </c>
      <c r="K655" s="46">
        <v>5670000.0</v>
      </c>
      <c r="L655" s="105"/>
      <c r="M655" s="106"/>
      <c r="N655" s="105"/>
      <c r="O655" s="46">
        <f t="shared" si="681"/>
        <v>219330000</v>
      </c>
      <c r="P655" s="46">
        <f t="shared" si="682"/>
        <v>225000000</v>
      </c>
      <c r="Q655" s="46">
        <v>2.25E8</v>
      </c>
      <c r="R655" s="101"/>
      <c r="S655" s="101"/>
      <c r="T655" s="99"/>
      <c r="U655" s="99"/>
      <c r="V655" s="99"/>
      <c r="W655" s="99"/>
      <c r="X655" s="99"/>
      <c r="Y655" s="99"/>
      <c r="Z655" s="99"/>
      <c r="AA655" s="99"/>
      <c r="AB655" s="99"/>
      <c r="AC655" s="99"/>
      <c r="AD655" s="99"/>
      <c r="AE655" s="99"/>
      <c r="AF655" s="99"/>
      <c r="AG655" s="99"/>
      <c r="AH655" s="99"/>
      <c r="AI655" s="99"/>
      <c r="AJ655" s="99"/>
      <c r="AK655" s="99"/>
      <c r="AL655" s="99"/>
      <c r="AM655" s="99"/>
    </row>
    <row r="656" ht="12.75" customHeight="1">
      <c r="A656" s="104"/>
      <c r="B656" s="104"/>
      <c r="C656" s="104"/>
      <c r="D656" s="110" t="s">
        <v>24</v>
      </c>
      <c r="E656" s="110" t="s">
        <v>260</v>
      </c>
      <c r="G656" s="136">
        <v>54750.0</v>
      </c>
      <c r="H656" s="136" t="s">
        <v>87</v>
      </c>
      <c r="I656" s="137">
        <v>7500.0</v>
      </c>
      <c r="J656" s="46">
        <f t="shared" si="680"/>
        <v>410625000</v>
      </c>
      <c r="K656" s="46">
        <v>5.47875E7</v>
      </c>
      <c r="L656" s="105"/>
      <c r="M656" s="106"/>
      <c r="N656" s="105"/>
      <c r="O656" s="46">
        <f t="shared" si="681"/>
        <v>355837500</v>
      </c>
      <c r="P656" s="46">
        <f t="shared" si="682"/>
        <v>410625000</v>
      </c>
      <c r="Q656" s="46">
        <v>4.10625E8</v>
      </c>
      <c r="R656" s="101"/>
      <c r="S656" s="101"/>
      <c r="T656" s="99"/>
      <c r="U656" s="99"/>
      <c r="V656" s="99"/>
      <c r="W656" s="99"/>
      <c r="X656" s="99"/>
      <c r="Y656" s="99"/>
      <c r="Z656" s="99"/>
      <c r="AA656" s="99"/>
      <c r="AB656" s="99"/>
      <c r="AC656" s="99"/>
      <c r="AD656" s="99"/>
      <c r="AE656" s="99"/>
      <c r="AF656" s="99"/>
      <c r="AG656" s="99"/>
      <c r="AH656" s="99"/>
      <c r="AI656" s="99"/>
      <c r="AJ656" s="99"/>
      <c r="AK656" s="99"/>
      <c r="AL656" s="99"/>
      <c r="AM656" s="99"/>
    </row>
    <row r="657" ht="12.75" customHeight="1">
      <c r="A657" s="110" t="s">
        <v>63</v>
      </c>
      <c r="D657" s="145" t="s">
        <v>64</v>
      </c>
      <c r="G657" s="104"/>
      <c r="H657" s="133"/>
      <c r="I657" s="104"/>
      <c r="J657" s="134">
        <f>SUM(J659:J660)</f>
        <v>126000000</v>
      </c>
      <c r="K657" s="46">
        <f t="shared" ref="K657:P657" si="683">K659+K660</f>
        <v>0</v>
      </c>
      <c r="L657" s="46">
        <f t="shared" si="683"/>
        <v>0</v>
      </c>
      <c r="M657" s="146">
        <f t="shared" si="683"/>
        <v>0</v>
      </c>
      <c r="N657" s="46">
        <f t="shared" si="683"/>
        <v>0</v>
      </c>
      <c r="O657" s="46">
        <f t="shared" si="683"/>
        <v>126000000</v>
      </c>
      <c r="P657" s="46">
        <f t="shared" si="683"/>
        <v>126000000</v>
      </c>
      <c r="Q657" s="46">
        <v>1.26E8</v>
      </c>
      <c r="R657" s="101"/>
      <c r="S657" s="101"/>
      <c r="T657" s="99"/>
      <c r="U657" s="99"/>
      <c r="V657" s="99"/>
      <c r="W657" s="99"/>
      <c r="X657" s="99"/>
      <c r="Y657" s="99"/>
      <c r="Z657" s="99"/>
      <c r="AA657" s="99"/>
      <c r="AB657" s="99"/>
      <c r="AC657" s="99"/>
      <c r="AD657" s="99"/>
      <c r="AE657" s="99"/>
      <c r="AF657" s="99"/>
      <c r="AG657" s="99"/>
      <c r="AH657" s="99"/>
      <c r="AI657" s="99"/>
      <c r="AJ657" s="99"/>
      <c r="AK657" s="99"/>
      <c r="AL657" s="99"/>
      <c r="AM657" s="99"/>
    </row>
    <row r="658" ht="12.75" customHeight="1">
      <c r="A658" s="104"/>
      <c r="B658" s="104"/>
      <c r="C658" s="104"/>
      <c r="D658" s="110" t="s">
        <v>23</v>
      </c>
      <c r="G658" s="104"/>
      <c r="H658" s="104"/>
      <c r="I658" s="104"/>
      <c r="J658" s="111"/>
      <c r="K658" s="111"/>
      <c r="L658" s="105"/>
      <c r="M658" s="106"/>
      <c r="N658" s="105"/>
      <c r="O658" s="111"/>
      <c r="P658" s="111"/>
      <c r="Q658" s="111"/>
      <c r="R658" s="101"/>
      <c r="S658" s="101"/>
      <c r="T658" s="99"/>
      <c r="U658" s="99"/>
      <c r="V658" s="99"/>
      <c r="W658" s="99"/>
      <c r="X658" s="99"/>
      <c r="Y658" s="99"/>
      <c r="Z658" s="99"/>
      <c r="AA658" s="99"/>
      <c r="AB658" s="99"/>
      <c r="AC658" s="99"/>
      <c r="AD658" s="99"/>
      <c r="AE658" s="99"/>
      <c r="AF658" s="99"/>
      <c r="AG658" s="99"/>
      <c r="AH658" s="99"/>
      <c r="AI658" s="99"/>
      <c r="AJ658" s="99"/>
      <c r="AK658" s="99"/>
      <c r="AL658" s="99"/>
      <c r="AM658" s="99"/>
    </row>
    <row r="659" ht="12.75" customHeight="1">
      <c r="A659" s="104"/>
      <c r="B659" s="104"/>
      <c r="C659" s="104"/>
      <c r="D659" s="110" t="s">
        <v>24</v>
      </c>
      <c r="E659" s="110" t="s">
        <v>90</v>
      </c>
      <c r="G659" s="136">
        <v>180.0</v>
      </c>
      <c r="H659" s="136" t="s">
        <v>87</v>
      </c>
      <c r="I659" s="137">
        <v>500000.0</v>
      </c>
      <c r="J659" s="46">
        <f t="shared" ref="J659:J660" si="684">G659*I659</f>
        <v>90000000</v>
      </c>
      <c r="K659" s="46"/>
      <c r="L659" s="105"/>
      <c r="M659" s="106"/>
      <c r="N659" s="105"/>
      <c r="O659" s="46">
        <f t="shared" ref="O659:O660" si="685">J659-K659</f>
        <v>90000000</v>
      </c>
      <c r="P659" s="46">
        <f t="shared" ref="P659:P660" si="686">J659-M659</f>
        <v>90000000</v>
      </c>
      <c r="Q659" s="46">
        <v>9.0E7</v>
      </c>
      <c r="R659" s="101"/>
      <c r="S659" s="101"/>
      <c r="T659" s="99"/>
      <c r="U659" s="99"/>
      <c r="V659" s="99"/>
      <c r="W659" s="99"/>
      <c r="X659" s="99"/>
      <c r="Y659" s="99"/>
      <c r="Z659" s="99"/>
      <c r="AA659" s="99"/>
      <c r="AB659" s="99"/>
      <c r="AC659" s="99"/>
      <c r="AD659" s="99"/>
      <c r="AE659" s="99"/>
      <c r="AF659" s="99"/>
      <c r="AG659" s="99"/>
      <c r="AH659" s="99"/>
      <c r="AI659" s="99"/>
      <c r="AJ659" s="99"/>
      <c r="AK659" s="99"/>
      <c r="AL659" s="99"/>
      <c r="AM659" s="99"/>
    </row>
    <row r="660" ht="12.75" customHeight="1">
      <c r="A660" s="104"/>
      <c r="B660" s="104"/>
      <c r="C660" s="104"/>
      <c r="D660" s="110" t="s">
        <v>24</v>
      </c>
      <c r="E660" s="110" t="s">
        <v>261</v>
      </c>
      <c r="G660" s="136">
        <v>900.0</v>
      </c>
      <c r="H660" s="136" t="s">
        <v>87</v>
      </c>
      <c r="I660" s="137">
        <v>40000.0</v>
      </c>
      <c r="J660" s="46">
        <f t="shared" si="684"/>
        <v>36000000</v>
      </c>
      <c r="K660" s="46"/>
      <c r="L660" s="105"/>
      <c r="M660" s="106"/>
      <c r="N660" s="105"/>
      <c r="O660" s="46">
        <f t="shared" si="685"/>
        <v>36000000</v>
      </c>
      <c r="P660" s="46">
        <f t="shared" si="686"/>
        <v>36000000</v>
      </c>
      <c r="Q660" s="46">
        <v>3.6E7</v>
      </c>
      <c r="R660" s="101"/>
      <c r="S660" s="101"/>
      <c r="T660" s="99"/>
      <c r="U660" s="99"/>
      <c r="V660" s="99"/>
      <c r="W660" s="99"/>
      <c r="X660" s="99"/>
      <c r="Y660" s="99"/>
      <c r="Z660" s="99"/>
      <c r="AA660" s="99"/>
      <c r="AB660" s="99"/>
      <c r="AC660" s="99"/>
      <c r="AD660" s="99"/>
      <c r="AE660" s="99"/>
      <c r="AF660" s="99"/>
      <c r="AG660" s="99"/>
      <c r="AH660" s="99"/>
      <c r="AI660" s="99"/>
      <c r="AJ660" s="99"/>
      <c r="AK660" s="99"/>
      <c r="AL660" s="99"/>
      <c r="AM660" s="99"/>
    </row>
    <row r="661" ht="12.75" customHeight="1">
      <c r="A661" s="144" t="s">
        <v>92</v>
      </c>
      <c r="D661" s="144" t="s">
        <v>93</v>
      </c>
      <c r="G661" s="104"/>
      <c r="H661" s="128"/>
      <c r="I661" s="104"/>
      <c r="J661" s="129">
        <f t="shared" ref="J661:K661" si="687">J662</f>
        <v>42756000</v>
      </c>
      <c r="K661" s="43">
        <f t="shared" si="687"/>
        <v>0</v>
      </c>
      <c r="L661" s="105"/>
      <c r="M661" s="106"/>
      <c r="N661" s="105"/>
      <c r="O661" s="43">
        <f t="shared" ref="O661:P661" si="688">O662</f>
        <v>42756000</v>
      </c>
      <c r="P661" s="43">
        <f t="shared" si="688"/>
        <v>42756000</v>
      </c>
      <c r="Q661" s="43">
        <v>4.2756E7</v>
      </c>
      <c r="R661" s="101"/>
      <c r="S661" s="101"/>
      <c r="T661" s="99"/>
      <c r="U661" s="99"/>
      <c r="V661" s="99"/>
      <c r="W661" s="99"/>
      <c r="X661" s="99"/>
      <c r="Y661" s="99"/>
      <c r="Z661" s="99"/>
      <c r="AA661" s="99"/>
      <c r="AB661" s="99"/>
      <c r="AC661" s="99"/>
      <c r="AD661" s="99"/>
      <c r="AE661" s="99"/>
      <c r="AF661" s="99"/>
      <c r="AG661" s="99"/>
      <c r="AH661" s="99"/>
      <c r="AI661" s="99"/>
      <c r="AJ661" s="99"/>
      <c r="AK661" s="99"/>
      <c r="AL661" s="99"/>
      <c r="AM661" s="99"/>
    </row>
    <row r="662" ht="12.75" customHeight="1">
      <c r="A662" s="110" t="s">
        <v>68</v>
      </c>
      <c r="D662" s="145" t="s">
        <v>69</v>
      </c>
      <c r="G662" s="104"/>
      <c r="H662" s="133"/>
      <c r="I662" s="104"/>
      <c r="J662" s="134">
        <f t="shared" ref="J662:K662" si="689">SUM(J664:J665)</f>
        <v>42756000</v>
      </c>
      <c r="K662" s="46">
        <f t="shared" si="689"/>
        <v>0</v>
      </c>
      <c r="L662" s="105"/>
      <c r="M662" s="106"/>
      <c r="N662" s="105"/>
      <c r="O662" s="46">
        <f t="shared" ref="O662:P662" si="690">SUM(O664:O665)</f>
        <v>42756000</v>
      </c>
      <c r="P662" s="46">
        <f t="shared" si="690"/>
        <v>42756000</v>
      </c>
      <c r="Q662" s="46">
        <v>4.2756E7</v>
      </c>
      <c r="R662" s="101"/>
      <c r="S662" s="101"/>
      <c r="T662" s="99"/>
      <c r="U662" s="99"/>
      <c r="V662" s="99"/>
      <c r="W662" s="99"/>
      <c r="X662" s="99"/>
      <c r="Y662" s="99"/>
      <c r="Z662" s="99"/>
      <c r="AA662" s="99"/>
      <c r="AB662" s="99"/>
      <c r="AC662" s="99"/>
      <c r="AD662" s="99"/>
      <c r="AE662" s="99"/>
      <c r="AF662" s="99"/>
      <c r="AG662" s="99"/>
      <c r="AH662" s="99"/>
      <c r="AI662" s="99"/>
      <c r="AJ662" s="99"/>
      <c r="AK662" s="99"/>
      <c r="AL662" s="99"/>
      <c r="AM662" s="99"/>
    </row>
    <row r="663" ht="12.75" customHeight="1">
      <c r="A663" s="104"/>
      <c r="B663" s="104"/>
      <c r="C663" s="104"/>
      <c r="D663" s="110" t="s">
        <v>23</v>
      </c>
      <c r="G663" s="104"/>
      <c r="H663" s="104"/>
      <c r="I663" s="104"/>
      <c r="J663" s="111"/>
      <c r="K663" s="111"/>
      <c r="L663" s="105"/>
      <c r="M663" s="106"/>
      <c r="N663" s="105"/>
      <c r="O663" s="111"/>
      <c r="P663" s="111"/>
      <c r="Q663" s="111"/>
      <c r="R663" s="101"/>
      <c r="S663" s="101"/>
      <c r="T663" s="99"/>
      <c r="U663" s="99"/>
      <c r="V663" s="99"/>
      <c r="W663" s="99"/>
      <c r="X663" s="99"/>
      <c r="Y663" s="99"/>
      <c r="Z663" s="99"/>
      <c r="AA663" s="99"/>
      <c r="AB663" s="99"/>
      <c r="AC663" s="99"/>
      <c r="AD663" s="99"/>
      <c r="AE663" s="99"/>
      <c r="AF663" s="99"/>
      <c r="AG663" s="99"/>
      <c r="AH663" s="99"/>
      <c r="AI663" s="99"/>
      <c r="AJ663" s="99"/>
      <c r="AK663" s="99"/>
      <c r="AL663" s="99"/>
      <c r="AM663" s="99"/>
    </row>
    <row r="664" ht="12.75" customHeight="1">
      <c r="A664" s="104"/>
      <c r="B664" s="104"/>
      <c r="C664" s="104"/>
      <c r="D664" s="110" t="s">
        <v>24</v>
      </c>
      <c r="E664" s="110" t="s">
        <v>94</v>
      </c>
      <c r="G664" s="136">
        <v>12.0</v>
      </c>
      <c r="H664" s="136" t="s">
        <v>95</v>
      </c>
      <c r="I664" s="137">
        <v>2500000.0</v>
      </c>
      <c r="J664" s="46">
        <f t="shared" ref="J664:J665" si="691">G664*I664</f>
        <v>30000000</v>
      </c>
      <c r="K664" s="46"/>
      <c r="L664" s="105"/>
      <c r="M664" s="106"/>
      <c r="N664" s="105"/>
      <c r="O664" s="46">
        <f t="shared" ref="O664:O665" si="692">J664-K664</f>
        <v>30000000</v>
      </c>
      <c r="P664" s="46">
        <f t="shared" ref="P664:P665" si="693">J664-M664</f>
        <v>30000000</v>
      </c>
      <c r="Q664" s="46">
        <v>3.0E7</v>
      </c>
      <c r="R664" s="101"/>
      <c r="S664" s="101"/>
      <c r="T664" s="99"/>
      <c r="U664" s="99"/>
      <c r="V664" s="99"/>
      <c r="W664" s="99"/>
      <c r="X664" s="99"/>
      <c r="Y664" s="99"/>
      <c r="Z664" s="99"/>
      <c r="AA664" s="99"/>
      <c r="AB664" s="99"/>
      <c r="AC664" s="99"/>
      <c r="AD664" s="99"/>
      <c r="AE664" s="99"/>
      <c r="AF664" s="99"/>
      <c r="AG664" s="99"/>
      <c r="AH664" s="99"/>
      <c r="AI664" s="99"/>
      <c r="AJ664" s="99"/>
      <c r="AK664" s="99"/>
      <c r="AL664" s="99"/>
      <c r="AM664" s="99"/>
    </row>
    <row r="665" ht="12.75" customHeight="1">
      <c r="A665" s="104"/>
      <c r="B665" s="104"/>
      <c r="C665" s="104"/>
      <c r="D665" s="110" t="s">
        <v>24</v>
      </c>
      <c r="E665" s="110" t="s">
        <v>290</v>
      </c>
      <c r="G665" s="136">
        <v>1.0</v>
      </c>
      <c r="H665" s="136" t="s">
        <v>97</v>
      </c>
      <c r="I665" s="137">
        <v>1.2756E7</v>
      </c>
      <c r="J665" s="46">
        <f t="shared" si="691"/>
        <v>12756000</v>
      </c>
      <c r="K665" s="46"/>
      <c r="L665" s="105"/>
      <c r="M665" s="106"/>
      <c r="N665" s="105"/>
      <c r="O665" s="46">
        <f t="shared" si="692"/>
        <v>12756000</v>
      </c>
      <c r="P665" s="46">
        <f t="shared" si="693"/>
        <v>12756000</v>
      </c>
      <c r="Q665" s="46">
        <v>1.2756E7</v>
      </c>
      <c r="R665" s="101"/>
      <c r="S665" s="101"/>
      <c r="T665" s="99"/>
      <c r="U665" s="99"/>
      <c r="V665" s="99"/>
      <c r="W665" s="99"/>
      <c r="X665" s="99"/>
      <c r="Y665" s="99"/>
      <c r="Z665" s="99"/>
      <c r="AA665" s="99"/>
      <c r="AB665" s="99"/>
      <c r="AC665" s="99"/>
      <c r="AD665" s="99"/>
      <c r="AE665" s="99"/>
      <c r="AF665" s="99"/>
      <c r="AG665" s="99"/>
      <c r="AH665" s="99"/>
      <c r="AI665" s="99"/>
      <c r="AJ665" s="99"/>
      <c r="AK665" s="99"/>
      <c r="AL665" s="99"/>
      <c r="AM665" s="99"/>
    </row>
    <row r="666" ht="12.75" customHeight="1">
      <c r="A666" s="144" t="s">
        <v>98</v>
      </c>
      <c r="D666" s="144" t="s">
        <v>99</v>
      </c>
      <c r="G666" s="104"/>
      <c r="H666" s="128"/>
      <c r="I666" s="104"/>
      <c r="J666" s="129">
        <f t="shared" ref="J666:K666" si="694">J667+J676</f>
        <v>6760000</v>
      </c>
      <c r="K666" s="43">
        <f t="shared" si="694"/>
        <v>0</v>
      </c>
      <c r="L666" s="105"/>
      <c r="M666" s="106"/>
      <c r="N666" s="105"/>
      <c r="O666" s="43">
        <f t="shared" ref="O666:P666" si="695">O667+O676</f>
        <v>6760000</v>
      </c>
      <c r="P666" s="43">
        <f t="shared" si="695"/>
        <v>6760000</v>
      </c>
      <c r="Q666" s="43">
        <v>6760000.0</v>
      </c>
      <c r="R666" s="101"/>
      <c r="S666" s="101"/>
      <c r="T666" s="99"/>
      <c r="U666" s="99"/>
      <c r="V666" s="99"/>
      <c r="W666" s="99"/>
      <c r="X666" s="99"/>
      <c r="Y666" s="99"/>
      <c r="Z666" s="99"/>
      <c r="AA666" s="99"/>
      <c r="AB666" s="99"/>
      <c r="AC666" s="99"/>
      <c r="AD666" s="99"/>
      <c r="AE666" s="99"/>
      <c r="AF666" s="99"/>
      <c r="AG666" s="99"/>
      <c r="AH666" s="99"/>
      <c r="AI666" s="99"/>
      <c r="AJ666" s="99"/>
      <c r="AK666" s="99"/>
      <c r="AL666" s="99"/>
      <c r="AM666" s="99"/>
    </row>
    <row r="667" ht="12.75" customHeight="1">
      <c r="A667" s="110" t="s">
        <v>100</v>
      </c>
      <c r="D667" s="145" t="s">
        <v>101</v>
      </c>
      <c r="G667" s="104"/>
      <c r="H667" s="133"/>
      <c r="I667" s="104"/>
      <c r="J667" s="134">
        <f t="shared" ref="J667:K667" si="696">SUM(J669:J675)</f>
        <v>5600000</v>
      </c>
      <c r="K667" s="46">
        <f t="shared" si="696"/>
        <v>0</v>
      </c>
      <c r="L667" s="105"/>
      <c r="M667" s="106"/>
      <c r="N667" s="105"/>
      <c r="O667" s="46">
        <f t="shared" ref="O667:P667" si="697">SUM(O669:O675)</f>
        <v>5600000</v>
      </c>
      <c r="P667" s="46">
        <f t="shared" si="697"/>
        <v>5600000</v>
      </c>
      <c r="Q667" s="46">
        <v>5600000.0</v>
      </c>
      <c r="R667" s="101"/>
      <c r="S667" s="101"/>
      <c r="T667" s="99"/>
      <c r="U667" s="99"/>
      <c r="V667" s="99"/>
      <c r="W667" s="99"/>
      <c r="X667" s="99"/>
      <c r="Y667" s="99"/>
      <c r="Z667" s="99"/>
      <c r="AA667" s="99"/>
      <c r="AB667" s="99"/>
      <c r="AC667" s="99"/>
      <c r="AD667" s="99"/>
      <c r="AE667" s="99"/>
      <c r="AF667" s="99"/>
      <c r="AG667" s="99"/>
      <c r="AH667" s="99"/>
      <c r="AI667" s="99"/>
      <c r="AJ667" s="99"/>
      <c r="AK667" s="99"/>
      <c r="AL667" s="99"/>
      <c r="AM667" s="99"/>
    </row>
    <row r="668" ht="12.75" customHeight="1">
      <c r="A668" s="104"/>
      <c r="B668" s="104"/>
      <c r="C668" s="104"/>
      <c r="D668" s="110" t="s">
        <v>23</v>
      </c>
      <c r="G668" s="104"/>
      <c r="H668" s="104"/>
      <c r="I668" s="104"/>
      <c r="J668" s="111"/>
      <c r="K668" s="111"/>
      <c r="L668" s="105"/>
      <c r="M668" s="106"/>
      <c r="N668" s="105"/>
      <c r="O668" s="111"/>
      <c r="P668" s="111"/>
      <c r="Q668" s="111"/>
      <c r="R668" s="101"/>
      <c r="S668" s="101"/>
      <c r="T668" s="99"/>
      <c r="U668" s="99"/>
      <c r="V668" s="99"/>
      <c r="W668" s="99"/>
      <c r="X668" s="99"/>
      <c r="Y668" s="99"/>
      <c r="Z668" s="99"/>
      <c r="AA668" s="99"/>
      <c r="AB668" s="99"/>
      <c r="AC668" s="99"/>
      <c r="AD668" s="99"/>
      <c r="AE668" s="99"/>
      <c r="AF668" s="99"/>
      <c r="AG668" s="99"/>
      <c r="AH668" s="99"/>
      <c r="AI668" s="99"/>
      <c r="AJ668" s="99"/>
      <c r="AK668" s="99"/>
      <c r="AL668" s="99"/>
      <c r="AM668" s="99"/>
    </row>
    <row r="669" ht="12.75" customHeight="1">
      <c r="A669" s="104"/>
      <c r="B669" s="104"/>
      <c r="C669" s="104"/>
      <c r="D669" s="110" t="s">
        <v>24</v>
      </c>
      <c r="E669" s="110" t="s">
        <v>102</v>
      </c>
      <c r="G669" s="136">
        <v>2.0</v>
      </c>
      <c r="H669" s="136" t="s">
        <v>95</v>
      </c>
      <c r="I669" s="137">
        <v>350000.0</v>
      </c>
      <c r="J669" s="46">
        <f t="shared" ref="J669:J675" si="698">G669*I669</f>
        <v>700000</v>
      </c>
      <c r="K669" s="46"/>
      <c r="L669" s="105"/>
      <c r="M669" s="106"/>
      <c r="N669" s="105"/>
      <c r="O669" s="46">
        <f t="shared" ref="O669:O675" si="699">J669-K669</f>
        <v>700000</v>
      </c>
      <c r="P669" s="46">
        <f t="shared" ref="P669:P675" si="700">J669-M669</f>
        <v>700000</v>
      </c>
      <c r="Q669" s="46">
        <v>700000.0</v>
      </c>
      <c r="R669" s="101"/>
      <c r="S669" s="101"/>
      <c r="T669" s="99"/>
      <c r="U669" s="99"/>
      <c r="V669" s="99"/>
      <c r="W669" s="99"/>
      <c r="X669" s="99"/>
      <c r="Y669" s="99"/>
      <c r="Z669" s="99"/>
      <c r="AA669" s="99"/>
      <c r="AB669" s="99"/>
      <c r="AC669" s="99"/>
      <c r="AD669" s="99"/>
      <c r="AE669" s="99"/>
      <c r="AF669" s="99"/>
      <c r="AG669" s="99"/>
      <c r="AH669" s="99"/>
      <c r="AI669" s="99"/>
      <c r="AJ669" s="99"/>
      <c r="AK669" s="99"/>
      <c r="AL669" s="99"/>
      <c r="AM669" s="99"/>
    </row>
    <row r="670" ht="12.75" customHeight="1">
      <c r="A670" s="104"/>
      <c r="B670" s="104"/>
      <c r="C670" s="104"/>
      <c r="D670" s="110" t="s">
        <v>24</v>
      </c>
      <c r="E670" s="110" t="s">
        <v>103</v>
      </c>
      <c r="G670" s="136">
        <v>2.0</v>
      </c>
      <c r="H670" s="136" t="s">
        <v>95</v>
      </c>
      <c r="I670" s="137">
        <v>225000.0</v>
      </c>
      <c r="J670" s="46">
        <f t="shared" si="698"/>
        <v>450000</v>
      </c>
      <c r="K670" s="46"/>
      <c r="L670" s="105"/>
      <c r="M670" s="106"/>
      <c r="N670" s="105"/>
      <c r="O670" s="46">
        <f t="shared" si="699"/>
        <v>450000</v>
      </c>
      <c r="P670" s="46">
        <f t="shared" si="700"/>
        <v>450000</v>
      </c>
      <c r="Q670" s="46">
        <v>450000.0</v>
      </c>
      <c r="R670" s="101"/>
      <c r="S670" s="101"/>
      <c r="T670" s="99"/>
      <c r="U670" s="99"/>
      <c r="V670" s="99"/>
      <c r="W670" s="99"/>
      <c r="X670" s="99"/>
      <c r="Y670" s="99"/>
      <c r="Z670" s="99"/>
      <c r="AA670" s="99"/>
      <c r="AB670" s="99"/>
      <c r="AC670" s="99"/>
      <c r="AD670" s="99"/>
      <c r="AE670" s="99"/>
      <c r="AF670" s="99"/>
      <c r="AG670" s="99"/>
      <c r="AH670" s="99"/>
      <c r="AI670" s="99"/>
      <c r="AJ670" s="99"/>
      <c r="AK670" s="99"/>
      <c r="AL670" s="99"/>
      <c r="AM670" s="99"/>
    </row>
    <row r="671" ht="15.75" customHeight="1">
      <c r="A671" s="104"/>
      <c r="B671" s="104"/>
      <c r="C671" s="104"/>
      <c r="D671" s="110" t="s">
        <v>24</v>
      </c>
      <c r="E671" s="110" t="s">
        <v>104</v>
      </c>
      <c r="G671" s="136">
        <v>2.0</v>
      </c>
      <c r="H671" s="136" t="s">
        <v>95</v>
      </c>
      <c r="I671" s="137">
        <v>450000.0</v>
      </c>
      <c r="J671" s="46">
        <f t="shared" si="698"/>
        <v>900000</v>
      </c>
      <c r="K671" s="46"/>
      <c r="L671" s="105"/>
      <c r="M671" s="106"/>
      <c r="N671" s="105"/>
      <c r="O671" s="46">
        <f t="shared" si="699"/>
        <v>900000</v>
      </c>
      <c r="P671" s="46">
        <f t="shared" si="700"/>
        <v>900000</v>
      </c>
      <c r="Q671" s="46">
        <v>900000.0</v>
      </c>
      <c r="R671" s="101"/>
      <c r="S671" s="101"/>
      <c r="T671" s="99"/>
      <c r="U671" s="99"/>
      <c r="V671" s="99"/>
      <c r="W671" s="99"/>
      <c r="X671" s="99"/>
      <c r="Y671" s="99"/>
      <c r="Z671" s="99"/>
      <c r="AA671" s="99"/>
      <c r="AB671" s="99"/>
      <c r="AC671" s="99"/>
      <c r="AD671" s="99"/>
      <c r="AE671" s="99"/>
      <c r="AF671" s="99"/>
      <c r="AG671" s="99"/>
      <c r="AH671" s="99"/>
      <c r="AI671" s="99"/>
      <c r="AJ671" s="99"/>
      <c r="AK671" s="99"/>
      <c r="AL671" s="99"/>
      <c r="AM671" s="99"/>
    </row>
    <row r="672" ht="12.75" customHeight="1">
      <c r="A672" s="104"/>
      <c r="B672" s="104"/>
      <c r="C672" s="104"/>
      <c r="D672" s="110" t="s">
        <v>24</v>
      </c>
      <c r="E672" s="110" t="s">
        <v>105</v>
      </c>
      <c r="G672" s="136">
        <v>2.0</v>
      </c>
      <c r="H672" s="136" t="s">
        <v>95</v>
      </c>
      <c r="I672" s="137">
        <v>250000.0</v>
      </c>
      <c r="J672" s="46">
        <f t="shared" si="698"/>
        <v>500000</v>
      </c>
      <c r="K672" s="46"/>
      <c r="L672" s="105"/>
      <c r="M672" s="106"/>
      <c r="N672" s="105"/>
      <c r="O672" s="46">
        <f t="shared" si="699"/>
        <v>500000</v>
      </c>
      <c r="P672" s="46">
        <f t="shared" si="700"/>
        <v>500000</v>
      </c>
      <c r="Q672" s="46">
        <v>500000.0</v>
      </c>
      <c r="R672" s="101"/>
      <c r="S672" s="101"/>
      <c r="T672" s="99"/>
      <c r="U672" s="99"/>
      <c r="V672" s="99"/>
      <c r="W672" s="99"/>
      <c r="X672" s="99"/>
      <c r="Y672" s="99"/>
      <c r="Z672" s="99"/>
      <c r="AA672" s="99"/>
      <c r="AB672" s="99"/>
      <c r="AC672" s="99"/>
      <c r="AD672" s="99"/>
      <c r="AE672" s="99"/>
      <c r="AF672" s="99"/>
      <c r="AG672" s="99"/>
      <c r="AH672" s="99"/>
      <c r="AI672" s="99"/>
      <c r="AJ672" s="99"/>
      <c r="AK672" s="99"/>
      <c r="AL672" s="99"/>
      <c r="AM672" s="99"/>
    </row>
    <row r="673" ht="12.75" customHeight="1">
      <c r="A673" s="104"/>
      <c r="B673" s="104"/>
      <c r="C673" s="104"/>
      <c r="D673" s="110" t="s">
        <v>24</v>
      </c>
      <c r="E673" s="110" t="s">
        <v>106</v>
      </c>
      <c r="G673" s="136">
        <v>2.0</v>
      </c>
      <c r="H673" s="136" t="s">
        <v>95</v>
      </c>
      <c r="I673" s="137">
        <v>100000.0</v>
      </c>
      <c r="J673" s="46">
        <f t="shared" si="698"/>
        <v>200000</v>
      </c>
      <c r="K673" s="46"/>
      <c r="L673" s="105"/>
      <c r="M673" s="106"/>
      <c r="N673" s="105"/>
      <c r="O673" s="46">
        <f t="shared" si="699"/>
        <v>200000</v>
      </c>
      <c r="P673" s="46">
        <f t="shared" si="700"/>
        <v>200000</v>
      </c>
      <c r="Q673" s="46">
        <v>200000.0</v>
      </c>
      <c r="R673" s="101"/>
      <c r="S673" s="101"/>
      <c r="T673" s="99"/>
      <c r="U673" s="99"/>
      <c r="V673" s="99"/>
      <c r="W673" s="99"/>
      <c r="X673" s="99"/>
      <c r="Y673" s="99"/>
      <c r="Z673" s="99"/>
      <c r="AA673" s="99"/>
      <c r="AB673" s="99"/>
      <c r="AC673" s="99"/>
      <c r="AD673" s="99"/>
      <c r="AE673" s="99"/>
      <c r="AF673" s="99"/>
      <c r="AG673" s="99"/>
      <c r="AH673" s="99"/>
      <c r="AI673" s="99"/>
      <c r="AJ673" s="99"/>
      <c r="AK673" s="99"/>
      <c r="AL673" s="99"/>
      <c r="AM673" s="99"/>
    </row>
    <row r="674" ht="12.75" customHeight="1">
      <c r="A674" s="104"/>
      <c r="B674" s="104"/>
      <c r="C674" s="104"/>
      <c r="D674" s="110" t="s">
        <v>24</v>
      </c>
      <c r="E674" s="110" t="s">
        <v>107</v>
      </c>
      <c r="G674" s="136">
        <v>2.0</v>
      </c>
      <c r="H674" s="136" t="s">
        <v>95</v>
      </c>
      <c r="I674" s="137">
        <v>725000.0</v>
      </c>
      <c r="J674" s="46">
        <f t="shared" si="698"/>
        <v>1450000</v>
      </c>
      <c r="K674" s="46"/>
      <c r="L674" s="105"/>
      <c r="M674" s="106"/>
      <c r="N674" s="105"/>
      <c r="O674" s="46">
        <f t="shared" si="699"/>
        <v>1450000</v>
      </c>
      <c r="P674" s="46">
        <f t="shared" si="700"/>
        <v>1450000</v>
      </c>
      <c r="Q674" s="46">
        <v>1450000.0</v>
      </c>
      <c r="R674" s="101"/>
      <c r="S674" s="101"/>
      <c r="T674" s="99"/>
      <c r="U674" s="99"/>
      <c r="V674" s="99"/>
      <c r="W674" s="99"/>
      <c r="X674" s="99"/>
      <c r="Y674" s="99"/>
      <c r="Z674" s="99"/>
      <c r="AA674" s="99"/>
      <c r="AB674" s="99"/>
      <c r="AC674" s="99"/>
      <c r="AD674" s="99"/>
      <c r="AE674" s="99"/>
      <c r="AF674" s="99"/>
      <c r="AG674" s="99"/>
      <c r="AH674" s="99"/>
      <c r="AI674" s="99"/>
      <c r="AJ674" s="99"/>
      <c r="AK674" s="99"/>
      <c r="AL674" s="99"/>
      <c r="AM674" s="99"/>
    </row>
    <row r="675" ht="15.75" customHeight="1">
      <c r="A675" s="104"/>
      <c r="B675" s="104"/>
      <c r="C675" s="104"/>
      <c r="D675" s="110" t="s">
        <v>24</v>
      </c>
      <c r="E675" s="110" t="s">
        <v>108</v>
      </c>
      <c r="G675" s="136">
        <v>2.0</v>
      </c>
      <c r="H675" s="136" t="s">
        <v>95</v>
      </c>
      <c r="I675" s="137">
        <v>700000.0</v>
      </c>
      <c r="J675" s="46">
        <f t="shared" si="698"/>
        <v>1400000</v>
      </c>
      <c r="K675" s="46"/>
      <c r="L675" s="105"/>
      <c r="M675" s="106"/>
      <c r="N675" s="105"/>
      <c r="O675" s="46">
        <f t="shared" si="699"/>
        <v>1400000</v>
      </c>
      <c r="P675" s="46">
        <f t="shared" si="700"/>
        <v>1400000</v>
      </c>
      <c r="Q675" s="46">
        <v>1400000.0</v>
      </c>
      <c r="R675" s="101"/>
      <c r="S675" s="101"/>
      <c r="T675" s="99"/>
      <c r="U675" s="99"/>
      <c r="V675" s="99"/>
      <c r="W675" s="99"/>
      <c r="X675" s="99"/>
      <c r="Y675" s="99"/>
      <c r="Z675" s="99"/>
      <c r="AA675" s="99"/>
      <c r="AB675" s="99"/>
      <c r="AC675" s="99"/>
      <c r="AD675" s="99"/>
      <c r="AE675" s="99"/>
      <c r="AF675" s="99"/>
      <c r="AG675" s="99"/>
      <c r="AH675" s="99"/>
      <c r="AI675" s="99"/>
      <c r="AJ675" s="99"/>
      <c r="AK675" s="99"/>
      <c r="AL675" s="99"/>
      <c r="AM675" s="99"/>
    </row>
    <row r="676" ht="12.75" customHeight="1">
      <c r="A676" s="110" t="s">
        <v>68</v>
      </c>
      <c r="D676" s="145" t="s">
        <v>69</v>
      </c>
      <c r="G676" s="104"/>
      <c r="H676" s="133"/>
      <c r="I676" s="104"/>
      <c r="J676" s="134">
        <f t="shared" ref="J676:K676" si="701">SUM(J678:J681)</f>
        <v>1160000</v>
      </c>
      <c r="K676" s="46">
        <f t="shared" si="701"/>
        <v>0</v>
      </c>
      <c r="L676" s="105"/>
      <c r="M676" s="106"/>
      <c r="N676" s="105"/>
      <c r="O676" s="46">
        <f t="shared" ref="O676:P676" si="702">SUM(O678:O681)</f>
        <v>1160000</v>
      </c>
      <c r="P676" s="46">
        <f t="shared" si="702"/>
        <v>1160000</v>
      </c>
      <c r="Q676" s="46">
        <v>1160000.0</v>
      </c>
      <c r="R676" s="101"/>
      <c r="S676" s="101"/>
      <c r="T676" s="99"/>
      <c r="U676" s="99"/>
      <c r="V676" s="99"/>
      <c r="W676" s="99"/>
      <c r="X676" s="99"/>
      <c r="Y676" s="99"/>
      <c r="Z676" s="99"/>
      <c r="AA676" s="99"/>
      <c r="AB676" s="99"/>
      <c r="AC676" s="99"/>
      <c r="AD676" s="99"/>
      <c r="AE676" s="99"/>
      <c r="AF676" s="99"/>
      <c r="AG676" s="99"/>
      <c r="AH676" s="99"/>
      <c r="AI676" s="99"/>
      <c r="AJ676" s="99"/>
      <c r="AK676" s="99"/>
      <c r="AL676" s="99"/>
      <c r="AM676" s="99"/>
    </row>
    <row r="677" ht="12.75" customHeight="1">
      <c r="A677" s="104"/>
      <c r="B677" s="104"/>
      <c r="C677" s="104"/>
      <c r="D677" s="110" t="s">
        <v>23</v>
      </c>
      <c r="G677" s="104"/>
      <c r="H677" s="104"/>
      <c r="I677" s="104"/>
      <c r="J677" s="111"/>
      <c r="K677" s="111"/>
      <c r="L677" s="105"/>
      <c r="M677" s="106"/>
      <c r="N677" s="105"/>
      <c r="O677" s="111"/>
      <c r="P677" s="111"/>
      <c r="Q677" s="111"/>
      <c r="R677" s="101"/>
      <c r="S677" s="101"/>
      <c r="T677" s="99"/>
      <c r="U677" s="99"/>
      <c r="V677" s="99"/>
      <c r="W677" s="99"/>
      <c r="X677" s="99"/>
      <c r="Y677" s="99"/>
      <c r="Z677" s="99"/>
      <c r="AA677" s="99"/>
      <c r="AB677" s="99"/>
      <c r="AC677" s="99"/>
      <c r="AD677" s="99"/>
      <c r="AE677" s="99"/>
      <c r="AF677" s="99"/>
      <c r="AG677" s="99"/>
      <c r="AH677" s="99"/>
      <c r="AI677" s="99"/>
      <c r="AJ677" s="99"/>
      <c r="AK677" s="99"/>
      <c r="AL677" s="99"/>
      <c r="AM677" s="99"/>
    </row>
    <row r="678" ht="12.75" customHeight="1">
      <c r="A678" s="104"/>
      <c r="B678" s="104"/>
      <c r="C678" s="104"/>
      <c r="D678" s="110" t="s">
        <v>24</v>
      </c>
      <c r="E678" s="110" t="s">
        <v>109</v>
      </c>
      <c r="G678" s="136">
        <v>10.0</v>
      </c>
      <c r="H678" s="136" t="s">
        <v>95</v>
      </c>
      <c r="I678" s="137">
        <v>50000.0</v>
      </c>
      <c r="J678" s="46">
        <f t="shared" ref="J678:J681" si="703">G678*I678</f>
        <v>500000</v>
      </c>
      <c r="K678" s="46"/>
      <c r="L678" s="105"/>
      <c r="M678" s="106"/>
      <c r="N678" s="105"/>
      <c r="O678" s="46">
        <f t="shared" ref="O678:O681" si="704">J678-K678</f>
        <v>500000</v>
      </c>
      <c r="P678" s="46">
        <f t="shared" ref="P678:P681" si="705">J678-M678</f>
        <v>500000</v>
      </c>
      <c r="Q678" s="46">
        <v>500000.0</v>
      </c>
      <c r="R678" s="101"/>
      <c r="S678" s="101"/>
      <c r="T678" s="99"/>
      <c r="U678" s="99"/>
      <c r="V678" s="99"/>
      <c r="W678" s="99"/>
      <c r="X678" s="99"/>
      <c r="Y678" s="99"/>
      <c r="Z678" s="99"/>
      <c r="AA678" s="99"/>
      <c r="AB678" s="99"/>
      <c r="AC678" s="99"/>
      <c r="AD678" s="99"/>
      <c r="AE678" s="99"/>
      <c r="AF678" s="99"/>
      <c r="AG678" s="99"/>
      <c r="AH678" s="99"/>
      <c r="AI678" s="99"/>
      <c r="AJ678" s="99"/>
      <c r="AK678" s="99"/>
      <c r="AL678" s="99"/>
      <c r="AM678" s="99"/>
    </row>
    <row r="679" ht="12.75" customHeight="1">
      <c r="A679" s="104"/>
      <c r="B679" s="104"/>
      <c r="C679" s="104"/>
      <c r="D679" s="110" t="s">
        <v>24</v>
      </c>
      <c r="E679" s="110" t="s">
        <v>110</v>
      </c>
      <c r="G679" s="136">
        <v>2.0</v>
      </c>
      <c r="H679" s="136" t="s">
        <v>95</v>
      </c>
      <c r="I679" s="137">
        <v>100000.0</v>
      </c>
      <c r="J679" s="46">
        <f t="shared" si="703"/>
        <v>200000</v>
      </c>
      <c r="K679" s="46"/>
      <c r="L679" s="105"/>
      <c r="M679" s="106"/>
      <c r="N679" s="105"/>
      <c r="O679" s="46">
        <f t="shared" si="704"/>
        <v>200000</v>
      </c>
      <c r="P679" s="46">
        <f t="shared" si="705"/>
        <v>200000</v>
      </c>
      <c r="Q679" s="46">
        <v>200000.0</v>
      </c>
      <c r="R679" s="101"/>
      <c r="S679" s="101"/>
      <c r="T679" s="99"/>
      <c r="U679" s="99"/>
      <c r="V679" s="99"/>
      <c r="W679" s="99"/>
      <c r="X679" s="99"/>
      <c r="Y679" s="99"/>
      <c r="Z679" s="99"/>
      <c r="AA679" s="99"/>
      <c r="AB679" s="99"/>
      <c r="AC679" s="99"/>
      <c r="AD679" s="99"/>
      <c r="AE679" s="99"/>
      <c r="AF679" s="99"/>
      <c r="AG679" s="99"/>
      <c r="AH679" s="99"/>
      <c r="AI679" s="99"/>
      <c r="AJ679" s="99"/>
      <c r="AK679" s="99"/>
      <c r="AL679" s="99"/>
      <c r="AM679" s="99"/>
    </row>
    <row r="680" ht="12.75" customHeight="1">
      <c r="A680" s="104"/>
      <c r="B680" s="104"/>
      <c r="C680" s="104"/>
      <c r="D680" s="110" t="s">
        <v>24</v>
      </c>
      <c r="E680" s="110" t="s">
        <v>111</v>
      </c>
      <c r="G680" s="136">
        <v>2.0</v>
      </c>
      <c r="H680" s="136" t="s">
        <v>95</v>
      </c>
      <c r="I680" s="137">
        <v>200000.0</v>
      </c>
      <c r="J680" s="46">
        <f t="shared" si="703"/>
        <v>400000</v>
      </c>
      <c r="K680" s="46"/>
      <c r="L680" s="105"/>
      <c r="M680" s="106"/>
      <c r="N680" s="105"/>
      <c r="O680" s="46">
        <f t="shared" si="704"/>
        <v>400000</v>
      </c>
      <c r="P680" s="46">
        <f t="shared" si="705"/>
        <v>400000</v>
      </c>
      <c r="Q680" s="46">
        <v>400000.0</v>
      </c>
      <c r="R680" s="101"/>
      <c r="S680" s="101"/>
      <c r="T680" s="99"/>
      <c r="U680" s="99"/>
      <c r="V680" s="99"/>
      <c r="W680" s="99"/>
      <c r="X680" s="99"/>
      <c r="Y680" s="99"/>
      <c r="Z680" s="99"/>
      <c r="AA680" s="99"/>
      <c r="AB680" s="99"/>
      <c r="AC680" s="99"/>
      <c r="AD680" s="99"/>
      <c r="AE680" s="99"/>
      <c r="AF680" s="99"/>
      <c r="AG680" s="99"/>
      <c r="AH680" s="99"/>
      <c r="AI680" s="99"/>
      <c r="AJ680" s="99"/>
      <c r="AK680" s="99"/>
      <c r="AL680" s="99"/>
      <c r="AM680" s="99"/>
    </row>
    <row r="681" ht="12.75" customHeight="1">
      <c r="A681" s="104"/>
      <c r="B681" s="104"/>
      <c r="C681" s="104"/>
      <c r="D681" s="110" t="s">
        <v>24</v>
      </c>
      <c r="E681" s="110" t="s">
        <v>112</v>
      </c>
      <c r="G681" s="136">
        <v>2.0</v>
      </c>
      <c r="H681" s="136" t="s">
        <v>95</v>
      </c>
      <c r="I681" s="137">
        <v>30000.0</v>
      </c>
      <c r="J681" s="46">
        <f t="shared" si="703"/>
        <v>60000</v>
      </c>
      <c r="K681" s="46"/>
      <c r="L681" s="105"/>
      <c r="M681" s="106"/>
      <c r="N681" s="105"/>
      <c r="O681" s="46">
        <f t="shared" si="704"/>
        <v>60000</v>
      </c>
      <c r="P681" s="46">
        <f t="shared" si="705"/>
        <v>60000</v>
      </c>
      <c r="Q681" s="46">
        <v>60000.0</v>
      </c>
      <c r="R681" s="101"/>
      <c r="S681" s="101"/>
      <c r="T681" s="99"/>
      <c r="U681" s="99"/>
      <c r="V681" s="99"/>
      <c r="W681" s="99"/>
      <c r="X681" s="99"/>
      <c r="Y681" s="99"/>
      <c r="Z681" s="99"/>
      <c r="AA681" s="99"/>
      <c r="AB681" s="99"/>
      <c r="AC681" s="99"/>
      <c r="AD681" s="99"/>
      <c r="AE681" s="99"/>
      <c r="AF681" s="99"/>
      <c r="AG681" s="99"/>
      <c r="AH681" s="99"/>
      <c r="AI681" s="99"/>
      <c r="AJ681" s="99"/>
      <c r="AK681" s="99"/>
      <c r="AL681" s="99"/>
      <c r="AM681" s="99"/>
    </row>
    <row r="682" ht="12.75" customHeight="1">
      <c r="A682" s="144" t="s">
        <v>113</v>
      </c>
      <c r="D682" s="144" t="s">
        <v>114</v>
      </c>
      <c r="G682" s="104"/>
      <c r="H682" s="128"/>
      <c r="I682" s="104"/>
      <c r="J682" s="129">
        <f t="shared" ref="J682:K682" si="706">J683</f>
        <v>616125000</v>
      </c>
      <c r="K682" s="43">
        <f t="shared" si="706"/>
        <v>0</v>
      </c>
      <c r="L682" s="105"/>
      <c r="M682" s="106"/>
      <c r="N682" s="105"/>
      <c r="O682" s="43">
        <f t="shared" ref="O682:P682" si="707">O683</f>
        <v>616125000</v>
      </c>
      <c r="P682" s="43">
        <f t="shared" si="707"/>
        <v>616125000</v>
      </c>
      <c r="Q682" s="43">
        <v>6.16125E8</v>
      </c>
      <c r="R682" s="101"/>
      <c r="S682" s="101"/>
      <c r="T682" s="99"/>
      <c r="U682" s="99"/>
      <c r="V682" s="99"/>
      <c r="W682" s="99"/>
      <c r="X682" s="99"/>
      <c r="Y682" s="99"/>
      <c r="Z682" s="99"/>
      <c r="AA682" s="99"/>
      <c r="AB682" s="99"/>
      <c r="AC682" s="99"/>
      <c r="AD682" s="99"/>
      <c r="AE682" s="99"/>
      <c r="AF682" s="99"/>
      <c r="AG682" s="99"/>
      <c r="AH682" s="99"/>
      <c r="AI682" s="99"/>
      <c r="AJ682" s="99"/>
      <c r="AK682" s="99"/>
      <c r="AL682" s="99"/>
      <c r="AM682" s="99"/>
    </row>
    <row r="683" ht="12.75" customHeight="1">
      <c r="A683" s="110" t="s">
        <v>68</v>
      </c>
      <c r="D683" s="145" t="s">
        <v>69</v>
      </c>
      <c r="G683" s="104"/>
      <c r="H683" s="133"/>
      <c r="I683" s="104"/>
      <c r="J683" s="134">
        <f t="shared" ref="J683:K683" si="708">SUM(J685:J695)</f>
        <v>616125000</v>
      </c>
      <c r="K683" s="46">
        <f t="shared" si="708"/>
        <v>0</v>
      </c>
      <c r="L683" s="105"/>
      <c r="M683" s="106"/>
      <c r="N683" s="105"/>
      <c r="O683" s="46">
        <f t="shared" ref="O683:P683" si="709">SUM(O685:O695)</f>
        <v>616125000</v>
      </c>
      <c r="P683" s="46">
        <f t="shared" si="709"/>
        <v>616125000</v>
      </c>
      <c r="Q683" s="46">
        <v>6.16125E8</v>
      </c>
      <c r="R683" s="101"/>
      <c r="S683" s="101"/>
      <c r="T683" s="99"/>
      <c r="U683" s="99"/>
      <c r="V683" s="99"/>
      <c r="W683" s="99"/>
      <c r="X683" s="99"/>
      <c r="Y683" s="99"/>
      <c r="Z683" s="99"/>
      <c r="AA683" s="99"/>
      <c r="AB683" s="99"/>
      <c r="AC683" s="99"/>
      <c r="AD683" s="99"/>
      <c r="AE683" s="99"/>
      <c r="AF683" s="99"/>
      <c r="AG683" s="99"/>
      <c r="AH683" s="99"/>
      <c r="AI683" s="99"/>
      <c r="AJ683" s="99"/>
      <c r="AK683" s="99"/>
      <c r="AL683" s="99"/>
      <c r="AM683" s="99"/>
    </row>
    <row r="684" ht="12.75" customHeight="1">
      <c r="A684" s="104"/>
      <c r="B684" s="104"/>
      <c r="C684" s="104"/>
      <c r="D684" s="110" t="s">
        <v>23</v>
      </c>
      <c r="G684" s="104"/>
      <c r="H684" s="104"/>
      <c r="I684" s="104"/>
      <c r="J684" s="111"/>
      <c r="K684" s="111"/>
      <c r="L684" s="105"/>
      <c r="M684" s="106"/>
      <c r="N684" s="105"/>
      <c r="O684" s="111"/>
      <c r="P684" s="111"/>
      <c r="Q684" s="111"/>
      <c r="R684" s="101"/>
      <c r="S684" s="101"/>
      <c r="T684" s="99"/>
      <c r="U684" s="99"/>
      <c r="V684" s="99"/>
      <c r="W684" s="99"/>
      <c r="X684" s="99"/>
      <c r="Y684" s="99"/>
      <c r="Z684" s="99"/>
      <c r="AA684" s="99"/>
      <c r="AB684" s="99"/>
      <c r="AC684" s="99"/>
      <c r="AD684" s="99"/>
      <c r="AE684" s="99"/>
      <c r="AF684" s="99"/>
      <c r="AG684" s="99"/>
      <c r="AH684" s="99"/>
      <c r="AI684" s="99"/>
      <c r="AJ684" s="99"/>
      <c r="AK684" s="99"/>
      <c r="AL684" s="99"/>
      <c r="AM684" s="99"/>
    </row>
    <row r="685" ht="12.75" customHeight="1">
      <c r="A685" s="104"/>
      <c r="B685" s="104"/>
      <c r="C685" s="104"/>
      <c r="D685" s="110" t="s">
        <v>24</v>
      </c>
      <c r="E685" s="110" t="s">
        <v>262</v>
      </c>
      <c r="G685" s="136">
        <v>150.0</v>
      </c>
      <c r="H685" s="136" t="s">
        <v>95</v>
      </c>
      <c r="I685" s="137">
        <v>110000.0</v>
      </c>
      <c r="J685" s="46">
        <f t="shared" ref="J685:J695" si="710">G685*I685</f>
        <v>16500000</v>
      </c>
      <c r="K685" s="46"/>
      <c r="L685" s="105"/>
      <c r="M685" s="106"/>
      <c r="N685" s="105"/>
      <c r="O685" s="46">
        <f t="shared" ref="O685:O695" si="711">J685-K685</f>
        <v>16500000</v>
      </c>
      <c r="P685" s="46">
        <f t="shared" ref="P685:P695" si="712">J685-M685</f>
        <v>16500000</v>
      </c>
      <c r="Q685" s="46">
        <v>1.65E7</v>
      </c>
      <c r="R685" s="101"/>
      <c r="S685" s="101"/>
      <c r="T685" s="99"/>
      <c r="U685" s="99"/>
      <c r="V685" s="99"/>
      <c r="W685" s="99"/>
      <c r="X685" s="99"/>
      <c r="Y685" s="99"/>
      <c r="Z685" s="99"/>
      <c r="AA685" s="99"/>
      <c r="AB685" s="99"/>
      <c r="AC685" s="99"/>
      <c r="AD685" s="99"/>
      <c r="AE685" s="99"/>
      <c r="AF685" s="99"/>
      <c r="AG685" s="99"/>
      <c r="AH685" s="99"/>
      <c r="AI685" s="99"/>
      <c r="AJ685" s="99"/>
      <c r="AK685" s="99"/>
      <c r="AL685" s="99"/>
      <c r="AM685" s="99"/>
    </row>
    <row r="686" ht="12.75" customHeight="1">
      <c r="A686" s="104"/>
      <c r="B686" s="104"/>
      <c r="C686" s="104"/>
      <c r="D686" s="110" t="s">
        <v>24</v>
      </c>
      <c r="E686" s="110" t="s">
        <v>263</v>
      </c>
      <c r="G686" s="136">
        <v>150.0</v>
      </c>
      <c r="H686" s="136" t="s">
        <v>95</v>
      </c>
      <c r="I686" s="137">
        <v>120000.0</v>
      </c>
      <c r="J686" s="46">
        <f t="shared" si="710"/>
        <v>18000000</v>
      </c>
      <c r="K686" s="46"/>
      <c r="L686" s="105"/>
      <c r="M686" s="106"/>
      <c r="N686" s="105"/>
      <c r="O686" s="46">
        <f t="shared" si="711"/>
        <v>18000000</v>
      </c>
      <c r="P686" s="46">
        <f t="shared" si="712"/>
        <v>18000000</v>
      </c>
      <c r="Q686" s="46">
        <v>1.8E7</v>
      </c>
      <c r="R686" s="101"/>
      <c r="S686" s="101"/>
      <c r="T686" s="99"/>
      <c r="U686" s="99"/>
      <c r="V686" s="99"/>
      <c r="W686" s="99"/>
      <c r="X686" s="99"/>
      <c r="Y686" s="99"/>
      <c r="Z686" s="99"/>
      <c r="AA686" s="99"/>
      <c r="AB686" s="99"/>
      <c r="AC686" s="99"/>
      <c r="AD686" s="99"/>
      <c r="AE686" s="99"/>
      <c r="AF686" s="99"/>
      <c r="AG686" s="99"/>
      <c r="AH686" s="99"/>
      <c r="AI686" s="99"/>
      <c r="AJ686" s="99"/>
      <c r="AK686" s="99"/>
      <c r="AL686" s="99"/>
      <c r="AM686" s="99"/>
    </row>
    <row r="687" ht="12.75" customHeight="1">
      <c r="A687" s="104"/>
      <c r="B687" s="104"/>
      <c r="C687" s="104"/>
      <c r="D687" s="110" t="s">
        <v>24</v>
      </c>
      <c r="E687" s="110" t="s">
        <v>264</v>
      </c>
      <c r="G687" s="136">
        <v>150.0</v>
      </c>
      <c r="H687" s="136" t="s">
        <v>95</v>
      </c>
      <c r="I687" s="137">
        <v>150000.0</v>
      </c>
      <c r="J687" s="46">
        <f t="shared" si="710"/>
        <v>22500000</v>
      </c>
      <c r="K687" s="46"/>
      <c r="L687" s="105"/>
      <c r="M687" s="106"/>
      <c r="N687" s="105"/>
      <c r="O687" s="46">
        <f t="shared" si="711"/>
        <v>22500000</v>
      </c>
      <c r="P687" s="46">
        <f t="shared" si="712"/>
        <v>22500000</v>
      </c>
      <c r="Q687" s="46">
        <v>2.25E7</v>
      </c>
      <c r="R687" s="101"/>
      <c r="S687" s="101"/>
      <c r="T687" s="99"/>
      <c r="U687" s="99"/>
      <c r="V687" s="99"/>
      <c r="W687" s="99"/>
      <c r="X687" s="99"/>
      <c r="Y687" s="99"/>
      <c r="Z687" s="99"/>
      <c r="AA687" s="99"/>
      <c r="AB687" s="99"/>
      <c r="AC687" s="99"/>
      <c r="AD687" s="99"/>
      <c r="AE687" s="99"/>
      <c r="AF687" s="99"/>
      <c r="AG687" s="99"/>
      <c r="AH687" s="99"/>
      <c r="AI687" s="99"/>
      <c r="AJ687" s="99"/>
      <c r="AK687" s="99"/>
      <c r="AL687" s="99"/>
      <c r="AM687" s="99"/>
    </row>
    <row r="688" ht="12.75" customHeight="1">
      <c r="A688" s="104"/>
      <c r="B688" s="104"/>
      <c r="C688" s="104"/>
      <c r="D688" s="110" t="s">
        <v>24</v>
      </c>
      <c r="E688" s="110" t="s">
        <v>265</v>
      </c>
      <c r="G688" s="136">
        <v>150.0</v>
      </c>
      <c r="H688" s="136" t="s">
        <v>95</v>
      </c>
      <c r="I688" s="137">
        <v>100000.0</v>
      </c>
      <c r="J688" s="46">
        <f t="shared" si="710"/>
        <v>15000000</v>
      </c>
      <c r="K688" s="46"/>
      <c r="L688" s="105"/>
      <c r="M688" s="106"/>
      <c r="N688" s="105"/>
      <c r="O688" s="46">
        <f t="shared" si="711"/>
        <v>15000000</v>
      </c>
      <c r="P688" s="46">
        <f t="shared" si="712"/>
        <v>15000000</v>
      </c>
      <c r="Q688" s="46">
        <v>1.5E7</v>
      </c>
      <c r="R688" s="101"/>
      <c r="S688" s="101"/>
      <c r="T688" s="99"/>
      <c r="U688" s="99"/>
      <c r="V688" s="99"/>
      <c r="W688" s="99"/>
      <c r="X688" s="99"/>
      <c r="Y688" s="99"/>
      <c r="Z688" s="99"/>
      <c r="AA688" s="99"/>
      <c r="AB688" s="99"/>
      <c r="AC688" s="99"/>
      <c r="AD688" s="99"/>
      <c r="AE688" s="99"/>
      <c r="AF688" s="99"/>
      <c r="AG688" s="99"/>
      <c r="AH688" s="99"/>
      <c r="AI688" s="99"/>
      <c r="AJ688" s="99"/>
      <c r="AK688" s="99"/>
      <c r="AL688" s="99"/>
      <c r="AM688" s="99"/>
    </row>
    <row r="689" ht="12.75" customHeight="1">
      <c r="A689" s="104"/>
      <c r="B689" s="104"/>
      <c r="C689" s="104"/>
      <c r="D689" s="110" t="s">
        <v>24</v>
      </c>
      <c r="E689" s="110" t="s">
        <v>266</v>
      </c>
      <c r="G689" s="136">
        <v>150.0</v>
      </c>
      <c r="H689" s="136" t="s">
        <v>95</v>
      </c>
      <c r="I689" s="137">
        <v>350000.0</v>
      </c>
      <c r="J689" s="46">
        <f t="shared" si="710"/>
        <v>52500000</v>
      </c>
      <c r="K689" s="46"/>
      <c r="L689" s="105"/>
      <c r="M689" s="106"/>
      <c r="N689" s="105"/>
      <c r="O689" s="46">
        <f t="shared" si="711"/>
        <v>52500000</v>
      </c>
      <c r="P689" s="46">
        <f t="shared" si="712"/>
        <v>52500000</v>
      </c>
      <c r="Q689" s="46">
        <v>5.25E7</v>
      </c>
      <c r="R689" s="101"/>
      <c r="S689" s="101"/>
      <c r="T689" s="99"/>
      <c r="U689" s="99"/>
      <c r="V689" s="99"/>
      <c r="W689" s="99"/>
      <c r="X689" s="99"/>
      <c r="Y689" s="99"/>
      <c r="Z689" s="99"/>
      <c r="AA689" s="99"/>
      <c r="AB689" s="99"/>
      <c r="AC689" s="99"/>
      <c r="AD689" s="99"/>
      <c r="AE689" s="99"/>
      <c r="AF689" s="99"/>
      <c r="AG689" s="99"/>
      <c r="AH689" s="99"/>
      <c r="AI689" s="99"/>
      <c r="AJ689" s="99"/>
      <c r="AK689" s="99"/>
      <c r="AL689" s="99"/>
      <c r="AM689" s="99"/>
    </row>
    <row r="690" ht="12.75" customHeight="1">
      <c r="A690" s="104"/>
      <c r="B690" s="104"/>
      <c r="C690" s="104"/>
      <c r="D690" s="110" t="s">
        <v>24</v>
      </c>
      <c r="E690" s="110" t="s">
        <v>267</v>
      </c>
      <c r="G690" s="136">
        <v>75.0</v>
      </c>
      <c r="H690" s="136" t="s">
        <v>95</v>
      </c>
      <c r="I690" s="137">
        <v>175000.0</v>
      </c>
      <c r="J690" s="46">
        <f t="shared" si="710"/>
        <v>13125000</v>
      </c>
      <c r="K690" s="46"/>
      <c r="L690" s="105"/>
      <c r="M690" s="106"/>
      <c r="N690" s="105"/>
      <c r="O690" s="46">
        <f t="shared" si="711"/>
        <v>13125000</v>
      </c>
      <c r="P690" s="46">
        <f t="shared" si="712"/>
        <v>13125000</v>
      </c>
      <c r="Q690" s="46">
        <v>1.3125E7</v>
      </c>
      <c r="R690" s="101"/>
      <c r="S690" s="101"/>
      <c r="T690" s="99"/>
      <c r="U690" s="99"/>
      <c r="V690" s="99"/>
      <c r="W690" s="99"/>
      <c r="X690" s="99"/>
      <c r="Y690" s="99"/>
      <c r="Z690" s="99"/>
      <c r="AA690" s="99"/>
      <c r="AB690" s="99"/>
      <c r="AC690" s="99"/>
      <c r="AD690" s="99"/>
      <c r="AE690" s="99"/>
      <c r="AF690" s="99"/>
      <c r="AG690" s="99"/>
      <c r="AH690" s="99"/>
      <c r="AI690" s="99"/>
      <c r="AJ690" s="99"/>
      <c r="AK690" s="99"/>
      <c r="AL690" s="99"/>
      <c r="AM690" s="99"/>
    </row>
    <row r="691" ht="12.75" customHeight="1">
      <c r="A691" s="104"/>
      <c r="B691" s="104"/>
      <c r="C691" s="104"/>
      <c r="D691" s="110" t="s">
        <v>24</v>
      </c>
      <c r="E691" s="110" t="s">
        <v>268</v>
      </c>
      <c r="G691" s="136">
        <v>525.0</v>
      </c>
      <c r="H691" s="136" t="s">
        <v>95</v>
      </c>
      <c r="I691" s="137">
        <v>150000.0</v>
      </c>
      <c r="J691" s="46">
        <f t="shared" si="710"/>
        <v>78750000</v>
      </c>
      <c r="K691" s="46"/>
      <c r="L691" s="105"/>
      <c r="M691" s="106"/>
      <c r="N691" s="105"/>
      <c r="O691" s="46">
        <f t="shared" si="711"/>
        <v>78750000</v>
      </c>
      <c r="P691" s="46">
        <f t="shared" si="712"/>
        <v>78750000</v>
      </c>
      <c r="Q691" s="46">
        <v>7.875E7</v>
      </c>
      <c r="R691" s="101"/>
      <c r="S691" s="101"/>
      <c r="T691" s="99"/>
      <c r="U691" s="99"/>
      <c r="V691" s="99"/>
      <c r="W691" s="99"/>
      <c r="X691" s="99"/>
      <c r="Y691" s="99"/>
      <c r="Z691" s="99"/>
      <c r="AA691" s="99"/>
      <c r="AB691" s="99"/>
      <c r="AC691" s="99"/>
      <c r="AD691" s="99"/>
      <c r="AE691" s="99"/>
      <c r="AF691" s="99"/>
      <c r="AG691" s="99"/>
      <c r="AH691" s="99"/>
      <c r="AI691" s="99"/>
      <c r="AJ691" s="99"/>
      <c r="AK691" s="99"/>
      <c r="AL691" s="99"/>
      <c r="AM691" s="99"/>
    </row>
    <row r="692" ht="12.75" customHeight="1">
      <c r="A692" s="104"/>
      <c r="B692" s="104"/>
      <c r="C692" s="104"/>
      <c r="D692" s="110" t="s">
        <v>24</v>
      </c>
      <c r="E692" s="110" t="s">
        <v>269</v>
      </c>
      <c r="G692" s="136">
        <v>525.0</v>
      </c>
      <c r="H692" s="136" t="s">
        <v>95</v>
      </c>
      <c r="I692" s="137">
        <v>200000.0</v>
      </c>
      <c r="J692" s="46">
        <f t="shared" si="710"/>
        <v>105000000</v>
      </c>
      <c r="K692" s="46"/>
      <c r="L692" s="105"/>
      <c r="M692" s="106"/>
      <c r="N692" s="105"/>
      <c r="O692" s="46">
        <f t="shared" si="711"/>
        <v>105000000</v>
      </c>
      <c r="P692" s="46">
        <f t="shared" si="712"/>
        <v>105000000</v>
      </c>
      <c r="Q692" s="46">
        <v>1.05E8</v>
      </c>
      <c r="R692" s="101"/>
      <c r="S692" s="101"/>
      <c r="T692" s="99"/>
      <c r="U692" s="99"/>
      <c r="V692" s="99"/>
      <c r="W692" s="99"/>
      <c r="X692" s="99"/>
      <c r="Y692" s="99"/>
      <c r="Z692" s="99"/>
      <c r="AA692" s="99"/>
      <c r="AB692" s="99"/>
      <c r="AC692" s="99"/>
      <c r="AD692" s="99"/>
      <c r="AE692" s="99"/>
      <c r="AF692" s="99"/>
      <c r="AG692" s="99"/>
      <c r="AH692" s="99"/>
      <c r="AI692" s="99"/>
      <c r="AJ692" s="99"/>
      <c r="AK692" s="99"/>
      <c r="AL692" s="99"/>
      <c r="AM692" s="99"/>
    </row>
    <row r="693" ht="15.75" customHeight="1">
      <c r="A693" s="104"/>
      <c r="B693" s="104"/>
      <c r="C693" s="104"/>
      <c r="D693" s="110" t="s">
        <v>24</v>
      </c>
      <c r="E693" s="110" t="s">
        <v>270</v>
      </c>
      <c r="G693" s="136">
        <v>900.0</v>
      </c>
      <c r="H693" s="136" t="s">
        <v>95</v>
      </c>
      <c r="I693" s="137">
        <v>250000.0</v>
      </c>
      <c r="J693" s="46">
        <f t="shared" si="710"/>
        <v>225000000</v>
      </c>
      <c r="K693" s="46"/>
      <c r="L693" s="105"/>
      <c r="M693" s="106"/>
      <c r="N693" s="105"/>
      <c r="O693" s="46">
        <f t="shared" si="711"/>
        <v>225000000</v>
      </c>
      <c r="P693" s="46">
        <f t="shared" si="712"/>
        <v>225000000</v>
      </c>
      <c r="Q693" s="46">
        <v>2.25E8</v>
      </c>
      <c r="R693" s="101"/>
      <c r="S693" s="101"/>
      <c r="T693" s="99"/>
      <c r="U693" s="99"/>
      <c r="V693" s="99"/>
      <c r="W693" s="99"/>
      <c r="X693" s="99"/>
      <c r="Y693" s="99"/>
      <c r="Z693" s="99"/>
      <c r="AA693" s="99"/>
      <c r="AB693" s="99"/>
      <c r="AC693" s="99"/>
      <c r="AD693" s="99"/>
      <c r="AE693" s="99"/>
      <c r="AF693" s="99"/>
      <c r="AG693" s="99"/>
      <c r="AH693" s="99"/>
      <c r="AI693" s="99"/>
      <c r="AJ693" s="99"/>
      <c r="AK693" s="99"/>
      <c r="AL693" s="99"/>
      <c r="AM693" s="99"/>
    </row>
    <row r="694" ht="12.75" customHeight="1">
      <c r="A694" s="104"/>
      <c r="B694" s="104"/>
      <c r="C694" s="104"/>
      <c r="D694" s="110" t="s">
        <v>24</v>
      </c>
      <c r="E694" s="110" t="s">
        <v>271</v>
      </c>
      <c r="G694" s="136">
        <v>540.0</v>
      </c>
      <c r="H694" s="136" t="s">
        <v>95</v>
      </c>
      <c r="I694" s="137">
        <v>100000.0</v>
      </c>
      <c r="J694" s="46">
        <f t="shared" si="710"/>
        <v>54000000</v>
      </c>
      <c r="K694" s="46"/>
      <c r="L694" s="105"/>
      <c r="M694" s="106"/>
      <c r="N694" s="105"/>
      <c r="O694" s="46">
        <f t="shared" si="711"/>
        <v>54000000</v>
      </c>
      <c r="P694" s="46">
        <f t="shared" si="712"/>
        <v>54000000</v>
      </c>
      <c r="Q694" s="46">
        <v>5.4E7</v>
      </c>
      <c r="R694" s="101"/>
      <c r="S694" s="101"/>
      <c r="T694" s="99"/>
      <c r="U694" s="99"/>
      <c r="V694" s="99"/>
      <c r="W694" s="99"/>
      <c r="X694" s="99"/>
      <c r="Y694" s="99"/>
      <c r="Z694" s="99"/>
      <c r="AA694" s="99"/>
      <c r="AB694" s="99"/>
      <c r="AC694" s="99"/>
      <c r="AD694" s="99"/>
      <c r="AE694" s="99"/>
      <c r="AF694" s="99"/>
      <c r="AG694" s="99"/>
      <c r="AH694" s="99"/>
      <c r="AI694" s="99"/>
      <c r="AJ694" s="99"/>
      <c r="AK694" s="99"/>
      <c r="AL694" s="99"/>
      <c r="AM694" s="99"/>
    </row>
    <row r="695" ht="12.75" customHeight="1">
      <c r="A695" s="104"/>
      <c r="B695" s="104"/>
      <c r="C695" s="104"/>
      <c r="D695" s="110" t="s">
        <v>24</v>
      </c>
      <c r="E695" s="110" t="s">
        <v>272</v>
      </c>
      <c r="G695" s="136">
        <v>315.0</v>
      </c>
      <c r="H695" s="136" t="s">
        <v>95</v>
      </c>
      <c r="I695" s="137">
        <v>50000.0</v>
      </c>
      <c r="J695" s="46">
        <f t="shared" si="710"/>
        <v>15750000</v>
      </c>
      <c r="K695" s="46"/>
      <c r="L695" s="105"/>
      <c r="M695" s="106"/>
      <c r="N695" s="105"/>
      <c r="O695" s="46">
        <f t="shared" si="711"/>
        <v>15750000</v>
      </c>
      <c r="P695" s="46">
        <f t="shared" si="712"/>
        <v>15750000</v>
      </c>
      <c r="Q695" s="46">
        <v>1.575E7</v>
      </c>
      <c r="R695" s="101"/>
      <c r="S695" s="101"/>
      <c r="T695" s="99"/>
      <c r="U695" s="99"/>
      <c r="V695" s="99"/>
      <c r="W695" s="99"/>
      <c r="X695" s="99"/>
      <c r="Y695" s="99"/>
      <c r="Z695" s="99"/>
      <c r="AA695" s="99"/>
      <c r="AB695" s="99"/>
      <c r="AC695" s="99"/>
      <c r="AD695" s="99"/>
      <c r="AE695" s="99"/>
      <c r="AF695" s="99"/>
      <c r="AG695" s="99"/>
      <c r="AH695" s="99"/>
      <c r="AI695" s="99"/>
      <c r="AJ695" s="99"/>
      <c r="AK695" s="99"/>
      <c r="AL695" s="99"/>
      <c r="AM695" s="99"/>
    </row>
    <row r="696" ht="12.75" customHeight="1">
      <c r="A696" s="144" t="s">
        <v>126</v>
      </c>
      <c r="D696" s="144" t="s">
        <v>127</v>
      </c>
      <c r="G696" s="104"/>
      <c r="H696" s="128"/>
      <c r="I696" s="104"/>
      <c r="J696" s="129">
        <f t="shared" ref="J696:K696" si="713">J697</f>
        <v>190740000</v>
      </c>
      <c r="K696" s="43">
        <f t="shared" si="713"/>
        <v>0</v>
      </c>
      <c r="L696" s="105"/>
      <c r="M696" s="106"/>
      <c r="N696" s="105"/>
      <c r="O696" s="43">
        <f t="shared" ref="O696:P696" si="714">O697</f>
        <v>190740000</v>
      </c>
      <c r="P696" s="43">
        <f t="shared" si="714"/>
        <v>190740000</v>
      </c>
      <c r="Q696" s="43">
        <v>1.9074E8</v>
      </c>
      <c r="R696" s="101"/>
      <c r="S696" s="101"/>
      <c r="T696" s="99"/>
      <c r="U696" s="99"/>
      <c r="V696" s="99"/>
      <c r="W696" s="99"/>
      <c r="X696" s="99"/>
      <c r="Y696" s="99"/>
      <c r="Z696" s="99"/>
      <c r="AA696" s="99"/>
      <c r="AB696" s="99"/>
      <c r="AC696" s="99"/>
      <c r="AD696" s="99"/>
      <c r="AE696" s="99"/>
      <c r="AF696" s="99"/>
      <c r="AG696" s="99"/>
      <c r="AH696" s="99"/>
      <c r="AI696" s="99"/>
      <c r="AJ696" s="99"/>
      <c r="AK696" s="99"/>
      <c r="AL696" s="99"/>
      <c r="AM696" s="99"/>
    </row>
    <row r="697" ht="12.75" customHeight="1">
      <c r="A697" s="110" t="s">
        <v>68</v>
      </c>
      <c r="D697" s="145" t="s">
        <v>69</v>
      </c>
      <c r="G697" s="104"/>
      <c r="H697" s="133"/>
      <c r="I697" s="104"/>
      <c r="J697" s="134">
        <f t="shared" ref="J697:K697" si="715">SUM(J699:J703)</f>
        <v>190740000</v>
      </c>
      <c r="K697" s="46">
        <f t="shared" si="715"/>
        <v>0</v>
      </c>
      <c r="L697" s="105"/>
      <c r="M697" s="106"/>
      <c r="N697" s="105"/>
      <c r="O697" s="46">
        <f t="shared" ref="O697:P697" si="716">SUM(O699:O703)</f>
        <v>190740000</v>
      </c>
      <c r="P697" s="46">
        <f t="shared" si="716"/>
        <v>190740000</v>
      </c>
      <c r="Q697" s="46">
        <v>1.9074E8</v>
      </c>
      <c r="R697" s="101"/>
      <c r="S697" s="101"/>
      <c r="T697" s="99"/>
      <c r="U697" s="99"/>
      <c r="V697" s="99"/>
      <c r="W697" s="99"/>
      <c r="X697" s="99"/>
      <c r="Y697" s="99"/>
      <c r="Z697" s="99"/>
      <c r="AA697" s="99"/>
      <c r="AB697" s="99"/>
      <c r="AC697" s="99"/>
      <c r="AD697" s="99"/>
      <c r="AE697" s="99"/>
      <c r="AF697" s="99"/>
      <c r="AG697" s="99"/>
      <c r="AH697" s="99"/>
      <c r="AI697" s="99"/>
      <c r="AJ697" s="99"/>
      <c r="AK697" s="99"/>
      <c r="AL697" s="99"/>
      <c r="AM697" s="99"/>
    </row>
    <row r="698" ht="12.75" customHeight="1">
      <c r="A698" s="104"/>
      <c r="B698" s="104"/>
      <c r="C698" s="104"/>
      <c r="D698" s="110" t="s">
        <v>23</v>
      </c>
      <c r="G698" s="104"/>
      <c r="H698" s="104"/>
      <c r="I698" s="104"/>
      <c r="J698" s="111"/>
      <c r="K698" s="111"/>
      <c r="L698" s="105"/>
      <c r="M698" s="106"/>
      <c r="N698" s="105"/>
      <c r="O698" s="111"/>
      <c r="P698" s="111"/>
      <c r="Q698" s="111"/>
      <c r="R698" s="101"/>
      <c r="S698" s="101"/>
      <c r="T698" s="99"/>
      <c r="U698" s="99"/>
      <c r="V698" s="99"/>
      <c r="W698" s="99"/>
      <c r="X698" s="99"/>
      <c r="Y698" s="99"/>
      <c r="Z698" s="99"/>
      <c r="AA698" s="99"/>
      <c r="AB698" s="99"/>
      <c r="AC698" s="99"/>
      <c r="AD698" s="99"/>
      <c r="AE698" s="99"/>
      <c r="AF698" s="99"/>
      <c r="AG698" s="99"/>
      <c r="AH698" s="99"/>
      <c r="AI698" s="99"/>
      <c r="AJ698" s="99"/>
      <c r="AK698" s="99"/>
      <c r="AL698" s="99"/>
      <c r="AM698" s="99"/>
    </row>
    <row r="699" ht="12.75" customHeight="1">
      <c r="A699" s="104"/>
      <c r="B699" s="104"/>
      <c r="C699" s="104"/>
      <c r="D699" s="110" t="s">
        <v>24</v>
      </c>
      <c r="E699" s="110" t="s">
        <v>128</v>
      </c>
      <c r="G699" s="136">
        <v>88.0</v>
      </c>
      <c r="H699" s="136" t="s">
        <v>233</v>
      </c>
      <c r="I699" s="137">
        <v>110000.0</v>
      </c>
      <c r="J699" s="46">
        <f t="shared" ref="J699:J703" si="717">G699*I699</f>
        <v>9680000</v>
      </c>
      <c r="K699" s="46"/>
      <c r="L699" s="105"/>
      <c r="M699" s="106"/>
      <c r="N699" s="105"/>
      <c r="O699" s="46">
        <f t="shared" ref="O699:O703" si="718">J699-K699</f>
        <v>9680000</v>
      </c>
      <c r="P699" s="46">
        <f t="shared" ref="P699:P703" si="719">J699-M699</f>
        <v>9680000</v>
      </c>
      <c r="Q699" s="46">
        <v>9680000.0</v>
      </c>
      <c r="R699" s="101"/>
      <c r="S699" s="101"/>
      <c r="T699" s="99"/>
      <c r="U699" s="99"/>
      <c r="V699" s="99"/>
      <c r="W699" s="99"/>
      <c r="X699" s="99"/>
      <c r="Y699" s="99"/>
      <c r="Z699" s="99"/>
      <c r="AA699" s="99"/>
      <c r="AB699" s="99"/>
      <c r="AC699" s="99"/>
      <c r="AD699" s="99"/>
      <c r="AE699" s="99"/>
      <c r="AF699" s="99"/>
      <c r="AG699" s="99"/>
      <c r="AH699" s="99"/>
      <c r="AI699" s="99"/>
      <c r="AJ699" s="99"/>
      <c r="AK699" s="99"/>
      <c r="AL699" s="99"/>
      <c r="AM699" s="99"/>
    </row>
    <row r="700" ht="12.75" customHeight="1">
      <c r="A700" s="104"/>
      <c r="B700" s="104"/>
      <c r="C700" s="104"/>
      <c r="D700" s="110" t="s">
        <v>24</v>
      </c>
      <c r="E700" s="110" t="s">
        <v>130</v>
      </c>
      <c r="G700" s="136">
        <v>88.0</v>
      </c>
      <c r="H700" s="136" t="s">
        <v>233</v>
      </c>
      <c r="I700" s="137">
        <v>120000.0</v>
      </c>
      <c r="J700" s="46">
        <f t="shared" si="717"/>
        <v>10560000</v>
      </c>
      <c r="K700" s="46"/>
      <c r="L700" s="105"/>
      <c r="M700" s="106"/>
      <c r="N700" s="105"/>
      <c r="O700" s="46">
        <f t="shared" si="718"/>
        <v>10560000</v>
      </c>
      <c r="P700" s="46">
        <f t="shared" si="719"/>
        <v>10560000</v>
      </c>
      <c r="Q700" s="46">
        <v>1.056E7</v>
      </c>
      <c r="R700" s="101"/>
      <c r="S700" s="101"/>
      <c r="T700" s="99"/>
      <c r="U700" s="99"/>
      <c r="V700" s="99"/>
      <c r="W700" s="99"/>
      <c r="X700" s="99"/>
      <c r="Y700" s="99"/>
      <c r="Z700" s="99"/>
      <c r="AA700" s="99"/>
      <c r="AB700" s="99"/>
      <c r="AC700" s="99"/>
      <c r="AD700" s="99"/>
      <c r="AE700" s="99"/>
      <c r="AF700" s="99"/>
      <c r="AG700" s="99"/>
      <c r="AH700" s="99"/>
      <c r="AI700" s="99"/>
      <c r="AJ700" s="99"/>
      <c r="AK700" s="99"/>
      <c r="AL700" s="99"/>
      <c r="AM700" s="99"/>
    </row>
    <row r="701" ht="12.75" customHeight="1">
      <c r="A701" s="104"/>
      <c r="B701" s="104"/>
      <c r="C701" s="104"/>
      <c r="D701" s="110" t="s">
        <v>24</v>
      </c>
      <c r="E701" s="110" t="s">
        <v>131</v>
      </c>
      <c r="G701" s="136">
        <v>88.0</v>
      </c>
      <c r="H701" s="136" t="s">
        <v>233</v>
      </c>
      <c r="I701" s="137">
        <v>350000.0</v>
      </c>
      <c r="J701" s="46">
        <f t="shared" si="717"/>
        <v>30800000</v>
      </c>
      <c r="K701" s="46"/>
      <c r="L701" s="105"/>
      <c r="M701" s="106"/>
      <c r="N701" s="105"/>
      <c r="O701" s="46">
        <f t="shared" si="718"/>
        <v>30800000</v>
      </c>
      <c r="P701" s="46">
        <f t="shared" si="719"/>
        <v>30800000</v>
      </c>
      <c r="Q701" s="46">
        <v>3.08E7</v>
      </c>
      <c r="R701" s="101"/>
      <c r="S701" s="101"/>
      <c r="T701" s="99"/>
      <c r="U701" s="99"/>
      <c r="V701" s="99"/>
      <c r="W701" s="99"/>
      <c r="X701" s="99"/>
      <c r="Y701" s="99"/>
      <c r="Z701" s="99"/>
      <c r="AA701" s="99"/>
      <c r="AB701" s="99"/>
      <c r="AC701" s="99"/>
      <c r="AD701" s="99"/>
      <c r="AE701" s="99"/>
      <c r="AF701" s="99"/>
      <c r="AG701" s="99"/>
      <c r="AH701" s="99"/>
      <c r="AI701" s="99"/>
      <c r="AJ701" s="99"/>
      <c r="AK701" s="99"/>
      <c r="AL701" s="99"/>
      <c r="AM701" s="99"/>
    </row>
    <row r="702" ht="12.75" customHeight="1">
      <c r="A702" s="104"/>
      <c r="B702" s="104"/>
      <c r="C702" s="104"/>
      <c r="D702" s="110" t="s">
        <v>24</v>
      </c>
      <c r="E702" s="110" t="s">
        <v>132</v>
      </c>
      <c r="G702" s="136">
        <v>44.0</v>
      </c>
      <c r="H702" s="136" t="s">
        <v>233</v>
      </c>
      <c r="I702" s="137">
        <v>175000.0</v>
      </c>
      <c r="J702" s="46">
        <f t="shared" si="717"/>
        <v>7700000</v>
      </c>
      <c r="K702" s="46"/>
      <c r="L702" s="105"/>
      <c r="M702" s="106"/>
      <c r="N702" s="105"/>
      <c r="O702" s="46">
        <f t="shared" si="718"/>
        <v>7700000</v>
      </c>
      <c r="P702" s="46">
        <f t="shared" si="719"/>
        <v>7700000</v>
      </c>
      <c r="Q702" s="46">
        <v>7700000.0</v>
      </c>
      <c r="R702" s="101"/>
      <c r="S702" s="101"/>
      <c r="T702" s="99"/>
      <c r="U702" s="99"/>
      <c r="V702" s="99"/>
      <c r="W702" s="99"/>
      <c r="X702" s="99"/>
      <c r="Y702" s="99"/>
      <c r="Z702" s="99"/>
      <c r="AA702" s="99"/>
      <c r="AB702" s="99"/>
      <c r="AC702" s="99"/>
      <c r="AD702" s="99"/>
      <c r="AE702" s="99"/>
      <c r="AF702" s="99"/>
      <c r="AG702" s="99"/>
      <c r="AH702" s="99"/>
      <c r="AI702" s="99"/>
      <c r="AJ702" s="99"/>
      <c r="AK702" s="99"/>
      <c r="AL702" s="99"/>
      <c r="AM702" s="99"/>
    </row>
    <row r="703" ht="15.75" customHeight="1">
      <c r="A703" s="104"/>
      <c r="B703" s="104"/>
      <c r="C703" s="104"/>
      <c r="D703" s="110" t="s">
        <v>24</v>
      </c>
      <c r="E703" s="110" t="s">
        <v>133</v>
      </c>
      <c r="G703" s="136">
        <v>528.0</v>
      </c>
      <c r="H703" s="136" t="s">
        <v>233</v>
      </c>
      <c r="I703" s="137">
        <v>250000.0</v>
      </c>
      <c r="J703" s="46">
        <f t="shared" si="717"/>
        <v>132000000</v>
      </c>
      <c r="K703" s="46"/>
      <c r="L703" s="105"/>
      <c r="M703" s="106"/>
      <c r="N703" s="105"/>
      <c r="O703" s="46">
        <f t="shared" si="718"/>
        <v>132000000</v>
      </c>
      <c r="P703" s="46">
        <f t="shared" si="719"/>
        <v>132000000</v>
      </c>
      <c r="Q703" s="46">
        <v>1.32E8</v>
      </c>
      <c r="R703" s="101"/>
      <c r="S703" s="101"/>
      <c r="T703" s="99"/>
      <c r="U703" s="99"/>
      <c r="V703" s="99"/>
      <c r="W703" s="99"/>
      <c r="X703" s="99"/>
      <c r="Y703" s="99"/>
      <c r="Z703" s="99"/>
      <c r="AA703" s="99"/>
      <c r="AB703" s="99"/>
      <c r="AC703" s="99"/>
      <c r="AD703" s="99"/>
      <c r="AE703" s="99"/>
      <c r="AF703" s="99"/>
      <c r="AG703" s="99"/>
      <c r="AH703" s="99"/>
      <c r="AI703" s="99"/>
      <c r="AJ703" s="99"/>
      <c r="AK703" s="99"/>
      <c r="AL703" s="99"/>
      <c r="AM703" s="99"/>
    </row>
    <row r="704" ht="12.75" customHeight="1">
      <c r="A704" s="144" t="s">
        <v>134</v>
      </c>
      <c r="D704" s="144" t="s">
        <v>273</v>
      </c>
      <c r="G704" s="104"/>
      <c r="H704" s="128"/>
      <c r="I704" s="104"/>
      <c r="J704" s="129">
        <f t="shared" ref="J704:K704" si="720">J705</f>
        <v>29670000</v>
      </c>
      <c r="K704" s="43">
        <f t="shared" si="720"/>
        <v>0</v>
      </c>
      <c r="L704" s="105"/>
      <c r="M704" s="106"/>
      <c r="N704" s="105"/>
      <c r="O704" s="43">
        <f t="shared" ref="O704:P704" si="721">O705</f>
        <v>29670000</v>
      </c>
      <c r="P704" s="43">
        <f t="shared" si="721"/>
        <v>29670000</v>
      </c>
      <c r="Q704" s="43">
        <v>2.967E7</v>
      </c>
      <c r="R704" s="101"/>
      <c r="S704" s="101"/>
      <c r="T704" s="99"/>
      <c r="U704" s="99"/>
      <c r="V704" s="99"/>
      <c r="W704" s="99"/>
      <c r="X704" s="99"/>
      <c r="Y704" s="99"/>
      <c r="Z704" s="99"/>
      <c r="AA704" s="99"/>
      <c r="AB704" s="99"/>
      <c r="AC704" s="99"/>
      <c r="AD704" s="99"/>
      <c r="AE704" s="99"/>
      <c r="AF704" s="99"/>
      <c r="AG704" s="99"/>
      <c r="AH704" s="99"/>
      <c r="AI704" s="99"/>
      <c r="AJ704" s="99"/>
      <c r="AK704" s="99"/>
      <c r="AL704" s="99"/>
      <c r="AM704" s="99"/>
    </row>
    <row r="705" ht="12.75" customHeight="1">
      <c r="A705" s="110" t="s">
        <v>68</v>
      </c>
      <c r="D705" s="145" t="s">
        <v>69</v>
      </c>
      <c r="G705" s="104"/>
      <c r="H705" s="133"/>
      <c r="I705" s="104"/>
      <c r="J705" s="134">
        <f t="shared" ref="J705:K705" si="722">SUM(J707:J711)</f>
        <v>29670000</v>
      </c>
      <c r="K705" s="46">
        <f t="shared" si="722"/>
        <v>0</v>
      </c>
      <c r="L705" s="105"/>
      <c r="M705" s="106"/>
      <c r="N705" s="105"/>
      <c r="O705" s="46">
        <f t="shared" ref="O705:P705" si="723">SUM(O707:O711)</f>
        <v>29670000</v>
      </c>
      <c r="P705" s="46">
        <f t="shared" si="723"/>
        <v>29670000</v>
      </c>
      <c r="Q705" s="46">
        <v>2.967E7</v>
      </c>
      <c r="R705" s="101"/>
      <c r="S705" s="101"/>
      <c r="T705" s="99"/>
      <c r="U705" s="99"/>
      <c r="V705" s="99"/>
      <c r="W705" s="99"/>
      <c r="X705" s="99"/>
      <c r="Y705" s="99"/>
      <c r="Z705" s="99"/>
      <c r="AA705" s="99"/>
      <c r="AB705" s="99"/>
      <c r="AC705" s="99"/>
      <c r="AD705" s="99"/>
      <c r="AE705" s="99"/>
      <c r="AF705" s="99"/>
      <c r="AG705" s="99"/>
      <c r="AH705" s="99"/>
      <c r="AI705" s="99"/>
      <c r="AJ705" s="99"/>
      <c r="AK705" s="99"/>
      <c r="AL705" s="99"/>
      <c r="AM705" s="99"/>
    </row>
    <row r="706" ht="12.75" customHeight="1">
      <c r="A706" s="104"/>
      <c r="B706" s="104"/>
      <c r="C706" s="104"/>
      <c r="D706" s="110" t="s">
        <v>23</v>
      </c>
      <c r="G706" s="104"/>
      <c r="H706" s="104"/>
      <c r="I706" s="104"/>
      <c r="J706" s="111"/>
      <c r="K706" s="111"/>
      <c r="L706" s="105"/>
      <c r="M706" s="106"/>
      <c r="N706" s="105"/>
      <c r="O706" s="111"/>
      <c r="P706" s="111"/>
      <c r="Q706" s="111"/>
      <c r="R706" s="101"/>
      <c r="S706" s="101"/>
      <c r="T706" s="99"/>
      <c r="U706" s="99"/>
      <c r="V706" s="99"/>
      <c r="W706" s="99"/>
      <c r="X706" s="99"/>
      <c r="Y706" s="99"/>
      <c r="Z706" s="99"/>
      <c r="AA706" s="99"/>
      <c r="AB706" s="99"/>
      <c r="AC706" s="99"/>
      <c r="AD706" s="99"/>
      <c r="AE706" s="99"/>
      <c r="AF706" s="99"/>
      <c r="AG706" s="99"/>
      <c r="AH706" s="99"/>
      <c r="AI706" s="99"/>
      <c r="AJ706" s="99"/>
      <c r="AK706" s="99"/>
      <c r="AL706" s="99"/>
      <c r="AM706" s="99"/>
    </row>
    <row r="707" ht="12.75" customHeight="1">
      <c r="A707" s="104"/>
      <c r="B707" s="104"/>
      <c r="C707" s="104"/>
      <c r="D707" s="110" t="s">
        <v>24</v>
      </c>
      <c r="E707" s="110" t="s">
        <v>274</v>
      </c>
      <c r="G707" s="136">
        <v>225.0</v>
      </c>
      <c r="H707" s="136" t="s">
        <v>95</v>
      </c>
      <c r="I707" s="137">
        <v>75000.0</v>
      </c>
      <c r="J707" s="46">
        <f t="shared" ref="J707:J711" si="724">G707*I707</f>
        <v>16875000</v>
      </c>
      <c r="K707" s="46"/>
      <c r="L707" s="105"/>
      <c r="M707" s="106"/>
      <c r="N707" s="105"/>
      <c r="O707" s="46">
        <f t="shared" ref="O707:O711" si="725">J707-K707</f>
        <v>16875000</v>
      </c>
      <c r="P707" s="46">
        <f t="shared" ref="P707:P711" si="726">J707-M707</f>
        <v>16875000</v>
      </c>
      <c r="Q707" s="46">
        <v>1.6875E7</v>
      </c>
      <c r="R707" s="101"/>
      <c r="S707" s="101"/>
      <c r="T707" s="99"/>
      <c r="U707" s="99"/>
      <c r="V707" s="99"/>
      <c r="W707" s="99"/>
      <c r="X707" s="99"/>
      <c r="Y707" s="99"/>
      <c r="Z707" s="99"/>
      <c r="AA707" s="99"/>
      <c r="AB707" s="99"/>
      <c r="AC707" s="99"/>
      <c r="AD707" s="99"/>
      <c r="AE707" s="99"/>
      <c r="AF707" s="99"/>
      <c r="AG707" s="99"/>
      <c r="AH707" s="99"/>
      <c r="AI707" s="99"/>
      <c r="AJ707" s="99"/>
      <c r="AK707" s="99"/>
      <c r="AL707" s="99"/>
      <c r="AM707" s="99"/>
    </row>
    <row r="708" ht="12.75" customHeight="1">
      <c r="A708" s="104"/>
      <c r="B708" s="104"/>
      <c r="C708" s="104"/>
      <c r="D708" s="110" t="s">
        <v>24</v>
      </c>
      <c r="E708" s="110" t="s">
        <v>137</v>
      </c>
      <c r="G708" s="136">
        <v>2.0</v>
      </c>
      <c r="H708" s="136" t="s">
        <v>95</v>
      </c>
      <c r="I708" s="137">
        <v>360000.0</v>
      </c>
      <c r="J708" s="46">
        <f t="shared" si="724"/>
        <v>720000</v>
      </c>
      <c r="K708" s="46"/>
      <c r="L708" s="105"/>
      <c r="M708" s="106"/>
      <c r="N708" s="105"/>
      <c r="O708" s="46">
        <f t="shared" si="725"/>
        <v>720000</v>
      </c>
      <c r="P708" s="46">
        <f t="shared" si="726"/>
        <v>720000</v>
      </c>
      <c r="Q708" s="46">
        <v>720000.0</v>
      </c>
      <c r="R708" s="101"/>
      <c r="S708" s="101"/>
      <c r="T708" s="99"/>
      <c r="U708" s="99"/>
      <c r="V708" s="99"/>
      <c r="W708" s="99"/>
      <c r="X708" s="99"/>
      <c r="Y708" s="99"/>
      <c r="Z708" s="99"/>
      <c r="AA708" s="99"/>
      <c r="AB708" s="99"/>
      <c r="AC708" s="99"/>
      <c r="AD708" s="99"/>
      <c r="AE708" s="99"/>
      <c r="AF708" s="99"/>
      <c r="AG708" s="99"/>
      <c r="AH708" s="99"/>
      <c r="AI708" s="99"/>
      <c r="AJ708" s="99"/>
      <c r="AK708" s="99"/>
      <c r="AL708" s="99"/>
      <c r="AM708" s="99"/>
    </row>
    <row r="709" ht="15.75" customHeight="1">
      <c r="A709" s="104"/>
      <c r="B709" s="104"/>
      <c r="C709" s="104"/>
      <c r="D709" s="110" t="s">
        <v>24</v>
      </c>
      <c r="E709" s="110" t="s">
        <v>275</v>
      </c>
      <c r="G709" s="136">
        <v>75.0</v>
      </c>
      <c r="H709" s="136" t="s">
        <v>95</v>
      </c>
      <c r="I709" s="137">
        <v>93000.0</v>
      </c>
      <c r="J709" s="46">
        <f t="shared" si="724"/>
        <v>6975000</v>
      </c>
      <c r="K709" s="46"/>
      <c r="L709" s="105"/>
      <c r="M709" s="106"/>
      <c r="N709" s="105"/>
      <c r="O709" s="46">
        <f t="shared" si="725"/>
        <v>6975000</v>
      </c>
      <c r="P709" s="46">
        <f t="shared" si="726"/>
        <v>6975000</v>
      </c>
      <c r="Q709" s="46">
        <v>6975000.0</v>
      </c>
      <c r="R709" s="101"/>
      <c r="S709" s="101"/>
      <c r="T709" s="99"/>
      <c r="U709" s="99"/>
      <c r="V709" s="99"/>
      <c r="W709" s="99"/>
      <c r="X709" s="99"/>
      <c r="Y709" s="99"/>
      <c r="Z709" s="99"/>
      <c r="AA709" s="99"/>
      <c r="AB709" s="99"/>
      <c r="AC709" s="99"/>
      <c r="AD709" s="99"/>
      <c r="AE709" s="99"/>
      <c r="AF709" s="99"/>
      <c r="AG709" s="99"/>
      <c r="AH709" s="99"/>
      <c r="AI709" s="99"/>
      <c r="AJ709" s="99"/>
      <c r="AK709" s="99"/>
      <c r="AL709" s="99"/>
      <c r="AM709" s="99"/>
    </row>
    <row r="710" ht="12.75" customHeight="1">
      <c r="A710" s="104"/>
      <c r="B710" s="104"/>
      <c r="C710" s="104"/>
      <c r="D710" s="110" t="s">
        <v>24</v>
      </c>
      <c r="E710" s="110" t="s">
        <v>276</v>
      </c>
      <c r="G710" s="136">
        <v>75.0</v>
      </c>
      <c r="H710" s="136" t="s">
        <v>95</v>
      </c>
      <c r="I710" s="137">
        <v>53000.0</v>
      </c>
      <c r="J710" s="46">
        <f t="shared" si="724"/>
        <v>3975000</v>
      </c>
      <c r="K710" s="46"/>
      <c r="L710" s="105"/>
      <c r="M710" s="106"/>
      <c r="N710" s="105"/>
      <c r="O710" s="46">
        <f t="shared" si="725"/>
        <v>3975000</v>
      </c>
      <c r="P710" s="46">
        <f t="shared" si="726"/>
        <v>3975000</v>
      </c>
      <c r="Q710" s="46">
        <v>3975000.0</v>
      </c>
      <c r="R710" s="101"/>
      <c r="S710" s="101"/>
      <c r="T710" s="99"/>
      <c r="U710" s="99"/>
      <c r="V710" s="99"/>
      <c r="W710" s="99"/>
      <c r="X710" s="99"/>
      <c r="Y710" s="99"/>
      <c r="Z710" s="99"/>
      <c r="AA710" s="99"/>
      <c r="AB710" s="99"/>
      <c r="AC710" s="99"/>
      <c r="AD710" s="99"/>
      <c r="AE710" s="99"/>
      <c r="AF710" s="99"/>
      <c r="AG710" s="99"/>
      <c r="AH710" s="99"/>
      <c r="AI710" s="99"/>
      <c r="AJ710" s="99"/>
      <c r="AK710" s="99"/>
      <c r="AL710" s="99"/>
      <c r="AM710" s="99"/>
    </row>
    <row r="711" ht="12.75" customHeight="1">
      <c r="A711" s="104"/>
      <c r="B711" s="104"/>
      <c r="C711" s="104"/>
      <c r="D711" s="110" t="s">
        <v>24</v>
      </c>
      <c r="E711" s="110" t="s">
        <v>277</v>
      </c>
      <c r="G711" s="136">
        <v>75.0</v>
      </c>
      <c r="H711" s="136" t="s">
        <v>95</v>
      </c>
      <c r="I711" s="137">
        <v>15000.0</v>
      </c>
      <c r="J711" s="46">
        <f t="shared" si="724"/>
        <v>1125000</v>
      </c>
      <c r="K711" s="46"/>
      <c r="L711" s="105"/>
      <c r="M711" s="106"/>
      <c r="N711" s="105"/>
      <c r="O711" s="46">
        <f t="shared" si="725"/>
        <v>1125000</v>
      </c>
      <c r="P711" s="46">
        <f t="shared" si="726"/>
        <v>1125000</v>
      </c>
      <c r="Q711" s="46">
        <v>1125000.0</v>
      </c>
      <c r="R711" s="101"/>
      <c r="S711" s="101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  <c r="AG711" s="99"/>
      <c r="AH711" s="99"/>
      <c r="AI711" s="99"/>
      <c r="AJ711" s="99"/>
      <c r="AK711" s="99"/>
      <c r="AL711" s="99"/>
      <c r="AM711" s="99"/>
    </row>
    <row r="712" ht="12.75" customHeight="1">
      <c r="A712" s="144" t="s">
        <v>141</v>
      </c>
      <c r="D712" s="144" t="s">
        <v>142</v>
      </c>
      <c r="G712" s="104"/>
      <c r="H712" s="128"/>
      <c r="I712" s="104"/>
      <c r="J712" s="129">
        <f t="shared" ref="J712:K712" si="727">J713</f>
        <v>214250000</v>
      </c>
      <c r="K712" s="43">
        <f t="shared" si="727"/>
        <v>0</v>
      </c>
      <c r="L712" s="105"/>
      <c r="M712" s="106"/>
      <c r="N712" s="105"/>
      <c r="O712" s="43">
        <f t="shared" ref="O712:P712" si="728">O713</f>
        <v>214250000</v>
      </c>
      <c r="P712" s="43">
        <f t="shared" si="728"/>
        <v>214250000</v>
      </c>
      <c r="Q712" s="43">
        <v>2.1425E8</v>
      </c>
      <c r="R712" s="101"/>
      <c r="S712" s="101"/>
      <c r="T712" s="99"/>
      <c r="U712" s="99"/>
      <c r="V712" s="99"/>
      <c r="W712" s="99"/>
      <c r="X712" s="99"/>
      <c r="Y712" s="99"/>
      <c r="Z712" s="99"/>
      <c r="AA712" s="99"/>
      <c r="AB712" s="99"/>
      <c r="AC712" s="99"/>
      <c r="AD712" s="99"/>
      <c r="AE712" s="99"/>
      <c r="AF712" s="99"/>
      <c r="AG712" s="99"/>
      <c r="AH712" s="99"/>
      <c r="AI712" s="99"/>
      <c r="AJ712" s="99"/>
      <c r="AK712" s="99"/>
      <c r="AL712" s="99"/>
      <c r="AM712" s="99"/>
    </row>
    <row r="713" ht="12.75" customHeight="1">
      <c r="A713" s="110" t="s">
        <v>68</v>
      </c>
      <c r="D713" s="145" t="s">
        <v>69</v>
      </c>
      <c r="G713" s="104"/>
      <c r="H713" s="133"/>
      <c r="I713" s="104"/>
      <c r="J713" s="134">
        <f t="shared" ref="J713:K713" si="729">SUM(J715:J717)</f>
        <v>214250000</v>
      </c>
      <c r="K713" s="46">
        <f t="shared" si="729"/>
        <v>0</v>
      </c>
      <c r="L713" s="105"/>
      <c r="M713" s="106"/>
      <c r="N713" s="105"/>
      <c r="O713" s="46">
        <f t="shared" ref="O713:P713" si="730">SUM(O715:O717)</f>
        <v>214250000</v>
      </c>
      <c r="P713" s="46">
        <f t="shared" si="730"/>
        <v>214250000</v>
      </c>
      <c r="Q713" s="46">
        <v>2.1425E8</v>
      </c>
      <c r="R713" s="101"/>
      <c r="S713" s="101"/>
      <c r="T713" s="99"/>
      <c r="U713" s="99"/>
      <c r="V713" s="99"/>
      <c r="W713" s="99"/>
      <c r="X713" s="99"/>
      <c r="Y713" s="99"/>
      <c r="Z713" s="99"/>
      <c r="AA713" s="99"/>
      <c r="AB713" s="99"/>
      <c r="AC713" s="99"/>
      <c r="AD713" s="99"/>
      <c r="AE713" s="99"/>
      <c r="AF713" s="99"/>
      <c r="AG713" s="99"/>
      <c r="AH713" s="99"/>
      <c r="AI713" s="99"/>
      <c r="AJ713" s="99"/>
      <c r="AK713" s="99"/>
      <c r="AL713" s="99"/>
      <c r="AM713" s="99"/>
    </row>
    <row r="714" ht="12.75" customHeight="1">
      <c r="A714" s="104"/>
      <c r="B714" s="104"/>
      <c r="C714" s="104"/>
      <c r="D714" s="110" t="s">
        <v>23</v>
      </c>
      <c r="G714" s="104"/>
      <c r="H714" s="104"/>
      <c r="I714" s="104"/>
      <c r="J714" s="111"/>
      <c r="K714" s="111"/>
      <c r="L714" s="105"/>
      <c r="M714" s="106"/>
      <c r="N714" s="105"/>
      <c r="O714" s="111"/>
      <c r="P714" s="111"/>
      <c r="Q714" s="111"/>
      <c r="R714" s="101"/>
      <c r="S714" s="101"/>
      <c r="T714" s="99"/>
      <c r="U714" s="99"/>
      <c r="V714" s="99"/>
      <c r="W714" s="99"/>
      <c r="X714" s="99"/>
      <c r="Y714" s="99"/>
      <c r="Z714" s="99"/>
      <c r="AA714" s="99"/>
      <c r="AB714" s="99"/>
      <c r="AC714" s="99"/>
      <c r="AD714" s="99"/>
      <c r="AE714" s="99"/>
      <c r="AF714" s="99"/>
      <c r="AG714" s="99"/>
      <c r="AH714" s="99"/>
      <c r="AI714" s="99"/>
      <c r="AJ714" s="99"/>
      <c r="AK714" s="99"/>
      <c r="AL714" s="99"/>
      <c r="AM714" s="99"/>
    </row>
    <row r="715" ht="15.75" customHeight="1">
      <c r="A715" s="104"/>
      <c r="B715" s="104"/>
      <c r="C715" s="104"/>
      <c r="D715" s="110" t="s">
        <v>24</v>
      </c>
      <c r="E715" s="110" t="s">
        <v>278</v>
      </c>
      <c r="G715" s="136">
        <v>75.0</v>
      </c>
      <c r="H715" s="136" t="s">
        <v>95</v>
      </c>
      <c r="I715" s="137">
        <v>2000000.0</v>
      </c>
      <c r="J715" s="46">
        <f t="shared" ref="J715:J717" si="731">G715*I715</f>
        <v>150000000</v>
      </c>
      <c r="K715" s="46"/>
      <c r="L715" s="105"/>
      <c r="M715" s="106"/>
      <c r="N715" s="105"/>
      <c r="O715" s="46">
        <f t="shared" ref="O715:O717" si="732">J715-K715</f>
        <v>150000000</v>
      </c>
      <c r="P715" s="46">
        <f t="shared" ref="P715:P717" si="733">J715-M715</f>
        <v>150000000</v>
      </c>
      <c r="Q715" s="46">
        <v>1.5E8</v>
      </c>
      <c r="R715" s="101"/>
      <c r="S715" s="101"/>
      <c r="T715" s="99"/>
      <c r="U715" s="99"/>
      <c r="V715" s="99"/>
      <c r="W715" s="99"/>
      <c r="X715" s="99"/>
      <c r="Y715" s="99"/>
      <c r="Z715" s="99"/>
      <c r="AA715" s="99"/>
      <c r="AB715" s="99"/>
      <c r="AC715" s="99"/>
      <c r="AD715" s="99"/>
      <c r="AE715" s="99"/>
      <c r="AF715" s="99"/>
      <c r="AG715" s="99"/>
      <c r="AH715" s="99"/>
      <c r="AI715" s="99"/>
      <c r="AJ715" s="99"/>
      <c r="AK715" s="99"/>
      <c r="AL715" s="99"/>
      <c r="AM715" s="99"/>
    </row>
    <row r="716" ht="15.75" customHeight="1">
      <c r="A716" s="104"/>
      <c r="B716" s="104"/>
      <c r="C716" s="104"/>
      <c r="D716" s="110" t="s">
        <v>24</v>
      </c>
      <c r="E716" s="110" t="s">
        <v>279</v>
      </c>
      <c r="G716" s="136">
        <v>75.0</v>
      </c>
      <c r="H716" s="136" t="s">
        <v>95</v>
      </c>
      <c r="I716" s="137">
        <v>750000.0</v>
      </c>
      <c r="J716" s="46">
        <f t="shared" si="731"/>
        <v>56250000</v>
      </c>
      <c r="K716" s="46"/>
      <c r="L716" s="105"/>
      <c r="M716" s="106"/>
      <c r="N716" s="105"/>
      <c r="O716" s="46">
        <f t="shared" si="732"/>
        <v>56250000</v>
      </c>
      <c r="P716" s="46">
        <f t="shared" si="733"/>
        <v>56250000</v>
      </c>
      <c r="Q716" s="46">
        <v>5.625E7</v>
      </c>
      <c r="R716" s="101"/>
      <c r="S716" s="101"/>
      <c r="T716" s="99"/>
      <c r="U716" s="99"/>
      <c r="V716" s="99"/>
      <c r="W716" s="99"/>
      <c r="X716" s="99"/>
      <c r="Y716" s="99"/>
      <c r="Z716" s="99"/>
      <c r="AA716" s="99"/>
      <c r="AB716" s="99"/>
      <c r="AC716" s="99"/>
      <c r="AD716" s="99"/>
      <c r="AE716" s="99"/>
      <c r="AF716" s="99"/>
      <c r="AG716" s="99"/>
      <c r="AH716" s="99"/>
      <c r="AI716" s="99"/>
      <c r="AJ716" s="99"/>
      <c r="AK716" s="99"/>
      <c r="AL716" s="99"/>
      <c r="AM716" s="99"/>
    </row>
    <row r="717" ht="15.75" customHeight="1">
      <c r="A717" s="104"/>
      <c r="B717" s="104"/>
      <c r="C717" s="104"/>
      <c r="D717" s="110" t="s">
        <v>24</v>
      </c>
      <c r="E717" s="110" t="s">
        <v>145</v>
      </c>
      <c r="G717" s="136">
        <v>4.0</v>
      </c>
      <c r="H717" s="136" t="s">
        <v>95</v>
      </c>
      <c r="I717" s="137">
        <v>2000000.0</v>
      </c>
      <c r="J717" s="46">
        <f t="shared" si="731"/>
        <v>8000000</v>
      </c>
      <c r="K717" s="46"/>
      <c r="L717" s="105"/>
      <c r="M717" s="106"/>
      <c r="N717" s="105"/>
      <c r="O717" s="46">
        <f t="shared" si="732"/>
        <v>8000000</v>
      </c>
      <c r="P717" s="46">
        <f t="shared" si="733"/>
        <v>8000000</v>
      </c>
      <c r="Q717" s="46">
        <v>8000000.0</v>
      </c>
      <c r="R717" s="101"/>
      <c r="S717" s="101"/>
      <c r="T717" s="99"/>
      <c r="U717" s="99"/>
      <c r="V717" s="99"/>
      <c r="W717" s="99"/>
      <c r="X717" s="99"/>
      <c r="Y717" s="99"/>
      <c r="Z717" s="99"/>
      <c r="AA717" s="99"/>
      <c r="AB717" s="99"/>
      <c r="AC717" s="99"/>
      <c r="AD717" s="99"/>
      <c r="AE717" s="99"/>
      <c r="AF717" s="99"/>
      <c r="AG717" s="99"/>
      <c r="AH717" s="99"/>
      <c r="AI717" s="99"/>
      <c r="AJ717" s="99"/>
      <c r="AK717" s="99"/>
      <c r="AL717" s="99"/>
      <c r="AM717" s="99"/>
    </row>
    <row r="718" ht="12.75" customHeight="1">
      <c r="A718" s="144" t="s">
        <v>146</v>
      </c>
      <c r="D718" s="144" t="s">
        <v>147</v>
      </c>
      <c r="G718" s="104"/>
      <c r="H718" s="128"/>
      <c r="I718" s="104"/>
      <c r="J718" s="129">
        <f t="shared" ref="J718:K718" si="734">J719+J726</f>
        <v>257280000</v>
      </c>
      <c r="K718" s="43">
        <f t="shared" si="734"/>
        <v>0</v>
      </c>
      <c r="L718" s="105"/>
      <c r="M718" s="106"/>
      <c r="N718" s="105"/>
      <c r="O718" s="43">
        <f t="shared" ref="O718:P718" si="735">O719+O726</f>
        <v>257280000</v>
      </c>
      <c r="P718" s="43">
        <f t="shared" si="735"/>
        <v>257280000</v>
      </c>
      <c r="Q718" s="43">
        <v>2.5728E8</v>
      </c>
      <c r="R718" s="101"/>
      <c r="S718" s="101"/>
      <c r="T718" s="99"/>
      <c r="U718" s="99"/>
      <c r="V718" s="99"/>
      <c r="W718" s="99"/>
      <c r="X718" s="99"/>
      <c r="Y718" s="99"/>
      <c r="Z718" s="99"/>
      <c r="AA718" s="99"/>
      <c r="AB718" s="99"/>
      <c r="AC718" s="99"/>
      <c r="AD718" s="99"/>
      <c r="AE718" s="99"/>
      <c r="AF718" s="99"/>
      <c r="AG718" s="99"/>
      <c r="AH718" s="99"/>
      <c r="AI718" s="99"/>
      <c r="AJ718" s="99"/>
      <c r="AK718" s="99"/>
      <c r="AL718" s="99"/>
      <c r="AM718" s="99"/>
    </row>
    <row r="719" ht="12.75" customHeight="1">
      <c r="A719" s="110" t="s">
        <v>74</v>
      </c>
      <c r="D719" s="145" t="s">
        <v>75</v>
      </c>
      <c r="G719" s="104"/>
      <c r="H719" s="133"/>
      <c r="I719" s="104"/>
      <c r="J719" s="134">
        <f t="shared" ref="J719:K719" si="736">SUM(J721:J725)</f>
        <v>233280000</v>
      </c>
      <c r="K719" s="46">
        <f t="shared" si="736"/>
        <v>0</v>
      </c>
      <c r="L719" s="105"/>
      <c r="M719" s="106"/>
      <c r="N719" s="105"/>
      <c r="O719" s="46">
        <f t="shared" ref="O719:P719" si="737">SUM(O721:O725)</f>
        <v>233280000</v>
      </c>
      <c r="P719" s="46">
        <f t="shared" si="737"/>
        <v>233280000</v>
      </c>
      <c r="Q719" s="46">
        <v>2.3328E8</v>
      </c>
      <c r="R719" s="101"/>
      <c r="S719" s="101"/>
      <c r="T719" s="99"/>
      <c r="U719" s="99"/>
      <c r="V719" s="99"/>
      <c r="W719" s="99"/>
      <c r="X719" s="99"/>
      <c r="Y719" s="99"/>
      <c r="Z719" s="99"/>
      <c r="AA719" s="99"/>
      <c r="AB719" s="99"/>
      <c r="AC719" s="99"/>
      <c r="AD719" s="99"/>
      <c r="AE719" s="99"/>
      <c r="AF719" s="99"/>
      <c r="AG719" s="99"/>
      <c r="AH719" s="99"/>
      <c r="AI719" s="99"/>
      <c r="AJ719" s="99"/>
      <c r="AK719" s="99"/>
      <c r="AL719" s="99"/>
      <c r="AM719" s="99"/>
    </row>
    <row r="720" ht="12.75" customHeight="1">
      <c r="A720" s="104"/>
      <c r="B720" s="104"/>
      <c r="C720" s="104"/>
      <c r="D720" s="110" t="s">
        <v>23</v>
      </c>
      <c r="G720" s="104"/>
      <c r="H720" s="104"/>
      <c r="I720" s="104"/>
      <c r="J720" s="111"/>
      <c r="K720" s="111"/>
      <c r="L720" s="105"/>
      <c r="M720" s="106"/>
      <c r="N720" s="105"/>
      <c r="O720" s="111"/>
      <c r="P720" s="111"/>
      <c r="Q720" s="111"/>
      <c r="R720" s="101"/>
      <c r="S720" s="101"/>
      <c r="T720" s="99"/>
      <c r="U720" s="99"/>
      <c r="V720" s="99"/>
      <c r="W720" s="99"/>
      <c r="X720" s="99"/>
      <c r="Y720" s="99"/>
      <c r="Z720" s="99"/>
      <c r="AA720" s="99"/>
      <c r="AB720" s="99"/>
      <c r="AC720" s="99"/>
      <c r="AD720" s="99"/>
      <c r="AE720" s="99"/>
      <c r="AF720" s="99"/>
      <c r="AG720" s="99"/>
      <c r="AH720" s="99"/>
      <c r="AI720" s="99"/>
      <c r="AJ720" s="99"/>
      <c r="AK720" s="99"/>
      <c r="AL720" s="99"/>
      <c r="AM720" s="99"/>
    </row>
    <row r="721" ht="12.75" customHeight="1">
      <c r="A721" s="104"/>
      <c r="B721" s="104"/>
      <c r="C721" s="104"/>
      <c r="D721" s="110" t="s">
        <v>24</v>
      </c>
      <c r="E721" s="110" t="s">
        <v>291</v>
      </c>
      <c r="G721" s="136">
        <v>75.0</v>
      </c>
      <c r="H721" s="136" t="s">
        <v>95</v>
      </c>
      <c r="I721" s="137">
        <v>430000.0</v>
      </c>
      <c r="J721" s="46">
        <f t="shared" ref="J721:J725" si="738">G721*I721</f>
        <v>32250000</v>
      </c>
      <c r="K721" s="46"/>
      <c r="L721" s="105"/>
      <c r="M721" s="106"/>
      <c r="N721" s="105"/>
      <c r="O721" s="46">
        <f t="shared" ref="O721:O725" si="739">J721-K721</f>
        <v>32250000</v>
      </c>
      <c r="P721" s="46">
        <f t="shared" ref="P721:P725" si="740">J721-M721</f>
        <v>32250000</v>
      </c>
      <c r="Q721" s="46">
        <v>3.225E7</v>
      </c>
      <c r="R721" s="101"/>
      <c r="S721" s="101"/>
      <c r="T721" s="99"/>
      <c r="U721" s="99"/>
      <c r="V721" s="99"/>
      <c r="W721" s="99"/>
      <c r="X721" s="99"/>
      <c r="Y721" s="99"/>
      <c r="Z721" s="99"/>
      <c r="AA721" s="99"/>
      <c r="AB721" s="99"/>
      <c r="AC721" s="99"/>
      <c r="AD721" s="99"/>
      <c r="AE721" s="99"/>
      <c r="AF721" s="99"/>
      <c r="AG721" s="99"/>
      <c r="AH721" s="99"/>
      <c r="AI721" s="99"/>
      <c r="AJ721" s="99"/>
      <c r="AK721" s="99"/>
      <c r="AL721" s="99"/>
      <c r="AM721" s="99"/>
    </row>
    <row r="722" ht="15.75" customHeight="1">
      <c r="A722" s="104"/>
      <c r="B722" s="104"/>
      <c r="C722" s="104"/>
      <c r="D722" s="110" t="s">
        <v>24</v>
      </c>
      <c r="E722" s="110" t="s">
        <v>292</v>
      </c>
      <c r="G722" s="136">
        <v>50.0</v>
      </c>
      <c r="H722" s="136" t="s">
        <v>95</v>
      </c>
      <c r="I722" s="137">
        <v>670000.0</v>
      </c>
      <c r="J722" s="46">
        <f t="shared" si="738"/>
        <v>33500000</v>
      </c>
      <c r="K722" s="46"/>
      <c r="L722" s="105"/>
      <c r="M722" s="106"/>
      <c r="N722" s="105"/>
      <c r="O722" s="46">
        <f t="shared" si="739"/>
        <v>33500000</v>
      </c>
      <c r="P722" s="46">
        <f t="shared" si="740"/>
        <v>33500000</v>
      </c>
      <c r="Q722" s="46">
        <v>3.35E7</v>
      </c>
      <c r="R722" s="101"/>
      <c r="S722" s="101"/>
      <c r="T722" s="99"/>
      <c r="U722" s="99"/>
      <c r="V722" s="99"/>
      <c r="W722" s="99"/>
      <c r="X722" s="99"/>
      <c r="Y722" s="99"/>
      <c r="Z722" s="99"/>
      <c r="AA722" s="99"/>
      <c r="AB722" s="99"/>
      <c r="AC722" s="99"/>
      <c r="AD722" s="99"/>
      <c r="AE722" s="99"/>
      <c r="AF722" s="99"/>
      <c r="AG722" s="99"/>
      <c r="AH722" s="99"/>
      <c r="AI722" s="99"/>
      <c r="AJ722" s="99"/>
      <c r="AK722" s="99"/>
      <c r="AL722" s="99"/>
      <c r="AM722" s="99"/>
    </row>
    <row r="723" ht="12.75" customHeight="1">
      <c r="A723" s="104"/>
      <c r="B723" s="104"/>
      <c r="C723" s="104"/>
      <c r="D723" s="110" t="s">
        <v>24</v>
      </c>
      <c r="E723" s="110" t="s">
        <v>293</v>
      </c>
      <c r="G723" s="136">
        <v>25.0</v>
      </c>
      <c r="H723" s="136" t="s">
        <v>95</v>
      </c>
      <c r="I723" s="137">
        <v>821200.0</v>
      </c>
      <c r="J723" s="46">
        <f t="shared" si="738"/>
        <v>20530000</v>
      </c>
      <c r="K723" s="46"/>
      <c r="L723" s="105"/>
      <c r="M723" s="106"/>
      <c r="N723" s="105"/>
      <c r="O723" s="46">
        <f t="shared" si="739"/>
        <v>20530000</v>
      </c>
      <c r="P723" s="46">
        <f t="shared" si="740"/>
        <v>20530000</v>
      </c>
      <c r="Q723" s="46">
        <v>2.053E7</v>
      </c>
      <c r="R723" s="101"/>
      <c r="S723" s="101"/>
      <c r="T723" s="99"/>
      <c r="U723" s="99"/>
      <c r="V723" s="99"/>
      <c r="W723" s="99"/>
      <c r="X723" s="99"/>
      <c r="Y723" s="99"/>
      <c r="Z723" s="99"/>
      <c r="AA723" s="99"/>
      <c r="AB723" s="99"/>
      <c r="AC723" s="99"/>
      <c r="AD723" s="99"/>
      <c r="AE723" s="99"/>
      <c r="AF723" s="99"/>
      <c r="AG723" s="99"/>
      <c r="AH723" s="99"/>
      <c r="AI723" s="99"/>
      <c r="AJ723" s="99"/>
      <c r="AK723" s="99"/>
      <c r="AL723" s="99"/>
      <c r="AM723" s="99"/>
    </row>
    <row r="724" ht="15.75" customHeight="1">
      <c r="A724" s="104"/>
      <c r="B724" s="104"/>
      <c r="C724" s="104"/>
      <c r="D724" s="110" t="s">
        <v>24</v>
      </c>
      <c r="E724" s="110" t="s">
        <v>350</v>
      </c>
      <c r="G724" s="136">
        <v>150.0</v>
      </c>
      <c r="H724" s="136" t="s">
        <v>95</v>
      </c>
      <c r="I724" s="137">
        <v>500000.0</v>
      </c>
      <c r="J724" s="46">
        <f t="shared" si="738"/>
        <v>75000000</v>
      </c>
      <c r="K724" s="46"/>
      <c r="L724" s="105"/>
      <c r="M724" s="106"/>
      <c r="N724" s="105"/>
      <c r="O724" s="46">
        <f t="shared" si="739"/>
        <v>75000000</v>
      </c>
      <c r="P724" s="46">
        <f t="shared" si="740"/>
        <v>75000000</v>
      </c>
      <c r="Q724" s="46">
        <v>7.5E7</v>
      </c>
      <c r="R724" s="101"/>
      <c r="S724" s="101"/>
      <c r="T724" s="99"/>
      <c r="U724" s="99"/>
      <c r="V724" s="99"/>
      <c r="W724" s="99"/>
      <c r="X724" s="99"/>
      <c r="Y724" s="99"/>
      <c r="Z724" s="99"/>
      <c r="AA724" s="99"/>
      <c r="AB724" s="99"/>
      <c r="AC724" s="99"/>
      <c r="AD724" s="99"/>
      <c r="AE724" s="99"/>
      <c r="AF724" s="99"/>
      <c r="AG724" s="99"/>
      <c r="AH724" s="99"/>
      <c r="AI724" s="99"/>
      <c r="AJ724" s="99"/>
      <c r="AK724" s="99"/>
      <c r="AL724" s="99"/>
      <c r="AM724" s="99"/>
    </row>
    <row r="725" ht="15.75" customHeight="1">
      <c r="A725" s="104"/>
      <c r="B725" s="104"/>
      <c r="C725" s="104"/>
      <c r="D725" s="110" t="s">
        <v>24</v>
      </c>
      <c r="E725" s="110" t="s">
        <v>351</v>
      </c>
      <c r="G725" s="136">
        <v>225.0</v>
      </c>
      <c r="H725" s="136" t="s">
        <v>95</v>
      </c>
      <c r="I725" s="137">
        <v>320000.0</v>
      </c>
      <c r="J725" s="46">
        <f t="shared" si="738"/>
        <v>72000000</v>
      </c>
      <c r="K725" s="46"/>
      <c r="L725" s="105"/>
      <c r="M725" s="106"/>
      <c r="N725" s="105"/>
      <c r="O725" s="46">
        <f t="shared" si="739"/>
        <v>72000000</v>
      </c>
      <c r="P725" s="46">
        <f t="shared" si="740"/>
        <v>72000000</v>
      </c>
      <c r="Q725" s="46">
        <v>7.2E7</v>
      </c>
      <c r="R725" s="101"/>
      <c r="S725" s="101"/>
      <c r="T725" s="99"/>
      <c r="U725" s="99"/>
      <c r="V725" s="99"/>
      <c r="W725" s="99"/>
      <c r="X725" s="99"/>
      <c r="Y725" s="99"/>
      <c r="Z725" s="99"/>
      <c r="AA725" s="99"/>
      <c r="AB725" s="99"/>
      <c r="AC725" s="99"/>
      <c r="AD725" s="99"/>
      <c r="AE725" s="99"/>
      <c r="AF725" s="99"/>
      <c r="AG725" s="99"/>
      <c r="AH725" s="99"/>
      <c r="AI725" s="99"/>
      <c r="AJ725" s="99"/>
      <c r="AK725" s="99"/>
      <c r="AL725" s="99"/>
      <c r="AM725" s="99"/>
    </row>
    <row r="726" ht="12.75" customHeight="1">
      <c r="A726" s="110" t="s">
        <v>79</v>
      </c>
      <c r="D726" s="145" t="s">
        <v>80</v>
      </c>
      <c r="G726" s="104"/>
      <c r="H726" s="133"/>
      <c r="I726" s="104"/>
      <c r="J726" s="134">
        <f t="shared" ref="J726:K726" si="741">J728</f>
        <v>24000000</v>
      </c>
      <c r="K726" s="46" t="str">
        <f t="shared" si="741"/>
        <v/>
      </c>
      <c r="L726" s="105"/>
      <c r="M726" s="106"/>
      <c r="N726" s="105"/>
      <c r="O726" s="46">
        <f t="shared" ref="O726:P726" si="742">O728</f>
        <v>24000000</v>
      </c>
      <c r="P726" s="46">
        <f t="shared" si="742"/>
        <v>24000000</v>
      </c>
      <c r="Q726" s="46">
        <v>2.4E7</v>
      </c>
      <c r="R726" s="101"/>
      <c r="S726" s="101"/>
      <c r="T726" s="99"/>
      <c r="U726" s="99"/>
      <c r="V726" s="99"/>
      <c r="W726" s="99"/>
      <c r="X726" s="99"/>
      <c r="Y726" s="99"/>
      <c r="Z726" s="99"/>
      <c r="AA726" s="99"/>
      <c r="AB726" s="99"/>
      <c r="AC726" s="99"/>
      <c r="AD726" s="99"/>
      <c r="AE726" s="99"/>
      <c r="AF726" s="99"/>
      <c r="AG726" s="99"/>
      <c r="AH726" s="99"/>
      <c r="AI726" s="99"/>
      <c r="AJ726" s="99"/>
      <c r="AK726" s="99"/>
      <c r="AL726" s="99"/>
      <c r="AM726" s="99"/>
    </row>
    <row r="727" ht="12.75" customHeight="1">
      <c r="A727" s="104"/>
      <c r="B727" s="104"/>
      <c r="C727" s="104"/>
      <c r="D727" s="110" t="s">
        <v>23</v>
      </c>
      <c r="G727" s="104"/>
      <c r="H727" s="104"/>
      <c r="I727" s="104"/>
      <c r="J727" s="111"/>
      <c r="K727" s="111"/>
      <c r="L727" s="105"/>
      <c r="M727" s="106"/>
      <c r="N727" s="105"/>
      <c r="O727" s="111"/>
      <c r="P727" s="111"/>
      <c r="Q727" s="111"/>
      <c r="R727" s="101"/>
      <c r="S727" s="101"/>
      <c r="T727" s="99"/>
      <c r="U727" s="99"/>
      <c r="V727" s="99"/>
      <c r="W727" s="99"/>
      <c r="X727" s="99"/>
      <c r="Y727" s="99"/>
      <c r="Z727" s="99"/>
      <c r="AA727" s="99"/>
      <c r="AB727" s="99"/>
      <c r="AC727" s="99"/>
      <c r="AD727" s="99"/>
      <c r="AE727" s="99"/>
      <c r="AF727" s="99"/>
      <c r="AG727" s="99"/>
      <c r="AH727" s="99"/>
      <c r="AI727" s="99"/>
      <c r="AJ727" s="99"/>
      <c r="AK727" s="99"/>
      <c r="AL727" s="99"/>
      <c r="AM727" s="99"/>
    </row>
    <row r="728" ht="12.75" customHeight="1">
      <c r="A728" s="104"/>
      <c r="B728" s="104"/>
      <c r="C728" s="104"/>
      <c r="D728" s="110" t="s">
        <v>24</v>
      </c>
      <c r="E728" s="110" t="s">
        <v>296</v>
      </c>
      <c r="G728" s="136">
        <v>160.0</v>
      </c>
      <c r="H728" s="136" t="s">
        <v>95</v>
      </c>
      <c r="I728" s="137">
        <v>150000.0</v>
      </c>
      <c r="J728" s="46">
        <f>G728*I728</f>
        <v>24000000</v>
      </c>
      <c r="K728" s="46"/>
      <c r="L728" s="105"/>
      <c r="M728" s="106"/>
      <c r="N728" s="105"/>
      <c r="O728" s="46">
        <f>J728-K728</f>
        <v>24000000</v>
      </c>
      <c r="P728" s="46">
        <f>J728-M728</f>
        <v>24000000</v>
      </c>
      <c r="Q728" s="46">
        <v>2.4E7</v>
      </c>
      <c r="R728" s="101"/>
      <c r="S728" s="101"/>
      <c r="T728" s="99"/>
      <c r="U728" s="99"/>
      <c r="V728" s="99"/>
      <c r="W728" s="99"/>
      <c r="X728" s="99"/>
      <c r="Y728" s="99"/>
      <c r="Z728" s="99"/>
      <c r="AA728" s="99"/>
      <c r="AB728" s="99"/>
      <c r="AC728" s="99"/>
      <c r="AD728" s="99"/>
      <c r="AE728" s="99"/>
      <c r="AF728" s="99"/>
      <c r="AG728" s="99"/>
      <c r="AH728" s="99"/>
      <c r="AI728" s="99"/>
      <c r="AJ728" s="99"/>
      <c r="AK728" s="99"/>
      <c r="AL728" s="99"/>
      <c r="AM728" s="99"/>
    </row>
    <row r="729" ht="12.75" customHeight="1">
      <c r="A729" s="150" t="s">
        <v>287</v>
      </c>
      <c r="B729" s="121"/>
      <c r="C729" s="122"/>
      <c r="D729" s="150" t="s">
        <v>219</v>
      </c>
      <c r="E729" s="121"/>
      <c r="F729" s="122"/>
      <c r="G729" s="151" t="s">
        <v>306</v>
      </c>
      <c r="H729" s="151" t="s">
        <v>306</v>
      </c>
      <c r="I729" s="142"/>
      <c r="J729" s="125">
        <f t="shared" ref="J729:K729" si="743">J730+J744+J756+J769+J786+J795+J805+J810+J826+J840+J848+J856+J862</f>
        <v>3064496000</v>
      </c>
      <c r="K729" s="84">
        <f t="shared" si="743"/>
        <v>110895000</v>
      </c>
      <c r="L729" s="105"/>
      <c r="M729" s="106"/>
      <c r="N729" s="105"/>
      <c r="O729" s="84">
        <f t="shared" ref="O729:P729" si="744">O730+O744+O756+O769+O786+O795+O805+O810+O826+O840+O848+O856+O862</f>
        <v>2953601000</v>
      </c>
      <c r="P729" s="84">
        <f t="shared" si="744"/>
        <v>2785651862</v>
      </c>
      <c r="Q729" s="152">
        <v>3.064496E9</v>
      </c>
      <c r="R729" s="101">
        <v>1.92563236E8</v>
      </c>
      <c r="S729" s="101" t="s">
        <v>355</v>
      </c>
      <c r="T729" s="99"/>
      <c r="U729" s="99"/>
      <c r="V729" s="99"/>
      <c r="W729" s="99"/>
      <c r="X729" s="99"/>
      <c r="Y729" s="99"/>
      <c r="Z729" s="99"/>
      <c r="AA729" s="99"/>
      <c r="AB729" s="99"/>
      <c r="AC729" s="99"/>
      <c r="AD729" s="99"/>
      <c r="AE729" s="99"/>
      <c r="AF729" s="99"/>
      <c r="AG729" s="99"/>
      <c r="AH729" s="99"/>
      <c r="AI729" s="99"/>
      <c r="AJ729" s="99"/>
      <c r="AK729" s="99"/>
      <c r="AL729" s="99"/>
      <c r="AM729" s="99"/>
    </row>
    <row r="730" ht="12.75" customHeight="1">
      <c r="A730" s="144" t="s">
        <v>20</v>
      </c>
      <c r="D730" s="144" t="s">
        <v>21</v>
      </c>
      <c r="G730" s="104"/>
      <c r="H730" s="104"/>
      <c r="I730" s="104"/>
      <c r="J730" s="129">
        <f t="shared" ref="J730:K730" si="745">J731+J740</f>
        <v>142640000</v>
      </c>
      <c r="K730" s="43">
        <f t="shared" si="745"/>
        <v>0</v>
      </c>
      <c r="L730" s="105"/>
      <c r="M730" s="106"/>
      <c r="N730" s="105"/>
      <c r="O730" s="43">
        <f t="shared" ref="O730:P730" si="746">O731+O740</f>
        <v>142640000</v>
      </c>
      <c r="P730" s="43">
        <f t="shared" si="746"/>
        <v>86226720</v>
      </c>
      <c r="Q730" s="43">
        <v>1.4264E8</v>
      </c>
      <c r="R730" s="101"/>
      <c r="S730" s="101"/>
      <c r="T730" s="99"/>
      <c r="U730" s="99"/>
      <c r="V730" s="99"/>
      <c r="W730" s="99"/>
      <c r="X730" s="99"/>
      <c r="Y730" s="99"/>
      <c r="Z730" s="99"/>
      <c r="AA730" s="99"/>
      <c r="AB730" s="99"/>
      <c r="AC730" s="99"/>
      <c r="AD730" s="99"/>
      <c r="AE730" s="99"/>
      <c r="AF730" s="99"/>
      <c r="AG730" s="99"/>
      <c r="AH730" s="99"/>
      <c r="AI730" s="99"/>
      <c r="AJ730" s="99"/>
      <c r="AK730" s="99"/>
      <c r="AL730" s="99"/>
      <c r="AM730" s="99"/>
    </row>
    <row r="731" ht="12.75" customHeight="1">
      <c r="A731" s="110" t="s">
        <v>40</v>
      </c>
      <c r="D731" s="145" t="s">
        <v>22</v>
      </c>
      <c r="G731" s="104"/>
      <c r="H731" s="104"/>
      <c r="I731" s="104"/>
      <c r="J731" s="134">
        <f t="shared" ref="J731:K731" si="747">SUM(J733:J739)</f>
        <v>130640000</v>
      </c>
      <c r="K731" s="46">
        <f t="shared" si="747"/>
        <v>0</v>
      </c>
      <c r="L731" s="105"/>
      <c r="M731" s="106"/>
      <c r="N731" s="105"/>
      <c r="O731" s="46">
        <f t="shared" ref="O731:P731" si="748">SUM(O733:O739)</f>
        <v>130640000</v>
      </c>
      <c r="P731" s="46">
        <f t="shared" si="748"/>
        <v>76626720</v>
      </c>
      <c r="Q731" s="46">
        <v>1.3064E8</v>
      </c>
      <c r="R731" s="101"/>
      <c r="S731" s="101"/>
      <c r="T731" s="99"/>
      <c r="U731" s="99"/>
      <c r="V731" s="99"/>
      <c r="W731" s="99"/>
      <c r="X731" s="99"/>
      <c r="Y731" s="99"/>
      <c r="Z731" s="99"/>
      <c r="AA731" s="99"/>
      <c r="AB731" s="99"/>
      <c r="AC731" s="99"/>
      <c r="AD731" s="99"/>
      <c r="AE731" s="99"/>
      <c r="AF731" s="99"/>
      <c r="AG731" s="99"/>
      <c r="AH731" s="99"/>
      <c r="AI731" s="99"/>
      <c r="AJ731" s="99"/>
      <c r="AK731" s="99"/>
      <c r="AL731" s="99"/>
      <c r="AM731" s="99"/>
    </row>
    <row r="732" ht="12.75" customHeight="1">
      <c r="A732" s="104"/>
      <c r="B732" s="104"/>
      <c r="C732" s="104"/>
      <c r="D732" s="110" t="s">
        <v>23</v>
      </c>
      <c r="G732" s="104"/>
      <c r="H732" s="104"/>
      <c r="I732" s="104"/>
      <c r="J732" s="111"/>
      <c r="K732" s="111"/>
      <c r="L732" s="105"/>
      <c r="M732" s="106"/>
      <c r="N732" s="105"/>
      <c r="O732" s="111"/>
      <c r="P732" s="111"/>
      <c r="Q732" s="111"/>
      <c r="R732" s="101"/>
      <c r="S732" s="101"/>
      <c r="T732" s="99"/>
      <c r="U732" s="99"/>
      <c r="V732" s="99"/>
      <c r="W732" s="99"/>
      <c r="X732" s="99"/>
      <c r="Y732" s="99"/>
      <c r="Z732" s="99"/>
      <c r="AA732" s="99"/>
      <c r="AB732" s="99"/>
      <c r="AC732" s="99"/>
      <c r="AD732" s="99"/>
      <c r="AE732" s="99"/>
      <c r="AF732" s="99"/>
      <c r="AG732" s="99"/>
      <c r="AH732" s="99"/>
      <c r="AI732" s="99"/>
      <c r="AJ732" s="99"/>
      <c r="AK732" s="99"/>
      <c r="AL732" s="99"/>
      <c r="AM732" s="99"/>
    </row>
    <row r="733" ht="12.75" customHeight="1">
      <c r="A733" s="104"/>
      <c r="B733" s="104"/>
      <c r="C733" s="104"/>
      <c r="D733" s="110" t="s">
        <v>24</v>
      </c>
      <c r="E733" s="110" t="s">
        <v>156</v>
      </c>
      <c r="G733" s="136">
        <v>24.0</v>
      </c>
      <c r="H733" s="136" t="s">
        <v>26</v>
      </c>
      <c r="I733" s="137">
        <v>500000.0</v>
      </c>
      <c r="J733" s="46">
        <f t="shared" ref="J733:J739" si="749">G733*I733</f>
        <v>12000000</v>
      </c>
      <c r="K733" s="46"/>
      <c r="L733" s="105"/>
      <c r="M733" s="138">
        <v>4186000.0</v>
      </c>
      <c r="N733" s="105"/>
      <c r="O733" s="46">
        <f t="shared" ref="O733:O739" si="750">J733-K733</f>
        <v>12000000</v>
      </c>
      <c r="P733" s="46">
        <f t="shared" ref="P733:P739" si="751">J733-M733</f>
        <v>7814000</v>
      </c>
      <c r="Q733" s="46">
        <v>1.2E7</v>
      </c>
      <c r="R733" s="101"/>
      <c r="S733" s="101"/>
      <c r="T733" s="99"/>
      <c r="U733" s="99"/>
      <c r="V733" s="99"/>
      <c r="W733" s="99"/>
      <c r="X733" s="99"/>
      <c r="Y733" s="99"/>
      <c r="Z733" s="99"/>
      <c r="AA733" s="99"/>
      <c r="AB733" s="99"/>
      <c r="AC733" s="99"/>
      <c r="AD733" s="99"/>
      <c r="AE733" s="99"/>
      <c r="AF733" s="99"/>
      <c r="AG733" s="99"/>
      <c r="AH733" s="99"/>
      <c r="AI733" s="99"/>
      <c r="AJ733" s="99"/>
      <c r="AK733" s="99"/>
      <c r="AL733" s="99"/>
      <c r="AM733" s="99"/>
    </row>
    <row r="734" ht="12.75" customHeight="1">
      <c r="A734" s="104"/>
      <c r="B734" s="104"/>
      <c r="C734" s="104"/>
      <c r="D734" s="110" t="s">
        <v>24</v>
      </c>
      <c r="E734" s="110" t="s">
        <v>27</v>
      </c>
      <c r="G734" s="136">
        <v>2.0</v>
      </c>
      <c r="H734" s="136" t="s">
        <v>26</v>
      </c>
      <c r="I734" s="137">
        <v>2000000.0</v>
      </c>
      <c r="J734" s="46">
        <f t="shared" si="749"/>
        <v>4000000</v>
      </c>
      <c r="K734" s="46"/>
      <c r="L734" s="105"/>
      <c r="M734" s="138">
        <v>912000.0</v>
      </c>
      <c r="N734" s="105"/>
      <c r="O734" s="46">
        <f t="shared" si="750"/>
        <v>4000000</v>
      </c>
      <c r="P734" s="46">
        <f t="shared" si="751"/>
        <v>3088000</v>
      </c>
      <c r="Q734" s="46">
        <v>4000000.0</v>
      </c>
      <c r="R734" s="101"/>
      <c r="S734" s="101"/>
      <c r="T734" s="99"/>
      <c r="U734" s="99"/>
      <c r="V734" s="99"/>
      <c r="W734" s="99"/>
      <c r="X734" s="99"/>
      <c r="Y734" s="99"/>
      <c r="Z734" s="99"/>
      <c r="AA734" s="99"/>
      <c r="AB734" s="99"/>
      <c r="AC734" s="99"/>
      <c r="AD734" s="99"/>
      <c r="AE734" s="99"/>
      <c r="AF734" s="99"/>
      <c r="AG734" s="99"/>
      <c r="AH734" s="99"/>
      <c r="AI734" s="99"/>
      <c r="AJ734" s="99"/>
      <c r="AK734" s="99"/>
      <c r="AL734" s="99"/>
      <c r="AM734" s="99"/>
    </row>
    <row r="735" ht="15.75" customHeight="1">
      <c r="A735" s="104"/>
      <c r="B735" s="104"/>
      <c r="C735" s="104"/>
      <c r="D735" s="110" t="s">
        <v>24</v>
      </c>
      <c r="E735" s="110" t="s">
        <v>28</v>
      </c>
      <c r="G735" s="136">
        <v>10.0</v>
      </c>
      <c r="H735" s="136" t="s">
        <v>26</v>
      </c>
      <c r="I735" s="137">
        <v>500000.0</v>
      </c>
      <c r="J735" s="46">
        <f t="shared" si="749"/>
        <v>5000000</v>
      </c>
      <c r="K735" s="46"/>
      <c r="L735" s="105"/>
      <c r="M735" s="106"/>
      <c r="N735" s="105"/>
      <c r="O735" s="46">
        <f t="shared" si="750"/>
        <v>5000000</v>
      </c>
      <c r="P735" s="46">
        <f t="shared" si="751"/>
        <v>5000000</v>
      </c>
      <c r="Q735" s="46">
        <v>5000000.0</v>
      </c>
      <c r="R735" s="101"/>
      <c r="S735" s="101"/>
      <c r="T735" s="99"/>
      <c r="U735" s="99"/>
      <c r="V735" s="99"/>
      <c r="W735" s="99"/>
      <c r="X735" s="99"/>
      <c r="Y735" s="99"/>
      <c r="Z735" s="99"/>
      <c r="AA735" s="99"/>
      <c r="AB735" s="99"/>
      <c r="AC735" s="99"/>
      <c r="AD735" s="99"/>
      <c r="AE735" s="99"/>
      <c r="AF735" s="99"/>
      <c r="AG735" s="99"/>
      <c r="AH735" s="99"/>
      <c r="AI735" s="99"/>
      <c r="AJ735" s="99"/>
      <c r="AK735" s="99"/>
      <c r="AL735" s="99"/>
      <c r="AM735" s="99"/>
    </row>
    <row r="736" ht="12.75" customHeight="1">
      <c r="A736" s="104"/>
      <c r="B736" s="104"/>
      <c r="C736" s="104"/>
      <c r="D736" s="110" t="s">
        <v>24</v>
      </c>
      <c r="E736" s="110" t="s">
        <v>157</v>
      </c>
      <c r="G736" s="136">
        <v>200.0</v>
      </c>
      <c r="H736" s="136" t="s">
        <v>26</v>
      </c>
      <c r="I736" s="137">
        <v>25000.0</v>
      </c>
      <c r="J736" s="46">
        <f t="shared" si="749"/>
        <v>5000000</v>
      </c>
      <c r="K736" s="46"/>
      <c r="L736" s="105"/>
      <c r="M736" s="138">
        <v>372400.0</v>
      </c>
      <c r="N736" s="105"/>
      <c r="O736" s="46">
        <f t="shared" si="750"/>
        <v>5000000</v>
      </c>
      <c r="P736" s="46">
        <f t="shared" si="751"/>
        <v>4627600</v>
      </c>
      <c r="Q736" s="46">
        <v>5000000.0</v>
      </c>
      <c r="R736" s="101"/>
      <c r="S736" s="101"/>
      <c r="T736" s="99"/>
      <c r="U736" s="99"/>
      <c r="V736" s="99"/>
      <c r="W736" s="99"/>
      <c r="X736" s="99"/>
      <c r="Y736" s="99"/>
      <c r="Z736" s="99"/>
      <c r="AA736" s="99"/>
      <c r="AB736" s="99"/>
      <c r="AC736" s="99"/>
      <c r="AD736" s="99"/>
      <c r="AE736" s="99"/>
      <c r="AF736" s="99"/>
      <c r="AG736" s="99"/>
      <c r="AH736" s="99"/>
      <c r="AI736" s="99"/>
      <c r="AJ736" s="99"/>
      <c r="AK736" s="99"/>
      <c r="AL736" s="99"/>
      <c r="AM736" s="99"/>
    </row>
    <row r="737" ht="15.75" customHeight="1">
      <c r="A737" s="104"/>
      <c r="B737" s="104"/>
      <c r="C737" s="104"/>
      <c r="D737" s="110" t="s">
        <v>24</v>
      </c>
      <c r="E737" s="110" t="s">
        <v>31</v>
      </c>
      <c r="G737" s="136">
        <v>320.0</v>
      </c>
      <c r="H737" s="136" t="s">
        <v>26</v>
      </c>
      <c r="I737" s="137">
        <v>53000.0</v>
      </c>
      <c r="J737" s="46">
        <f t="shared" si="749"/>
        <v>16960000</v>
      </c>
      <c r="K737" s="46"/>
      <c r="L737" s="105"/>
      <c r="M737" s="138">
        <v>8742000.0</v>
      </c>
      <c r="N737" s="105"/>
      <c r="O737" s="46">
        <f t="shared" si="750"/>
        <v>16960000</v>
      </c>
      <c r="P737" s="46">
        <f t="shared" si="751"/>
        <v>8218000</v>
      </c>
      <c r="Q737" s="46">
        <v>1.696E7</v>
      </c>
      <c r="R737" s="101"/>
      <c r="S737" s="101"/>
      <c r="T737" s="99"/>
      <c r="U737" s="99"/>
      <c r="V737" s="99"/>
      <c r="W737" s="99"/>
      <c r="X737" s="99"/>
      <c r="Y737" s="99"/>
      <c r="Z737" s="99"/>
      <c r="AA737" s="99"/>
      <c r="AB737" s="99"/>
      <c r="AC737" s="99"/>
      <c r="AD737" s="99"/>
      <c r="AE737" s="99"/>
      <c r="AF737" s="99"/>
      <c r="AG737" s="99"/>
      <c r="AH737" s="99"/>
      <c r="AI737" s="99"/>
      <c r="AJ737" s="99"/>
      <c r="AK737" s="99"/>
      <c r="AL737" s="99"/>
      <c r="AM737" s="99"/>
    </row>
    <row r="738" ht="15.75" customHeight="1">
      <c r="A738" s="104"/>
      <c r="B738" s="104"/>
      <c r="C738" s="104"/>
      <c r="D738" s="110" t="s">
        <v>24</v>
      </c>
      <c r="E738" s="110" t="s">
        <v>32</v>
      </c>
      <c r="G738" s="136">
        <v>320.0</v>
      </c>
      <c r="H738" s="136" t="s">
        <v>26</v>
      </c>
      <c r="I738" s="137">
        <v>24000.0</v>
      </c>
      <c r="J738" s="46">
        <f t="shared" si="749"/>
        <v>7680000</v>
      </c>
      <c r="K738" s="46"/>
      <c r="L738" s="105"/>
      <c r="M738" s="106"/>
      <c r="N738" s="105"/>
      <c r="O738" s="46">
        <f t="shared" si="750"/>
        <v>7680000</v>
      </c>
      <c r="P738" s="46">
        <f t="shared" si="751"/>
        <v>7680000</v>
      </c>
      <c r="Q738" s="46">
        <v>7680000.0</v>
      </c>
      <c r="R738" s="101"/>
      <c r="S738" s="101"/>
      <c r="T738" s="99"/>
      <c r="U738" s="99"/>
      <c r="V738" s="99"/>
      <c r="W738" s="99"/>
      <c r="X738" s="99"/>
      <c r="Y738" s="99"/>
      <c r="Z738" s="99"/>
      <c r="AA738" s="99"/>
      <c r="AB738" s="99"/>
      <c r="AC738" s="99"/>
      <c r="AD738" s="99"/>
      <c r="AE738" s="99"/>
      <c r="AF738" s="99"/>
      <c r="AG738" s="99"/>
      <c r="AH738" s="99"/>
      <c r="AI738" s="99"/>
      <c r="AJ738" s="99"/>
      <c r="AK738" s="99"/>
      <c r="AL738" s="99"/>
      <c r="AM738" s="99"/>
    </row>
    <row r="739" ht="15.75" customHeight="1">
      <c r="A739" s="104"/>
      <c r="B739" s="104"/>
      <c r="C739" s="104"/>
      <c r="D739" s="110" t="s">
        <v>24</v>
      </c>
      <c r="E739" s="110" t="s">
        <v>288</v>
      </c>
      <c r="G739" s="136">
        <v>100.0</v>
      </c>
      <c r="H739" s="136" t="s">
        <v>26</v>
      </c>
      <c r="I739" s="137">
        <v>800000.0</v>
      </c>
      <c r="J739" s="46">
        <f t="shared" si="749"/>
        <v>80000000</v>
      </c>
      <c r="K739" s="46"/>
      <c r="L739" s="105"/>
      <c r="M739" s="138">
        <v>3.980088E7</v>
      </c>
      <c r="N739" s="105"/>
      <c r="O739" s="46">
        <f t="shared" si="750"/>
        <v>80000000</v>
      </c>
      <c r="P739" s="46">
        <f t="shared" si="751"/>
        <v>40199120</v>
      </c>
      <c r="Q739" s="46">
        <v>8.0E7</v>
      </c>
      <c r="R739" s="101"/>
      <c r="S739" s="101"/>
      <c r="T739" s="99"/>
      <c r="U739" s="99"/>
      <c r="V739" s="99"/>
      <c r="W739" s="99"/>
      <c r="X739" s="99"/>
      <c r="Y739" s="99"/>
      <c r="Z739" s="99"/>
      <c r="AA739" s="99"/>
      <c r="AB739" s="99"/>
      <c r="AC739" s="99"/>
      <c r="AD739" s="99"/>
      <c r="AE739" s="99"/>
      <c r="AF739" s="99"/>
      <c r="AG739" s="99"/>
      <c r="AH739" s="99"/>
      <c r="AI739" s="99"/>
      <c r="AJ739" s="99"/>
      <c r="AK739" s="99"/>
      <c r="AL739" s="99"/>
      <c r="AM739" s="99"/>
    </row>
    <row r="740" ht="12.75" customHeight="1">
      <c r="A740" s="110" t="s">
        <v>58</v>
      </c>
      <c r="D740" s="145" t="s">
        <v>34</v>
      </c>
      <c r="G740" s="104"/>
      <c r="H740" s="133"/>
      <c r="I740" s="104"/>
      <c r="J740" s="134">
        <f t="shared" ref="J740:K740" si="752">SUM(J742:J743)</f>
        <v>12000000</v>
      </c>
      <c r="K740" s="46">
        <f t="shared" si="752"/>
        <v>0</v>
      </c>
      <c r="L740" s="105"/>
      <c r="M740" s="106"/>
      <c r="N740" s="105"/>
      <c r="O740" s="46">
        <f t="shared" ref="O740:P740" si="753">SUM(O742:O743)</f>
        <v>12000000</v>
      </c>
      <c r="P740" s="46">
        <f t="shared" si="753"/>
        <v>9600000</v>
      </c>
      <c r="Q740" s="46">
        <v>1.2E7</v>
      </c>
      <c r="R740" s="101"/>
      <c r="S740" s="101"/>
      <c r="T740" s="99"/>
      <c r="U740" s="99"/>
      <c r="V740" s="99"/>
      <c r="W740" s="99"/>
      <c r="X740" s="99"/>
      <c r="Y740" s="99"/>
      <c r="Z740" s="99"/>
      <c r="AA740" s="99"/>
      <c r="AB740" s="99"/>
      <c r="AC740" s="99"/>
      <c r="AD740" s="99"/>
      <c r="AE740" s="99"/>
      <c r="AF740" s="99"/>
      <c r="AG740" s="99"/>
      <c r="AH740" s="99"/>
      <c r="AI740" s="99"/>
      <c r="AJ740" s="99"/>
      <c r="AK740" s="99"/>
      <c r="AL740" s="99"/>
      <c r="AM740" s="99"/>
    </row>
    <row r="741" ht="12.75" customHeight="1">
      <c r="A741" s="104"/>
      <c r="B741" s="104"/>
      <c r="C741" s="104"/>
      <c r="D741" s="110" t="s">
        <v>23</v>
      </c>
      <c r="G741" s="104"/>
      <c r="H741" s="104"/>
      <c r="I741" s="104"/>
      <c r="J741" s="111"/>
      <c r="K741" s="111"/>
      <c r="L741" s="105"/>
      <c r="M741" s="106"/>
      <c r="N741" s="105"/>
      <c r="O741" s="111"/>
      <c r="P741" s="111"/>
      <c r="Q741" s="111"/>
      <c r="R741" s="101"/>
      <c r="S741" s="101"/>
      <c r="T741" s="99"/>
      <c r="U741" s="99"/>
      <c r="V741" s="99"/>
      <c r="W741" s="99"/>
      <c r="X741" s="99"/>
      <c r="Y741" s="99"/>
      <c r="Z741" s="99"/>
      <c r="AA741" s="99"/>
      <c r="AB741" s="99"/>
      <c r="AC741" s="99"/>
      <c r="AD741" s="99"/>
      <c r="AE741" s="99"/>
      <c r="AF741" s="99"/>
      <c r="AG741" s="99"/>
      <c r="AH741" s="99"/>
      <c r="AI741" s="99"/>
      <c r="AJ741" s="99"/>
      <c r="AK741" s="99"/>
      <c r="AL741" s="99"/>
      <c r="AM741" s="99"/>
    </row>
    <row r="742" ht="12.75" customHeight="1">
      <c r="A742" s="104"/>
      <c r="B742" s="104"/>
      <c r="C742" s="104"/>
      <c r="D742" s="110" t="s">
        <v>24</v>
      </c>
      <c r="E742" s="110" t="s">
        <v>159</v>
      </c>
      <c r="G742" s="136">
        <v>16.0</v>
      </c>
      <c r="H742" s="136" t="s">
        <v>26</v>
      </c>
      <c r="I742" s="137">
        <v>500000.0</v>
      </c>
      <c r="J742" s="46">
        <f t="shared" ref="J742:J743" si="754">G742*I742</f>
        <v>8000000</v>
      </c>
      <c r="K742" s="46"/>
      <c r="L742" s="105"/>
      <c r="M742" s="138">
        <v>2400000.0</v>
      </c>
      <c r="N742" s="105"/>
      <c r="O742" s="46">
        <f t="shared" ref="O742:O743" si="755">J742-K742</f>
        <v>8000000</v>
      </c>
      <c r="P742" s="46">
        <f t="shared" ref="P742:P743" si="756">J742-M742</f>
        <v>5600000</v>
      </c>
      <c r="Q742" s="46">
        <v>8000000.0</v>
      </c>
      <c r="R742" s="101"/>
      <c r="S742" s="101"/>
      <c r="T742" s="99"/>
      <c r="U742" s="99"/>
      <c r="V742" s="99"/>
      <c r="W742" s="99"/>
      <c r="X742" s="99"/>
      <c r="Y742" s="99"/>
      <c r="Z742" s="99"/>
      <c r="AA742" s="99"/>
      <c r="AB742" s="99"/>
      <c r="AC742" s="99"/>
      <c r="AD742" s="99"/>
      <c r="AE742" s="99"/>
      <c r="AF742" s="99"/>
      <c r="AG742" s="99"/>
      <c r="AH742" s="99"/>
      <c r="AI742" s="99"/>
      <c r="AJ742" s="99"/>
      <c r="AK742" s="99"/>
      <c r="AL742" s="99"/>
      <c r="AM742" s="99"/>
    </row>
    <row r="743" ht="12.75" customHeight="1">
      <c r="A743" s="104"/>
      <c r="B743" s="104"/>
      <c r="C743" s="104"/>
      <c r="D743" s="110" t="s">
        <v>24</v>
      </c>
      <c r="E743" s="110" t="s">
        <v>230</v>
      </c>
      <c r="G743" s="136">
        <v>8.0</v>
      </c>
      <c r="H743" s="136" t="s">
        <v>26</v>
      </c>
      <c r="I743" s="137">
        <v>500000.0</v>
      </c>
      <c r="J743" s="46">
        <f t="shared" si="754"/>
        <v>4000000</v>
      </c>
      <c r="K743" s="46"/>
      <c r="L743" s="105"/>
      <c r="M743" s="106"/>
      <c r="N743" s="105"/>
      <c r="O743" s="46">
        <f t="shared" si="755"/>
        <v>4000000</v>
      </c>
      <c r="P743" s="46">
        <f t="shared" si="756"/>
        <v>4000000</v>
      </c>
      <c r="Q743" s="46">
        <v>4000000.0</v>
      </c>
      <c r="R743" s="101"/>
      <c r="S743" s="101"/>
      <c r="T743" s="99"/>
      <c r="U743" s="99"/>
      <c r="V743" s="99"/>
      <c r="W743" s="99"/>
      <c r="X743" s="99"/>
      <c r="Y743" s="99"/>
      <c r="Z743" s="99"/>
      <c r="AA743" s="99"/>
      <c r="AB743" s="99"/>
      <c r="AC743" s="99"/>
      <c r="AD743" s="99"/>
      <c r="AE743" s="99"/>
      <c r="AF743" s="99"/>
      <c r="AG743" s="99"/>
      <c r="AH743" s="99"/>
      <c r="AI743" s="99"/>
      <c r="AJ743" s="99"/>
      <c r="AK743" s="99"/>
      <c r="AL743" s="99"/>
      <c r="AM743" s="99"/>
    </row>
    <row r="744" ht="12.75" customHeight="1">
      <c r="A744" s="144" t="s">
        <v>37</v>
      </c>
      <c r="D744" s="144" t="s">
        <v>38</v>
      </c>
      <c r="G744" s="104"/>
      <c r="H744" s="128"/>
      <c r="I744" s="104"/>
      <c r="J744" s="129">
        <f t="shared" ref="J744:K744" si="757">J745+J750+J753</f>
        <v>24400000</v>
      </c>
      <c r="K744" s="43">
        <f t="shared" si="757"/>
        <v>0</v>
      </c>
      <c r="L744" s="105"/>
      <c r="M744" s="106"/>
      <c r="N744" s="105"/>
      <c r="O744" s="43">
        <f t="shared" ref="O744:P744" si="758">O745+O750+O753</f>
        <v>24400000</v>
      </c>
      <c r="P744" s="43">
        <f t="shared" si="758"/>
        <v>14743250</v>
      </c>
      <c r="Q744" s="43">
        <v>2.44E7</v>
      </c>
      <c r="R744" s="101"/>
      <c r="S744" s="101"/>
      <c r="T744" s="99"/>
      <c r="U744" s="99"/>
      <c r="V744" s="99"/>
      <c r="W744" s="99"/>
      <c r="X744" s="99"/>
      <c r="Y744" s="99"/>
      <c r="Z744" s="99"/>
      <c r="AA744" s="99"/>
      <c r="AB744" s="99"/>
      <c r="AC744" s="99"/>
      <c r="AD744" s="99"/>
      <c r="AE744" s="99"/>
      <c r="AF744" s="99"/>
      <c r="AG744" s="99"/>
      <c r="AH744" s="99"/>
      <c r="AI744" s="99"/>
      <c r="AJ744" s="99"/>
      <c r="AK744" s="99"/>
      <c r="AL744" s="99"/>
      <c r="AM744" s="99"/>
    </row>
    <row r="745" ht="12.75" customHeight="1">
      <c r="A745" s="110" t="s">
        <v>40</v>
      </c>
      <c r="D745" s="145" t="s">
        <v>22</v>
      </c>
      <c r="G745" s="104"/>
      <c r="H745" s="133"/>
      <c r="I745" s="104"/>
      <c r="J745" s="134">
        <f t="shared" ref="J745:K745" si="759">SUM(J747:J749)</f>
        <v>6400000</v>
      </c>
      <c r="K745" s="46">
        <f t="shared" si="759"/>
        <v>0</v>
      </c>
      <c r="L745" s="105"/>
      <c r="M745" s="106"/>
      <c r="N745" s="105"/>
      <c r="O745" s="46">
        <f t="shared" ref="O745:P745" si="760">SUM(O747:O749)</f>
        <v>6400000</v>
      </c>
      <c r="P745" s="46">
        <f t="shared" si="760"/>
        <v>3250000</v>
      </c>
      <c r="Q745" s="46">
        <v>6400000.0</v>
      </c>
      <c r="R745" s="101"/>
      <c r="S745" s="101"/>
      <c r="T745" s="99"/>
      <c r="U745" s="99"/>
      <c r="V745" s="99"/>
      <c r="W745" s="99"/>
      <c r="X745" s="99"/>
      <c r="Y745" s="99"/>
      <c r="Z745" s="99"/>
      <c r="AA745" s="99"/>
      <c r="AB745" s="99"/>
      <c r="AC745" s="99"/>
      <c r="AD745" s="99"/>
      <c r="AE745" s="99"/>
      <c r="AF745" s="99"/>
      <c r="AG745" s="99"/>
      <c r="AH745" s="99"/>
      <c r="AI745" s="99"/>
      <c r="AJ745" s="99"/>
      <c r="AK745" s="99"/>
      <c r="AL745" s="99"/>
      <c r="AM745" s="99"/>
    </row>
    <row r="746" ht="12.75" customHeight="1">
      <c r="A746" s="104"/>
      <c r="B746" s="104"/>
      <c r="C746" s="104"/>
      <c r="D746" s="110" t="s">
        <v>23</v>
      </c>
      <c r="G746" s="104"/>
      <c r="H746" s="104"/>
      <c r="I746" s="104"/>
      <c r="J746" s="111"/>
      <c r="K746" s="111"/>
      <c r="L746" s="105"/>
      <c r="M746" s="106"/>
      <c r="N746" s="105"/>
      <c r="O746" s="111"/>
      <c r="P746" s="111"/>
      <c r="Q746" s="111"/>
      <c r="R746" s="101"/>
      <c r="S746" s="101"/>
      <c r="T746" s="99"/>
      <c r="U746" s="99"/>
      <c r="V746" s="99"/>
      <c r="W746" s="99"/>
      <c r="X746" s="99"/>
      <c r="Y746" s="99"/>
      <c r="Z746" s="99"/>
      <c r="AA746" s="99"/>
      <c r="AB746" s="99"/>
      <c r="AC746" s="99"/>
      <c r="AD746" s="99"/>
      <c r="AE746" s="99"/>
      <c r="AF746" s="99"/>
      <c r="AG746" s="99"/>
      <c r="AH746" s="99"/>
      <c r="AI746" s="99"/>
      <c r="AJ746" s="99"/>
      <c r="AK746" s="99"/>
      <c r="AL746" s="99"/>
      <c r="AM746" s="99"/>
    </row>
    <row r="747" ht="12.75" customHeight="1">
      <c r="A747" s="104"/>
      <c r="B747" s="104"/>
      <c r="C747" s="104"/>
      <c r="D747" s="110" t="s">
        <v>24</v>
      </c>
      <c r="E747" s="110" t="s">
        <v>160</v>
      </c>
      <c r="G747" s="136">
        <v>100.0</v>
      </c>
      <c r="H747" s="136" t="s">
        <v>26</v>
      </c>
      <c r="I747" s="137">
        <v>53000.0</v>
      </c>
      <c r="J747" s="46">
        <f t="shared" ref="J747:J749" si="761">G747*I747</f>
        <v>5300000</v>
      </c>
      <c r="K747" s="46"/>
      <c r="L747" s="105"/>
      <c r="M747" s="138">
        <v>3150000.0</v>
      </c>
      <c r="N747" s="105"/>
      <c r="O747" s="46">
        <f t="shared" ref="O747:O749" si="762">J747-K747</f>
        <v>5300000</v>
      </c>
      <c r="P747" s="46">
        <f t="shared" ref="P747:P749" si="763">J747-M747</f>
        <v>2150000</v>
      </c>
      <c r="Q747" s="46">
        <v>5300000.0</v>
      </c>
      <c r="R747" s="101"/>
      <c r="S747" s="101"/>
      <c r="T747" s="99"/>
      <c r="U747" s="99"/>
      <c r="V747" s="99"/>
      <c r="W747" s="99"/>
      <c r="X747" s="99"/>
      <c r="Y747" s="99"/>
      <c r="Z747" s="99"/>
      <c r="AA747" s="99"/>
      <c r="AB747" s="99"/>
      <c r="AC747" s="99"/>
      <c r="AD747" s="99"/>
      <c r="AE747" s="99"/>
      <c r="AF747" s="99"/>
      <c r="AG747" s="99"/>
      <c r="AH747" s="99"/>
      <c r="AI747" s="99"/>
      <c r="AJ747" s="99"/>
      <c r="AK747" s="99"/>
      <c r="AL747" s="99"/>
      <c r="AM747" s="99"/>
    </row>
    <row r="748" ht="12.75" customHeight="1">
      <c r="A748" s="104"/>
      <c r="B748" s="104"/>
      <c r="C748" s="104"/>
      <c r="D748" s="110" t="s">
        <v>24</v>
      </c>
      <c r="E748" s="110" t="s">
        <v>42</v>
      </c>
      <c r="G748" s="136">
        <v>2.0</v>
      </c>
      <c r="H748" s="136" t="s">
        <v>26</v>
      </c>
      <c r="I748" s="137">
        <v>250000.0</v>
      </c>
      <c r="J748" s="46">
        <f t="shared" si="761"/>
        <v>500000</v>
      </c>
      <c r="K748" s="46"/>
      <c r="L748" s="105"/>
      <c r="M748" s="106"/>
      <c r="N748" s="105"/>
      <c r="O748" s="46">
        <f t="shared" si="762"/>
        <v>500000</v>
      </c>
      <c r="P748" s="46">
        <f t="shared" si="763"/>
        <v>500000</v>
      </c>
      <c r="Q748" s="46">
        <v>500000.0</v>
      </c>
      <c r="R748" s="101"/>
      <c r="S748" s="101"/>
      <c r="T748" s="99"/>
      <c r="U748" s="99"/>
      <c r="V748" s="99"/>
      <c r="W748" s="99"/>
      <c r="X748" s="99"/>
      <c r="Y748" s="99"/>
      <c r="Z748" s="99"/>
      <c r="AA748" s="99"/>
      <c r="AB748" s="99"/>
      <c r="AC748" s="99"/>
      <c r="AD748" s="99"/>
      <c r="AE748" s="99"/>
      <c r="AF748" s="99"/>
      <c r="AG748" s="99"/>
      <c r="AH748" s="99"/>
      <c r="AI748" s="99"/>
      <c r="AJ748" s="99"/>
      <c r="AK748" s="99"/>
      <c r="AL748" s="99"/>
      <c r="AM748" s="99"/>
    </row>
    <row r="749" ht="12.75" customHeight="1">
      <c r="A749" s="104"/>
      <c r="B749" s="104"/>
      <c r="C749" s="104"/>
      <c r="D749" s="110" t="s">
        <v>24</v>
      </c>
      <c r="E749" s="110" t="s">
        <v>43</v>
      </c>
      <c r="G749" s="136">
        <v>2.0</v>
      </c>
      <c r="H749" s="136" t="s">
        <v>26</v>
      </c>
      <c r="I749" s="137">
        <v>300000.0</v>
      </c>
      <c r="J749" s="46">
        <f t="shared" si="761"/>
        <v>600000</v>
      </c>
      <c r="K749" s="46"/>
      <c r="L749" s="105"/>
      <c r="M749" s="106"/>
      <c r="N749" s="105"/>
      <c r="O749" s="46">
        <f t="shared" si="762"/>
        <v>600000</v>
      </c>
      <c r="P749" s="46">
        <f t="shared" si="763"/>
        <v>600000</v>
      </c>
      <c r="Q749" s="46">
        <v>600000.0</v>
      </c>
      <c r="R749" s="101"/>
      <c r="S749" s="101"/>
      <c r="T749" s="99"/>
      <c r="U749" s="99"/>
      <c r="V749" s="99"/>
      <c r="W749" s="99"/>
      <c r="X749" s="99"/>
      <c r="Y749" s="99"/>
      <c r="Z749" s="99"/>
      <c r="AA749" s="99"/>
      <c r="AB749" s="99"/>
      <c r="AC749" s="99"/>
      <c r="AD749" s="99"/>
      <c r="AE749" s="99"/>
      <c r="AF749" s="99"/>
      <c r="AG749" s="99"/>
      <c r="AH749" s="99"/>
      <c r="AI749" s="99"/>
      <c r="AJ749" s="99"/>
      <c r="AK749" s="99"/>
      <c r="AL749" s="99"/>
      <c r="AM749" s="99"/>
    </row>
    <row r="750" ht="12.75" customHeight="1">
      <c r="A750" s="110" t="s">
        <v>44</v>
      </c>
      <c r="D750" s="145" t="s">
        <v>45</v>
      </c>
      <c r="G750" s="104"/>
      <c r="H750" s="133"/>
      <c r="I750" s="104"/>
      <c r="J750" s="134">
        <f t="shared" ref="J750:K750" si="764">J752</f>
        <v>2000000</v>
      </c>
      <c r="K750" s="46" t="str">
        <f t="shared" si="764"/>
        <v/>
      </c>
      <c r="L750" s="105"/>
      <c r="M750" s="106"/>
      <c r="N750" s="105"/>
      <c r="O750" s="46">
        <f t="shared" ref="O750:P750" si="765">O752</f>
        <v>2000000</v>
      </c>
      <c r="P750" s="46">
        <f t="shared" si="765"/>
        <v>2000000</v>
      </c>
      <c r="Q750" s="46">
        <v>2000000.0</v>
      </c>
      <c r="R750" s="101"/>
      <c r="S750" s="101"/>
      <c r="T750" s="99"/>
      <c r="U750" s="99"/>
      <c r="V750" s="99"/>
      <c r="W750" s="99"/>
      <c r="X750" s="99"/>
      <c r="Y750" s="99"/>
      <c r="Z750" s="99"/>
      <c r="AA750" s="99"/>
      <c r="AB750" s="99"/>
      <c r="AC750" s="99"/>
      <c r="AD750" s="99"/>
      <c r="AE750" s="99"/>
      <c r="AF750" s="99"/>
      <c r="AG750" s="99"/>
      <c r="AH750" s="99"/>
      <c r="AI750" s="99"/>
      <c r="AJ750" s="99"/>
      <c r="AK750" s="99"/>
      <c r="AL750" s="99"/>
      <c r="AM750" s="99"/>
    </row>
    <row r="751" ht="12.75" customHeight="1">
      <c r="A751" s="104"/>
      <c r="B751" s="104"/>
      <c r="C751" s="104"/>
      <c r="D751" s="110" t="s">
        <v>23</v>
      </c>
      <c r="G751" s="104"/>
      <c r="H751" s="104"/>
      <c r="I751" s="104"/>
      <c r="J751" s="111"/>
      <c r="K751" s="111"/>
      <c r="L751" s="105"/>
      <c r="M751" s="106"/>
      <c r="N751" s="105"/>
      <c r="O751" s="111"/>
      <c r="P751" s="111"/>
      <c r="Q751" s="111"/>
      <c r="R751" s="101"/>
      <c r="S751" s="101"/>
      <c r="T751" s="99"/>
      <c r="U751" s="99"/>
      <c r="V751" s="99"/>
      <c r="W751" s="99"/>
      <c r="X751" s="99"/>
      <c r="Y751" s="99"/>
      <c r="Z751" s="99"/>
      <c r="AA751" s="99"/>
      <c r="AB751" s="99"/>
      <c r="AC751" s="99"/>
      <c r="AD751" s="99"/>
      <c r="AE751" s="99"/>
      <c r="AF751" s="99"/>
      <c r="AG751" s="99"/>
      <c r="AH751" s="99"/>
      <c r="AI751" s="99"/>
      <c r="AJ751" s="99"/>
      <c r="AK751" s="99"/>
      <c r="AL751" s="99"/>
      <c r="AM751" s="99"/>
    </row>
    <row r="752" ht="12.75" customHeight="1">
      <c r="A752" s="104"/>
      <c r="B752" s="104"/>
      <c r="C752" s="104"/>
      <c r="D752" s="110" t="s">
        <v>24</v>
      </c>
      <c r="E752" s="110" t="s">
        <v>161</v>
      </c>
      <c r="G752" s="136">
        <v>4.0</v>
      </c>
      <c r="H752" s="136" t="s">
        <v>26</v>
      </c>
      <c r="I752" s="137">
        <v>500000.0</v>
      </c>
      <c r="J752" s="46">
        <f>G752*I752</f>
        <v>2000000</v>
      </c>
      <c r="K752" s="46"/>
      <c r="L752" s="105"/>
      <c r="M752" s="106"/>
      <c r="N752" s="105"/>
      <c r="O752" s="46">
        <f>J752-K752</f>
        <v>2000000</v>
      </c>
      <c r="P752" s="46">
        <f>J752-M752</f>
        <v>2000000</v>
      </c>
      <c r="Q752" s="46">
        <v>2000000.0</v>
      </c>
      <c r="R752" s="101"/>
      <c r="S752" s="101"/>
      <c r="T752" s="99"/>
      <c r="U752" s="99"/>
      <c r="V752" s="99"/>
      <c r="W752" s="99"/>
      <c r="X752" s="99"/>
      <c r="Y752" s="99"/>
      <c r="Z752" s="99"/>
      <c r="AA752" s="99"/>
      <c r="AB752" s="99"/>
      <c r="AC752" s="99"/>
      <c r="AD752" s="99"/>
      <c r="AE752" s="99"/>
      <c r="AF752" s="99"/>
      <c r="AG752" s="99"/>
      <c r="AH752" s="99"/>
      <c r="AI752" s="99"/>
      <c r="AJ752" s="99"/>
      <c r="AK752" s="99"/>
      <c r="AL752" s="99"/>
      <c r="AM752" s="99"/>
    </row>
    <row r="753" ht="12.75" customHeight="1">
      <c r="A753" s="110" t="s">
        <v>47</v>
      </c>
      <c r="D753" s="145" t="s">
        <v>48</v>
      </c>
      <c r="G753" s="104"/>
      <c r="H753" s="133"/>
      <c r="I753" s="104"/>
      <c r="J753" s="134">
        <f t="shared" ref="J753:K753" si="766">J755</f>
        <v>16000000</v>
      </c>
      <c r="K753" s="46" t="str">
        <f t="shared" si="766"/>
        <v/>
      </c>
      <c r="L753" s="105"/>
      <c r="M753" s="106"/>
      <c r="N753" s="105"/>
      <c r="O753" s="46">
        <f t="shared" ref="O753:P753" si="767">O755</f>
        <v>16000000</v>
      </c>
      <c r="P753" s="46">
        <f t="shared" si="767"/>
        <v>9493250</v>
      </c>
      <c r="Q753" s="46">
        <v>1.6E7</v>
      </c>
      <c r="R753" s="101"/>
      <c r="S753" s="101"/>
      <c r="T753" s="99"/>
      <c r="U753" s="99"/>
      <c r="V753" s="99"/>
      <c r="W753" s="99"/>
      <c r="X753" s="99"/>
      <c r="Y753" s="99"/>
      <c r="Z753" s="99"/>
      <c r="AA753" s="99"/>
      <c r="AB753" s="99"/>
      <c r="AC753" s="99"/>
      <c r="AD753" s="99"/>
      <c r="AE753" s="99"/>
      <c r="AF753" s="99"/>
      <c r="AG753" s="99"/>
      <c r="AH753" s="99"/>
      <c r="AI753" s="99"/>
      <c r="AJ753" s="99"/>
      <c r="AK753" s="99"/>
      <c r="AL753" s="99"/>
      <c r="AM753" s="99"/>
    </row>
    <row r="754" ht="12.75" customHeight="1">
      <c r="A754" s="104"/>
      <c r="B754" s="104"/>
      <c r="C754" s="104"/>
      <c r="D754" s="110" t="s">
        <v>23</v>
      </c>
      <c r="G754" s="104"/>
      <c r="H754" s="104"/>
      <c r="I754" s="104"/>
      <c r="J754" s="111"/>
      <c r="K754" s="111"/>
      <c r="L754" s="105"/>
      <c r="M754" s="106"/>
      <c r="N754" s="105"/>
      <c r="O754" s="111"/>
      <c r="P754" s="111"/>
      <c r="Q754" s="111"/>
      <c r="R754" s="101"/>
      <c r="S754" s="101"/>
      <c r="T754" s="99"/>
      <c r="U754" s="99"/>
      <c r="V754" s="99"/>
      <c r="W754" s="99"/>
      <c r="X754" s="99"/>
      <c r="Y754" s="99"/>
      <c r="Z754" s="99"/>
      <c r="AA754" s="99"/>
      <c r="AB754" s="99"/>
      <c r="AC754" s="99"/>
      <c r="AD754" s="99"/>
      <c r="AE754" s="99"/>
      <c r="AF754" s="99"/>
      <c r="AG754" s="99"/>
      <c r="AH754" s="99"/>
      <c r="AI754" s="99"/>
      <c r="AJ754" s="99"/>
      <c r="AK754" s="99"/>
      <c r="AL754" s="99"/>
      <c r="AM754" s="99"/>
    </row>
    <row r="755" ht="12.75" customHeight="1">
      <c r="A755" s="104"/>
      <c r="B755" s="104"/>
      <c r="C755" s="104"/>
      <c r="D755" s="110" t="s">
        <v>24</v>
      </c>
      <c r="E755" s="110" t="s">
        <v>162</v>
      </c>
      <c r="G755" s="136">
        <v>4.0</v>
      </c>
      <c r="H755" s="136" t="s">
        <v>26</v>
      </c>
      <c r="I755" s="137">
        <v>4000000.0</v>
      </c>
      <c r="J755" s="46">
        <f>G755*I755</f>
        <v>16000000</v>
      </c>
      <c r="K755" s="46"/>
      <c r="L755" s="105"/>
      <c r="M755" s="138">
        <v>6506750.0</v>
      </c>
      <c r="N755" s="105"/>
      <c r="O755" s="46">
        <f>J755-K755</f>
        <v>16000000</v>
      </c>
      <c r="P755" s="46">
        <f>J755-M755</f>
        <v>9493250</v>
      </c>
      <c r="Q755" s="46">
        <v>1.6E7</v>
      </c>
      <c r="R755" s="101"/>
      <c r="S755" s="101"/>
      <c r="T755" s="99"/>
      <c r="U755" s="99"/>
      <c r="V755" s="99"/>
      <c r="W755" s="99"/>
      <c r="X755" s="99"/>
      <c r="Y755" s="99"/>
      <c r="Z755" s="99"/>
      <c r="AA755" s="99"/>
      <c r="AB755" s="99"/>
      <c r="AC755" s="99"/>
      <c r="AD755" s="99"/>
      <c r="AE755" s="99"/>
      <c r="AF755" s="99"/>
      <c r="AG755" s="99"/>
      <c r="AH755" s="99"/>
      <c r="AI755" s="99"/>
      <c r="AJ755" s="99"/>
      <c r="AK755" s="99"/>
      <c r="AL755" s="99"/>
      <c r="AM755" s="99"/>
    </row>
    <row r="756" ht="12.75" customHeight="1">
      <c r="A756" s="144" t="s">
        <v>50</v>
      </c>
      <c r="D756" s="144" t="s">
        <v>51</v>
      </c>
      <c r="G756" s="104"/>
      <c r="H756" s="128"/>
      <c r="I756" s="104"/>
      <c r="J756" s="129">
        <f t="shared" ref="J756:K756" si="768">J757+J763+J766</f>
        <v>56050000</v>
      </c>
      <c r="K756" s="43">
        <f t="shared" si="768"/>
        <v>0</v>
      </c>
      <c r="L756" s="105"/>
      <c r="M756" s="106"/>
      <c r="N756" s="105"/>
      <c r="O756" s="43">
        <f t="shared" ref="O756:P756" si="769">O757+O763+O766</f>
        <v>56050000</v>
      </c>
      <c r="P756" s="43">
        <f t="shared" si="769"/>
        <v>41633750</v>
      </c>
      <c r="Q756" s="43">
        <v>5.605E7</v>
      </c>
      <c r="R756" s="101"/>
      <c r="S756" s="101"/>
      <c r="T756" s="99"/>
      <c r="U756" s="99"/>
      <c r="V756" s="99"/>
      <c r="W756" s="99"/>
      <c r="X756" s="99"/>
      <c r="Y756" s="99"/>
      <c r="Z756" s="99"/>
      <c r="AA756" s="99"/>
      <c r="AB756" s="99"/>
      <c r="AC756" s="99"/>
      <c r="AD756" s="99"/>
      <c r="AE756" s="99"/>
      <c r="AF756" s="99"/>
      <c r="AG756" s="99"/>
      <c r="AH756" s="99"/>
      <c r="AI756" s="99"/>
      <c r="AJ756" s="99"/>
      <c r="AK756" s="99"/>
      <c r="AL756" s="99"/>
      <c r="AM756" s="99"/>
    </row>
    <row r="757" ht="12.75" customHeight="1">
      <c r="A757" s="110" t="s">
        <v>40</v>
      </c>
      <c r="D757" s="145" t="s">
        <v>22</v>
      </c>
      <c r="G757" s="104"/>
      <c r="H757" s="133"/>
      <c r="I757" s="104"/>
      <c r="J757" s="134">
        <f t="shared" ref="J757:K757" si="770">SUM(J759:J762)</f>
        <v>38050000</v>
      </c>
      <c r="K757" s="46">
        <f t="shared" si="770"/>
        <v>0</v>
      </c>
      <c r="L757" s="105"/>
      <c r="M757" s="106"/>
      <c r="N757" s="105"/>
      <c r="O757" s="46">
        <f t="shared" ref="O757:P757" si="771">SUM(O759:O762)</f>
        <v>38050000</v>
      </c>
      <c r="P757" s="46">
        <f t="shared" si="771"/>
        <v>30140500</v>
      </c>
      <c r="Q757" s="46">
        <v>3.805E7</v>
      </c>
      <c r="R757" s="101"/>
      <c r="S757" s="101"/>
      <c r="T757" s="99"/>
      <c r="U757" s="99"/>
      <c r="V757" s="99"/>
      <c r="W757" s="99"/>
      <c r="X757" s="99"/>
      <c r="Y757" s="99"/>
      <c r="Z757" s="99"/>
      <c r="AA757" s="99"/>
      <c r="AB757" s="99"/>
      <c r="AC757" s="99"/>
      <c r="AD757" s="99"/>
      <c r="AE757" s="99"/>
      <c r="AF757" s="99"/>
      <c r="AG757" s="99"/>
      <c r="AH757" s="99"/>
      <c r="AI757" s="99"/>
      <c r="AJ757" s="99"/>
      <c r="AK757" s="99"/>
      <c r="AL757" s="99"/>
      <c r="AM757" s="99"/>
    </row>
    <row r="758" ht="12.75" customHeight="1">
      <c r="A758" s="104"/>
      <c r="B758" s="104"/>
      <c r="C758" s="104"/>
      <c r="D758" s="110" t="s">
        <v>23</v>
      </c>
      <c r="G758" s="104"/>
      <c r="H758" s="104"/>
      <c r="I758" s="104"/>
      <c r="J758" s="111"/>
      <c r="K758" s="111"/>
      <c r="L758" s="105"/>
      <c r="M758" s="106"/>
      <c r="N758" s="105"/>
      <c r="O758" s="111"/>
      <c r="P758" s="111"/>
      <c r="Q758" s="111"/>
      <c r="R758" s="101"/>
      <c r="S758" s="101"/>
      <c r="T758" s="99"/>
      <c r="U758" s="99"/>
      <c r="V758" s="99"/>
      <c r="W758" s="99"/>
      <c r="X758" s="99"/>
      <c r="Y758" s="99"/>
      <c r="Z758" s="99"/>
      <c r="AA758" s="99"/>
      <c r="AB758" s="99"/>
      <c r="AC758" s="99"/>
      <c r="AD758" s="99"/>
      <c r="AE758" s="99"/>
      <c r="AF758" s="99"/>
      <c r="AG758" s="99"/>
      <c r="AH758" s="99"/>
      <c r="AI758" s="99"/>
      <c r="AJ758" s="99"/>
      <c r="AK758" s="99"/>
      <c r="AL758" s="99"/>
      <c r="AM758" s="99"/>
    </row>
    <row r="759" ht="12.75" customHeight="1">
      <c r="A759" s="104"/>
      <c r="B759" s="104"/>
      <c r="C759" s="104"/>
      <c r="D759" s="110" t="s">
        <v>24</v>
      </c>
      <c r="E759" s="110" t="s">
        <v>163</v>
      </c>
      <c r="G759" s="136">
        <v>100.0</v>
      </c>
      <c r="H759" s="136" t="s">
        <v>26</v>
      </c>
      <c r="I759" s="137">
        <v>53000.0</v>
      </c>
      <c r="J759" s="46">
        <f t="shared" ref="J759:J762" si="772">G759*I759</f>
        <v>5300000</v>
      </c>
      <c r="K759" s="46"/>
      <c r="L759" s="105"/>
      <c r="M759" s="106"/>
      <c r="N759" s="105"/>
      <c r="O759" s="46">
        <f t="shared" ref="O759:O762" si="773">J759-K759</f>
        <v>5300000</v>
      </c>
      <c r="P759" s="46">
        <f t="shared" ref="P759:P762" si="774">J759-M759</f>
        <v>5300000</v>
      </c>
      <c r="Q759" s="46">
        <v>5300000.0</v>
      </c>
      <c r="R759" s="101"/>
      <c r="S759" s="101"/>
      <c r="T759" s="99"/>
      <c r="U759" s="99"/>
      <c r="V759" s="99"/>
      <c r="W759" s="99"/>
      <c r="X759" s="99"/>
      <c r="Y759" s="99"/>
      <c r="Z759" s="99"/>
      <c r="AA759" s="99"/>
      <c r="AB759" s="99"/>
      <c r="AC759" s="99"/>
      <c r="AD759" s="99"/>
      <c r="AE759" s="99"/>
      <c r="AF759" s="99"/>
      <c r="AG759" s="99"/>
      <c r="AH759" s="99"/>
      <c r="AI759" s="99"/>
      <c r="AJ759" s="99"/>
      <c r="AK759" s="99"/>
      <c r="AL759" s="99"/>
      <c r="AM759" s="99"/>
    </row>
    <row r="760" ht="12.75" customHeight="1">
      <c r="A760" s="104"/>
      <c r="B760" s="104"/>
      <c r="C760" s="104"/>
      <c r="D760" s="110" t="s">
        <v>24</v>
      </c>
      <c r="E760" s="110" t="s">
        <v>53</v>
      </c>
      <c r="G760" s="136">
        <v>5.0</v>
      </c>
      <c r="H760" s="136" t="s">
        <v>26</v>
      </c>
      <c r="I760" s="137">
        <v>500000.0</v>
      </c>
      <c r="J760" s="46">
        <f t="shared" si="772"/>
        <v>2500000</v>
      </c>
      <c r="K760" s="46"/>
      <c r="L760" s="105"/>
      <c r="M760" s="106"/>
      <c r="N760" s="105"/>
      <c r="O760" s="46">
        <f t="shared" si="773"/>
        <v>2500000</v>
      </c>
      <c r="P760" s="46">
        <f t="shared" si="774"/>
        <v>2500000</v>
      </c>
      <c r="Q760" s="46">
        <v>2500000.0</v>
      </c>
      <c r="R760" s="101"/>
      <c r="S760" s="101"/>
      <c r="T760" s="99"/>
      <c r="U760" s="99"/>
      <c r="V760" s="99"/>
      <c r="W760" s="99"/>
      <c r="X760" s="99"/>
      <c r="Y760" s="99"/>
      <c r="Z760" s="99"/>
      <c r="AA760" s="99"/>
      <c r="AB760" s="99"/>
      <c r="AC760" s="99"/>
      <c r="AD760" s="99"/>
      <c r="AE760" s="99"/>
      <c r="AF760" s="99"/>
      <c r="AG760" s="99"/>
      <c r="AH760" s="99"/>
      <c r="AI760" s="99"/>
      <c r="AJ760" s="99"/>
      <c r="AK760" s="99"/>
      <c r="AL760" s="99"/>
      <c r="AM760" s="99"/>
    </row>
    <row r="761" ht="12.75" customHeight="1">
      <c r="A761" s="104"/>
      <c r="B761" s="104"/>
      <c r="C761" s="104"/>
      <c r="D761" s="110" t="s">
        <v>24</v>
      </c>
      <c r="E761" s="110" t="s">
        <v>54</v>
      </c>
      <c r="G761" s="136">
        <v>1.0</v>
      </c>
      <c r="H761" s="136" t="s">
        <v>55</v>
      </c>
      <c r="I761" s="137">
        <v>250000.0</v>
      </c>
      <c r="J761" s="46">
        <f t="shared" si="772"/>
        <v>250000</v>
      </c>
      <c r="K761" s="46"/>
      <c r="L761" s="105"/>
      <c r="M761" s="106"/>
      <c r="N761" s="105"/>
      <c r="O761" s="46">
        <f t="shared" si="773"/>
        <v>250000</v>
      </c>
      <c r="P761" s="46">
        <f t="shared" si="774"/>
        <v>250000</v>
      </c>
      <c r="Q761" s="46">
        <v>250000.0</v>
      </c>
      <c r="R761" s="101"/>
      <c r="S761" s="101"/>
      <c r="T761" s="99"/>
      <c r="U761" s="99"/>
      <c r="V761" s="99"/>
      <c r="W761" s="99"/>
      <c r="X761" s="99"/>
      <c r="Y761" s="99"/>
      <c r="Z761" s="99"/>
      <c r="AA761" s="99"/>
      <c r="AB761" s="99"/>
      <c r="AC761" s="99"/>
      <c r="AD761" s="99"/>
      <c r="AE761" s="99"/>
      <c r="AF761" s="99"/>
      <c r="AG761" s="99"/>
      <c r="AH761" s="99"/>
      <c r="AI761" s="99"/>
      <c r="AJ761" s="99"/>
      <c r="AK761" s="99"/>
      <c r="AL761" s="99"/>
      <c r="AM761" s="99"/>
    </row>
    <row r="762" ht="12.75" customHeight="1">
      <c r="A762" s="104"/>
      <c r="B762" s="104"/>
      <c r="C762" s="104"/>
      <c r="D762" s="110" t="s">
        <v>24</v>
      </c>
      <c r="E762" s="110" t="s">
        <v>164</v>
      </c>
      <c r="G762" s="136">
        <v>100.0</v>
      </c>
      <c r="H762" s="136" t="s">
        <v>26</v>
      </c>
      <c r="I762" s="137">
        <v>300000.0</v>
      </c>
      <c r="J762" s="46">
        <f t="shared" si="772"/>
        <v>30000000</v>
      </c>
      <c r="K762" s="46"/>
      <c r="L762" s="105"/>
      <c r="M762" s="138">
        <v>7909500.0</v>
      </c>
      <c r="N762" s="105"/>
      <c r="O762" s="46">
        <f t="shared" si="773"/>
        <v>30000000</v>
      </c>
      <c r="P762" s="46">
        <f t="shared" si="774"/>
        <v>22090500</v>
      </c>
      <c r="Q762" s="46">
        <v>3.0E7</v>
      </c>
      <c r="R762" s="101"/>
      <c r="S762" s="101"/>
      <c r="T762" s="99"/>
      <c r="U762" s="99"/>
      <c r="V762" s="99"/>
      <c r="W762" s="99"/>
      <c r="X762" s="99"/>
      <c r="Y762" s="99"/>
      <c r="Z762" s="99"/>
      <c r="AA762" s="99"/>
      <c r="AB762" s="99"/>
      <c r="AC762" s="99"/>
      <c r="AD762" s="99"/>
      <c r="AE762" s="99"/>
      <c r="AF762" s="99"/>
      <c r="AG762" s="99"/>
      <c r="AH762" s="99"/>
      <c r="AI762" s="99"/>
      <c r="AJ762" s="99"/>
      <c r="AK762" s="99"/>
      <c r="AL762" s="99"/>
      <c r="AM762" s="99"/>
    </row>
    <row r="763" ht="12.75" customHeight="1">
      <c r="A763" s="110" t="s">
        <v>47</v>
      </c>
      <c r="D763" s="145" t="s">
        <v>48</v>
      </c>
      <c r="G763" s="104"/>
      <c r="H763" s="133"/>
      <c r="I763" s="104"/>
      <c r="J763" s="134">
        <f t="shared" ref="J763:K763" si="775">J765</f>
        <v>16000000</v>
      </c>
      <c r="K763" s="46" t="str">
        <f t="shared" si="775"/>
        <v/>
      </c>
      <c r="L763" s="105"/>
      <c r="M763" s="106"/>
      <c r="N763" s="105"/>
      <c r="O763" s="46">
        <f t="shared" ref="O763:P763" si="776">O765</f>
        <v>16000000</v>
      </c>
      <c r="P763" s="46">
        <f t="shared" si="776"/>
        <v>9493250</v>
      </c>
      <c r="Q763" s="46">
        <v>1.6E7</v>
      </c>
      <c r="R763" s="101"/>
      <c r="S763" s="101"/>
      <c r="T763" s="99"/>
      <c r="U763" s="99"/>
      <c r="V763" s="99"/>
      <c r="W763" s="99"/>
      <c r="X763" s="99"/>
      <c r="Y763" s="99"/>
      <c r="Z763" s="99"/>
      <c r="AA763" s="99"/>
      <c r="AB763" s="99"/>
      <c r="AC763" s="99"/>
      <c r="AD763" s="99"/>
      <c r="AE763" s="99"/>
      <c r="AF763" s="99"/>
      <c r="AG763" s="99"/>
      <c r="AH763" s="99"/>
      <c r="AI763" s="99"/>
      <c r="AJ763" s="99"/>
      <c r="AK763" s="99"/>
      <c r="AL763" s="99"/>
      <c r="AM763" s="99"/>
    </row>
    <row r="764" ht="12.75" customHeight="1">
      <c r="A764" s="104"/>
      <c r="B764" s="104"/>
      <c r="C764" s="104"/>
      <c r="D764" s="110" t="s">
        <v>23</v>
      </c>
      <c r="G764" s="104"/>
      <c r="H764" s="104"/>
      <c r="I764" s="104"/>
      <c r="J764" s="111"/>
      <c r="K764" s="111"/>
      <c r="L764" s="105"/>
      <c r="M764" s="106"/>
      <c r="N764" s="105"/>
      <c r="O764" s="111"/>
      <c r="P764" s="111"/>
      <c r="Q764" s="111"/>
      <c r="R764" s="101"/>
      <c r="S764" s="101"/>
      <c r="T764" s="99"/>
      <c r="U764" s="99"/>
      <c r="V764" s="99"/>
      <c r="W764" s="99"/>
      <c r="X764" s="99"/>
      <c r="Y764" s="99"/>
      <c r="Z764" s="99"/>
      <c r="AA764" s="99"/>
      <c r="AB764" s="99"/>
      <c r="AC764" s="99"/>
      <c r="AD764" s="99"/>
      <c r="AE764" s="99"/>
      <c r="AF764" s="99"/>
      <c r="AG764" s="99"/>
      <c r="AH764" s="99"/>
      <c r="AI764" s="99"/>
      <c r="AJ764" s="99"/>
      <c r="AK764" s="99"/>
      <c r="AL764" s="99"/>
      <c r="AM764" s="99"/>
    </row>
    <row r="765" ht="12.75" customHeight="1">
      <c r="A765" s="104"/>
      <c r="B765" s="104"/>
      <c r="C765" s="104"/>
      <c r="D765" s="110" t="s">
        <v>24</v>
      </c>
      <c r="E765" s="110" t="s">
        <v>165</v>
      </c>
      <c r="G765" s="136">
        <v>4.0</v>
      </c>
      <c r="H765" s="136" t="s">
        <v>26</v>
      </c>
      <c r="I765" s="137">
        <v>4000000.0</v>
      </c>
      <c r="J765" s="46">
        <f>G765*I765</f>
        <v>16000000</v>
      </c>
      <c r="K765" s="46"/>
      <c r="L765" s="105"/>
      <c r="M765" s="138">
        <v>6506750.0</v>
      </c>
      <c r="N765" s="105"/>
      <c r="O765" s="46">
        <f>J765-K765</f>
        <v>16000000</v>
      </c>
      <c r="P765" s="46">
        <f>J765-M765</f>
        <v>9493250</v>
      </c>
      <c r="Q765" s="46">
        <v>1.6E7</v>
      </c>
      <c r="R765" s="101"/>
      <c r="S765" s="101"/>
      <c r="T765" s="99"/>
      <c r="U765" s="99"/>
      <c r="V765" s="99"/>
      <c r="W765" s="99"/>
      <c r="X765" s="99"/>
      <c r="Y765" s="99"/>
      <c r="Z765" s="99"/>
      <c r="AA765" s="99"/>
      <c r="AB765" s="99"/>
      <c r="AC765" s="99"/>
      <c r="AD765" s="99"/>
      <c r="AE765" s="99"/>
      <c r="AF765" s="99"/>
      <c r="AG765" s="99"/>
      <c r="AH765" s="99"/>
      <c r="AI765" s="99"/>
      <c r="AJ765" s="99"/>
      <c r="AK765" s="99"/>
      <c r="AL765" s="99"/>
      <c r="AM765" s="99"/>
    </row>
    <row r="766" ht="12.75" customHeight="1">
      <c r="A766" s="110" t="s">
        <v>58</v>
      </c>
      <c r="D766" s="145" t="s">
        <v>34</v>
      </c>
      <c r="G766" s="104"/>
      <c r="H766" s="133"/>
      <c r="I766" s="104"/>
      <c r="J766" s="134">
        <f t="shared" ref="J766:K766" si="777">J768</f>
        <v>2000000</v>
      </c>
      <c r="K766" s="46" t="str">
        <f t="shared" si="777"/>
        <v/>
      </c>
      <c r="L766" s="105"/>
      <c r="M766" s="106"/>
      <c r="N766" s="105"/>
      <c r="O766" s="46">
        <f t="shared" ref="O766:P766" si="778">O768</f>
        <v>2000000</v>
      </c>
      <c r="P766" s="46">
        <f t="shared" si="778"/>
        <v>2000000</v>
      </c>
      <c r="Q766" s="46">
        <v>2000000.0</v>
      </c>
      <c r="R766" s="101"/>
      <c r="S766" s="101"/>
      <c r="T766" s="99"/>
      <c r="U766" s="99"/>
      <c r="V766" s="99"/>
      <c r="W766" s="99"/>
      <c r="X766" s="99"/>
      <c r="Y766" s="99"/>
      <c r="Z766" s="99"/>
      <c r="AA766" s="99"/>
      <c r="AB766" s="99"/>
      <c r="AC766" s="99"/>
      <c r="AD766" s="99"/>
      <c r="AE766" s="99"/>
      <c r="AF766" s="99"/>
      <c r="AG766" s="99"/>
      <c r="AH766" s="99"/>
      <c r="AI766" s="99"/>
      <c r="AJ766" s="99"/>
      <c r="AK766" s="99"/>
      <c r="AL766" s="99"/>
      <c r="AM766" s="99"/>
    </row>
    <row r="767" ht="12.75" customHeight="1">
      <c r="A767" s="104"/>
      <c r="B767" s="104"/>
      <c r="C767" s="104"/>
      <c r="D767" s="110" t="s">
        <v>23</v>
      </c>
      <c r="G767" s="104"/>
      <c r="H767" s="104"/>
      <c r="I767" s="104"/>
      <c r="J767" s="111"/>
      <c r="K767" s="111"/>
      <c r="L767" s="105"/>
      <c r="M767" s="106"/>
      <c r="N767" s="105"/>
      <c r="O767" s="111"/>
      <c r="P767" s="111"/>
      <c r="Q767" s="111"/>
      <c r="R767" s="101"/>
      <c r="S767" s="101"/>
      <c r="T767" s="99"/>
      <c r="U767" s="99"/>
      <c r="V767" s="99"/>
      <c r="W767" s="99"/>
      <c r="X767" s="99"/>
      <c r="Y767" s="99"/>
      <c r="Z767" s="99"/>
      <c r="AA767" s="99"/>
      <c r="AB767" s="99"/>
      <c r="AC767" s="99"/>
      <c r="AD767" s="99"/>
      <c r="AE767" s="99"/>
      <c r="AF767" s="99"/>
      <c r="AG767" s="99"/>
      <c r="AH767" s="99"/>
      <c r="AI767" s="99"/>
      <c r="AJ767" s="99"/>
      <c r="AK767" s="99"/>
      <c r="AL767" s="99"/>
      <c r="AM767" s="99"/>
    </row>
    <row r="768" ht="12.75" customHeight="1">
      <c r="A768" s="104"/>
      <c r="B768" s="104"/>
      <c r="C768" s="104"/>
      <c r="D768" s="110" t="s">
        <v>24</v>
      </c>
      <c r="E768" s="110" t="s">
        <v>59</v>
      </c>
      <c r="G768" s="136">
        <v>4.0</v>
      </c>
      <c r="H768" s="136" t="s">
        <v>26</v>
      </c>
      <c r="I768" s="137">
        <v>500000.0</v>
      </c>
      <c r="J768" s="46">
        <f>G768*I768</f>
        <v>2000000</v>
      </c>
      <c r="K768" s="46"/>
      <c r="L768" s="105"/>
      <c r="M768" s="106"/>
      <c r="N768" s="105"/>
      <c r="O768" s="46">
        <f>J768-K768</f>
        <v>2000000</v>
      </c>
      <c r="P768" s="46">
        <f>J768-M768</f>
        <v>2000000</v>
      </c>
      <c r="Q768" s="46">
        <v>2000000.0</v>
      </c>
      <c r="R768" s="101"/>
      <c r="S768" s="101"/>
      <c r="T768" s="99"/>
      <c r="U768" s="99"/>
      <c r="V768" s="99"/>
      <c r="W768" s="99"/>
      <c r="X768" s="99"/>
      <c r="Y768" s="99"/>
      <c r="Z768" s="99"/>
      <c r="AA768" s="99"/>
      <c r="AB768" s="99"/>
      <c r="AC768" s="99"/>
      <c r="AD768" s="99"/>
      <c r="AE768" s="99"/>
      <c r="AF768" s="99"/>
      <c r="AG768" s="99"/>
      <c r="AH768" s="99"/>
      <c r="AI768" s="99"/>
      <c r="AJ768" s="99"/>
      <c r="AK768" s="99"/>
      <c r="AL768" s="99"/>
      <c r="AM768" s="99"/>
    </row>
    <row r="769" ht="12.75" customHeight="1">
      <c r="A769" s="144" t="s">
        <v>60</v>
      </c>
      <c r="D769" s="144" t="s">
        <v>61</v>
      </c>
      <c r="G769" s="104"/>
      <c r="H769" s="128"/>
      <c r="I769" s="104"/>
      <c r="J769" s="129">
        <f t="shared" ref="J769:K769" si="779">J770+J773+J777+J780+J783</f>
        <v>220800000</v>
      </c>
      <c r="K769" s="43">
        <f t="shared" si="779"/>
        <v>0</v>
      </c>
      <c r="L769" s="105"/>
      <c r="M769" s="106"/>
      <c r="N769" s="105"/>
      <c r="O769" s="43">
        <f t="shared" ref="O769:P769" si="780">O770+O773+O777+O780+O783</f>
        <v>220800000</v>
      </c>
      <c r="P769" s="43">
        <f t="shared" si="780"/>
        <v>79342940</v>
      </c>
      <c r="Q769" s="43">
        <v>2.208E8</v>
      </c>
      <c r="R769" s="101"/>
      <c r="S769" s="101"/>
      <c r="T769" s="99"/>
      <c r="U769" s="99"/>
      <c r="V769" s="99"/>
      <c r="W769" s="99"/>
      <c r="X769" s="99"/>
      <c r="Y769" s="99"/>
      <c r="Z769" s="99"/>
      <c r="AA769" s="99"/>
      <c r="AB769" s="99"/>
      <c r="AC769" s="99"/>
      <c r="AD769" s="99"/>
      <c r="AE769" s="99"/>
      <c r="AF769" s="99"/>
      <c r="AG769" s="99"/>
      <c r="AH769" s="99"/>
      <c r="AI769" s="99"/>
      <c r="AJ769" s="99"/>
      <c r="AK769" s="99"/>
      <c r="AL769" s="99"/>
      <c r="AM769" s="99"/>
    </row>
    <row r="770" ht="12.75" customHeight="1">
      <c r="A770" s="110" t="s">
        <v>40</v>
      </c>
      <c r="D770" s="145" t="s">
        <v>22</v>
      </c>
      <c r="G770" s="104"/>
      <c r="H770" s="133"/>
      <c r="I770" s="104"/>
      <c r="J770" s="134">
        <f t="shared" ref="J770:K770" si="781">J772</f>
        <v>31800000</v>
      </c>
      <c r="K770" s="46" t="str">
        <f t="shared" si="781"/>
        <v/>
      </c>
      <c r="L770" s="105"/>
      <c r="M770" s="106"/>
      <c r="N770" s="105"/>
      <c r="O770" s="46">
        <f t="shared" ref="O770:P770" si="782">O772</f>
        <v>31800000</v>
      </c>
      <c r="P770" s="46">
        <f t="shared" si="782"/>
        <v>30677940</v>
      </c>
      <c r="Q770" s="46">
        <v>3.18E7</v>
      </c>
      <c r="R770" s="101"/>
      <c r="S770" s="101"/>
      <c r="T770" s="99"/>
      <c r="U770" s="99"/>
      <c r="V770" s="99"/>
      <c r="W770" s="99"/>
      <c r="X770" s="99"/>
      <c r="Y770" s="99"/>
      <c r="Z770" s="99"/>
      <c r="AA770" s="99"/>
      <c r="AB770" s="99"/>
      <c r="AC770" s="99"/>
      <c r="AD770" s="99"/>
      <c r="AE770" s="99"/>
      <c r="AF770" s="99"/>
      <c r="AG770" s="99"/>
      <c r="AH770" s="99"/>
      <c r="AI770" s="99"/>
      <c r="AJ770" s="99"/>
      <c r="AK770" s="99"/>
      <c r="AL770" s="99"/>
      <c r="AM770" s="99"/>
    </row>
    <row r="771" ht="12.75" customHeight="1">
      <c r="A771" s="104"/>
      <c r="B771" s="104"/>
      <c r="C771" s="104"/>
      <c r="D771" s="110" t="s">
        <v>23</v>
      </c>
      <c r="G771" s="104"/>
      <c r="H771" s="104"/>
      <c r="I771" s="104"/>
      <c r="J771" s="111"/>
      <c r="K771" s="111"/>
      <c r="L771" s="105"/>
      <c r="M771" s="106"/>
      <c r="N771" s="105"/>
      <c r="O771" s="111"/>
      <c r="P771" s="111"/>
      <c r="Q771" s="111"/>
      <c r="R771" s="101"/>
      <c r="S771" s="101"/>
      <c r="T771" s="99"/>
      <c r="U771" s="99"/>
      <c r="V771" s="99"/>
      <c r="W771" s="99"/>
      <c r="X771" s="99"/>
      <c r="Y771" s="99"/>
      <c r="Z771" s="99"/>
      <c r="AA771" s="99"/>
      <c r="AB771" s="99"/>
      <c r="AC771" s="99"/>
      <c r="AD771" s="99"/>
      <c r="AE771" s="99"/>
      <c r="AF771" s="99"/>
      <c r="AG771" s="99"/>
      <c r="AH771" s="99"/>
      <c r="AI771" s="99"/>
      <c r="AJ771" s="99"/>
      <c r="AK771" s="99"/>
      <c r="AL771" s="99"/>
      <c r="AM771" s="99"/>
    </row>
    <row r="772" ht="15.75" customHeight="1">
      <c r="A772" s="104"/>
      <c r="B772" s="104"/>
      <c r="C772" s="104"/>
      <c r="D772" s="110" t="s">
        <v>24</v>
      </c>
      <c r="E772" s="110" t="s">
        <v>166</v>
      </c>
      <c r="G772" s="136">
        <v>600.0</v>
      </c>
      <c r="H772" s="136" t="s">
        <v>26</v>
      </c>
      <c r="I772" s="137">
        <v>53000.0</v>
      </c>
      <c r="J772" s="46">
        <f>G772*I772</f>
        <v>31800000</v>
      </c>
      <c r="K772" s="46"/>
      <c r="L772" s="105"/>
      <c r="M772" s="138">
        <v>1122060.0</v>
      </c>
      <c r="N772" s="105"/>
      <c r="O772" s="46">
        <f>J772-K772</f>
        <v>31800000</v>
      </c>
      <c r="P772" s="46">
        <f>J772-M772</f>
        <v>30677940</v>
      </c>
      <c r="Q772" s="46">
        <v>3.18E7</v>
      </c>
      <c r="R772" s="101"/>
      <c r="S772" s="101"/>
      <c r="T772" s="99"/>
      <c r="U772" s="99"/>
      <c r="V772" s="99"/>
      <c r="W772" s="99"/>
      <c r="X772" s="99"/>
      <c r="Y772" s="99"/>
      <c r="Z772" s="99"/>
      <c r="AA772" s="99"/>
      <c r="AB772" s="99"/>
      <c r="AC772" s="99"/>
      <c r="AD772" s="99"/>
      <c r="AE772" s="99"/>
      <c r="AF772" s="99"/>
      <c r="AG772" s="99"/>
      <c r="AH772" s="99"/>
      <c r="AI772" s="99"/>
      <c r="AJ772" s="99"/>
      <c r="AK772" s="99"/>
      <c r="AL772" s="99"/>
      <c r="AM772" s="99"/>
    </row>
    <row r="773" ht="12.75" customHeight="1">
      <c r="A773" s="110" t="s">
        <v>63</v>
      </c>
      <c r="D773" s="145" t="s">
        <v>64</v>
      </c>
      <c r="G773" s="104"/>
      <c r="H773" s="133"/>
      <c r="I773" s="104"/>
      <c r="J773" s="134">
        <f t="shared" ref="J773:K773" si="783">SUM(J775:J776)</f>
        <v>115000000</v>
      </c>
      <c r="K773" s="46">
        <f t="shared" si="783"/>
        <v>0</v>
      </c>
      <c r="L773" s="105"/>
      <c r="M773" s="106"/>
      <c r="N773" s="105"/>
      <c r="O773" s="46">
        <f t="shared" ref="O773:P773" si="784">SUM(O775:O776)</f>
        <v>115000000</v>
      </c>
      <c r="P773" s="46">
        <f t="shared" si="784"/>
        <v>11465000</v>
      </c>
      <c r="Q773" s="46">
        <v>1.15E8</v>
      </c>
      <c r="R773" s="101"/>
      <c r="S773" s="101"/>
      <c r="T773" s="99"/>
      <c r="U773" s="99"/>
      <c r="V773" s="99"/>
      <c r="W773" s="99"/>
      <c r="X773" s="99"/>
      <c r="Y773" s="99"/>
      <c r="Z773" s="99"/>
      <c r="AA773" s="99"/>
      <c r="AB773" s="99"/>
      <c r="AC773" s="99"/>
      <c r="AD773" s="99"/>
      <c r="AE773" s="99"/>
      <c r="AF773" s="99"/>
      <c r="AG773" s="99"/>
      <c r="AH773" s="99"/>
      <c r="AI773" s="99"/>
      <c r="AJ773" s="99"/>
      <c r="AK773" s="99"/>
      <c r="AL773" s="99"/>
      <c r="AM773" s="99"/>
    </row>
    <row r="774" ht="12.75" customHeight="1">
      <c r="A774" s="104"/>
      <c r="B774" s="104"/>
      <c r="C774" s="104"/>
      <c r="D774" s="110" t="s">
        <v>23</v>
      </c>
      <c r="G774" s="104"/>
      <c r="H774" s="104"/>
      <c r="I774" s="104"/>
      <c r="J774" s="111"/>
      <c r="K774" s="111"/>
      <c r="L774" s="105"/>
      <c r="M774" s="106"/>
      <c r="N774" s="105"/>
      <c r="O774" s="111"/>
      <c r="P774" s="111"/>
      <c r="Q774" s="111"/>
      <c r="R774" s="101"/>
      <c r="S774" s="101"/>
      <c r="T774" s="99"/>
      <c r="U774" s="99"/>
      <c r="V774" s="99"/>
      <c r="W774" s="99"/>
      <c r="X774" s="99"/>
      <c r="Y774" s="99"/>
      <c r="Z774" s="99"/>
      <c r="AA774" s="99"/>
      <c r="AB774" s="99"/>
      <c r="AC774" s="99"/>
      <c r="AD774" s="99"/>
      <c r="AE774" s="99"/>
      <c r="AF774" s="99"/>
      <c r="AG774" s="99"/>
      <c r="AH774" s="99"/>
      <c r="AI774" s="99"/>
      <c r="AJ774" s="99"/>
      <c r="AK774" s="99"/>
      <c r="AL774" s="99"/>
      <c r="AM774" s="99"/>
    </row>
    <row r="775" ht="15.75" customHeight="1">
      <c r="A775" s="104"/>
      <c r="B775" s="104"/>
      <c r="C775" s="104"/>
      <c r="D775" s="110" t="s">
        <v>24</v>
      </c>
      <c r="E775" s="110" t="s">
        <v>289</v>
      </c>
      <c r="G775" s="136">
        <v>1.0</v>
      </c>
      <c r="H775" s="136" t="s">
        <v>97</v>
      </c>
      <c r="I775" s="137">
        <v>9.5E7</v>
      </c>
      <c r="J775" s="46">
        <f t="shared" ref="J775:J776" si="785">G775*I775</f>
        <v>95000000</v>
      </c>
      <c r="K775" s="46"/>
      <c r="L775" s="105"/>
      <c r="M775" s="138">
        <v>9.143E7</v>
      </c>
      <c r="N775" s="105"/>
      <c r="O775" s="46">
        <f t="shared" ref="O775:O776" si="786">J775-K775</f>
        <v>95000000</v>
      </c>
      <c r="P775" s="46">
        <f t="shared" ref="P775:P776" si="787">J775-M775</f>
        <v>3570000</v>
      </c>
      <c r="Q775" s="46">
        <v>9.5E7</v>
      </c>
      <c r="R775" s="101"/>
      <c r="S775" s="101"/>
      <c r="T775" s="99"/>
      <c r="U775" s="99"/>
      <c r="V775" s="99"/>
      <c r="W775" s="99"/>
      <c r="X775" s="99"/>
      <c r="Y775" s="99"/>
      <c r="Z775" s="99"/>
      <c r="AA775" s="99"/>
      <c r="AB775" s="99"/>
      <c r="AC775" s="99"/>
      <c r="AD775" s="99"/>
      <c r="AE775" s="99"/>
      <c r="AF775" s="99"/>
      <c r="AG775" s="99"/>
      <c r="AH775" s="99"/>
      <c r="AI775" s="99"/>
      <c r="AJ775" s="99"/>
      <c r="AK775" s="99"/>
      <c r="AL775" s="99"/>
      <c r="AM775" s="99"/>
    </row>
    <row r="776" ht="12.75" customHeight="1">
      <c r="A776" s="104"/>
      <c r="B776" s="104"/>
      <c r="C776" s="104"/>
      <c r="D776" s="110" t="s">
        <v>24</v>
      </c>
      <c r="E776" s="110" t="s">
        <v>167</v>
      </c>
      <c r="G776" s="136">
        <v>100.0</v>
      </c>
      <c r="H776" s="136" t="s">
        <v>26</v>
      </c>
      <c r="I776" s="137">
        <v>200000.0</v>
      </c>
      <c r="J776" s="46">
        <f t="shared" si="785"/>
        <v>20000000</v>
      </c>
      <c r="K776" s="46"/>
      <c r="L776" s="105"/>
      <c r="M776" s="138">
        <v>1.2105E7</v>
      </c>
      <c r="N776" s="105"/>
      <c r="O776" s="46">
        <f t="shared" si="786"/>
        <v>20000000</v>
      </c>
      <c r="P776" s="46">
        <f t="shared" si="787"/>
        <v>7895000</v>
      </c>
      <c r="Q776" s="46">
        <v>2.0E7</v>
      </c>
      <c r="R776" s="101"/>
      <c r="S776" s="101"/>
      <c r="T776" s="99"/>
      <c r="U776" s="99"/>
      <c r="V776" s="99"/>
      <c r="W776" s="99"/>
      <c r="X776" s="99"/>
      <c r="Y776" s="99"/>
      <c r="Z776" s="99"/>
      <c r="AA776" s="99"/>
      <c r="AB776" s="99"/>
      <c r="AC776" s="99"/>
      <c r="AD776" s="99"/>
      <c r="AE776" s="99"/>
      <c r="AF776" s="99"/>
      <c r="AG776" s="99"/>
      <c r="AH776" s="99"/>
      <c r="AI776" s="99"/>
      <c r="AJ776" s="99"/>
      <c r="AK776" s="99"/>
      <c r="AL776" s="99"/>
      <c r="AM776" s="99"/>
    </row>
    <row r="777" ht="12.75" customHeight="1">
      <c r="A777" s="110" t="s">
        <v>68</v>
      </c>
      <c r="D777" s="145" t="s">
        <v>69</v>
      </c>
      <c r="G777" s="104"/>
      <c r="H777" s="133"/>
      <c r="I777" s="104"/>
      <c r="J777" s="134">
        <f t="shared" ref="J777:K777" si="788">J779</f>
        <v>10000000</v>
      </c>
      <c r="K777" s="46" t="str">
        <f t="shared" si="788"/>
        <v/>
      </c>
      <c r="L777" s="105"/>
      <c r="M777" s="106"/>
      <c r="N777" s="105"/>
      <c r="O777" s="46">
        <f t="shared" ref="O777:P777" si="789">O779</f>
        <v>10000000</v>
      </c>
      <c r="P777" s="46">
        <f t="shared" si="789"/>
        <v>10000000</v>
      </c>
      <c r="Q777" s="46">
        <v>1.0E7</v>
      </c>
      <c r="R777" s="101"/>
      <c r="S777" s="101"/>
      <c r="T777" s="99"/>
      <c r="U777" s="99"/>
      <c r="V777" s="99"/>
      <c r="W777" s="99"/>
      <c r="X777" s="99"/>
      <c r="Y777" s="99"/>
      <c r="Z777" s="99"/>
      <c r="AA777" s="99"/>
      <c r="AB777" s="99"/>
      <c r="AC777" s="99"/>
      <c r="AD777" s="99"/>
      <c r="AE777" s="99"/>
      <c r="AF777" s="99"/>
      <c r="AG777" s="99"/>
      <c r="AH777" s="99"/>
      <c r="AI777" s="99"/>
      <c r="AJ777" s="99"/>
      <c r="AK777" s="99"/>
      <c r="AL777" s="99"/>
      <c r="AM777" s="99"/>
    </row>
    <row r="778" ht="12.75" customHeight="1">
      <c r="A778" s="104"/>
      <c r="B778" s="104"/>
      <c r="C778" s="104"/>
      <c r="D778" s="110" t="s">
        <v>23</v>
      </c>
      <c r="G778" s="104"/>
      <c r="H778" s="104"/>
      <c r="I778" s="104"/>
      <c r="J778" s="111"/>
      <c r="K778" s="111"/>
      <c r="L778" s="105"/>
      <c r="M778" s="106"/>
      <c r="N778" s="105"/>
      <c r="O778" s="111"/>
      <c r="P778" s="111"/>
      <c r="Q778" s="111"/>
      <c r="R778" s="101"/>
      <c r="S778" s="101"/>
      <c r="T778" s="99"/>
      <c r="U778" s="99"/>
      <c r="V778" s="99"/>
      <c r="W778" s="99"/>
      <c r="X778" s="99"/>
      <c r="Y778" s="99"/>
      <c r="Z778" s="99"/>
      <c r="AA778" s="99"/>
      <c r="AB778" s="99"/>
      <c r="AC778" s="99"/>
      <c r="AD778" s="99"/>
      <c r="AE778" s="99"/>
      <c r="AF778" s="99"/>
      <c r="AG778" s="99"/>
      <c r="AH778" s="99"/>
      <c r="AI778" s="99"/>
      <c r="AJ778" s="99"/>
      <c r="AK778" s="99"/>
      <c r="AL778" s="99"/>
      <c r="AM778" s="99"/>
    </row>
    <row r="779" ht="12.75" customHeight="1">
      <c r="A779" s="104"/>
      <c r="B779" s="104"/>
      <c r="C779" s="104"/>
      <c r="D779" s="110" t="s">
        <v>24</v>
      </c>
      <c r="E779" s="110" t="s">
        <v>70</v>
      </c>
      <c r="G779" s="136">
        <v>20.0</v>
      </c>
      <c r="H779" s="136" t="s">
        <v>26</v>
      </c>
      <c r="I779" s="137">
        <v>500000.0</v>
      </c>
      <c r="J779" s="46">
        <f>G779*I779</f>
        <v>10000000</v>
      </c>
      <c r="K779" s="46"/>
      <c r="L779" s="105"/>
      <c r="M779" s="106"/>
      <c r="N779" s="105"/>
      <c r="O779" s="46">
        <f>J779-K779</f>
        <v>10000000</v>
      </c>
      <c r="P779" s="46">
        <f>J779-M779</f>
        <v>10000000</v>
      </c>
      <c r="Q779" s="46">
        <v>1.0E7</v>
      </c>
      <c r="R779" s="101"/>
      <c r="S779" s="101"/>
      <c r="T779" s="99"/>
      <c r="U779" s="99"/>
      <c r="V779" s="99"/>
      <c r="W779" s="99"/>
      <c r="X779" s="99"/>
      <c r="Y779" s="99"/>
      <c r="Z779" s="99"/>
      <c r="AA779" s="99"/>
      <c r="AB779" s="99"/>
      <c r="AC779" s="99"/>
      <c r="AD779" s="99"/>
      <c r="AE779" s="99"/>
      <c r="AF779" s="99"/>
      <c r="AG779" s="99"/>
      <c r="AH779" s="99"/>
      <c r="AI779" s="99"/>
      <c r="AJ779" s="99"/>
      <c r="AK779" s="99"/>
      <c r="AL779" s="99"/>
      <c r="AM779" s="99"/>
    </row>
    <row r="780" ht="12.75" customHeight="1">
      <c r="A780" s="110" t="s">
        <v>47</v>
      </c>
      <c r="D780" s="145" t="s">
        <v>48</v>
      </c>
      <c r="G780" s="104"/>
      <c r="H780" s="133"/>
      <c r="I780" s="104"/>
      <c r="J780" s="134">
        <f t="shared" ref="J780:K780" si="790">J782</f>
        <v>16000000</v>
      </c>
      <c r="K780" s="46" t="str">
        <f t="shared" si="790"/>
        <v/>
      </c>
      <c r="L780" s="105"/>
      <c r="M780" s="106"/>
      <c r="N780" s="105"/>
      <c r="O780" s="46">
        <f t="shared" ref="O780:P780" si="791">O782</f>
        <v>16000000</v>
      </c>
      <c r="P780" s="46">
        <f t="shared" si="791"/>
        <v>16000000</v>
      </c>
      <c r="Q780" s="46">
        <v>1.6E7</v>
      </c>
      <c r="R780" s="101"/>
      <c r="S780" s="101"/>
      <c r="T780" s="99"/>
      <c r="U780" s="99"/>
      <c r="V780" s="99"/>
      <c r="W780" s="99"/>
      <c r="X780" s="99"/>
      <c r="Y780" s="99"/>
      <c r="Z780" s="99"/>
      <c r="AA780" s="99"/>
      <c r="AB780" s="99"/>
      <c r="AC780" s="99"/>
      <c r="AD780" s="99"/>
      <c r="AE780" s="99"/>
      <c r="AF780" s="99"/>
      <c r="AG780" s="99"/>
      <c r="AH780" s="99"/>
      <c r="AI780" s="99"/>
      <c r="AJ780" s="99"/>
      <c r="AK780" s="99"/>
      <c r="AL780" s="99"/>
      <c r="AM780" s="99"/>
    </row>
    <row r="781" ht="12.75" customHeight="1">
      <c r="A781" s="104"/>
      <c r="B781" s="104"/>
      <c r="C781" s="104"/>
      <c r="D781" s="110" t="s">
        <v>23</v>
      </c>
      <c r="G781" s="104"/>
      <c r="H781" s="104"/>
      <c r="I781" s="104"/>
      <c r="J781" s="111"/>
      <c r="K781" s="111"/>
      <c r="L781" s="105"/>
      <c r="M781" s="106"/>
      <c r="N781" s="105"/>
      <c r="O781" s="111"/>
      <c r="P781" s="111"/>
      <c r="Q781" s="111"/>
      <c r="R781" s="101"/>
      <c r="S781" s="101"/>
      <c r="T781" s="99"/>
      <c r="U781" s="99"/>
      <c r="V781" s="99"/>
      <c r="W781" s="99"/>
      <c r="X781" s="99"/>
      <c r="Y781" s="99"/>
      <c r="Z781" s="99"/>
      <c r="AA781" s="99"/>
      <c r="AB781" s="99"/>
      <c r="AC781" s="99"/>
      <c r="AD781" s="99"/>
      <c r="AE781" s="99"/>
      <c r="AF781" s="99"/>
      <c r="AG781" s="99"/>
      <c r="AH781" s="99"/>
      <c r="AI781" s="99"/>
      <c r="AJ781" s="99"/>
      <c r="AK781" s="99"/>
      <c r="AL781" s="99"/>
      <c r="AM781" s="99"/>
    </row>
    <row r="782" ht="12.75" customHeight="1">
      <c r="A782" s="104"/>
      <c r="B782" s="104"/>
      <c r="C782" s="104"/>
      <c r="D782" s="110" t="s">
        <v>24</v>
      </c>
      <c r="E782" s="110" t="s">
        <v>165</v>
      </c>
      <c r="G782" s="136">
        <v>4.0</v>
      </c>
      <c r="H782" s="136" t="s">
        <v>26</v>
      </c>
      <c r="I782" s="137">
        <v>4000000.0</v>
      </c>
      <c r="J782" s="46">
        <f>G782*I782</f>
        <v>16000000</v>
      </c>
      <c r="K782" s="46"/>
      <c r="L782" s="105"/>
      <c r="M782" s="106"/>
      <c r="N782" s="105"/>
      <c r="O782" s="46">
        <f>J782-K782</f>
        <v>16000000</v>
      </c>
      <c r="P782" s="46">
        <f>J782-M782</f>
        <v>16000000</v>
      </c>
      <c r="Q782" s="46">
        <v>1.6E7</v>
      </c>
      <c r="R782" s="101"/>
      <c r="S782" s="101"/>
      <c r="T782" s="99"/>
      <c r="U782" s="99"/>
      <c r="V782" s="99"/>
      <c r="W782" s="99"/>
      <c r="X782" s="99"/>
      <c r="Y782" s="99"/>
      <c r="Z782" s="99"/>
      <c r="AA782" s="99"/>
      <c r="AB782" s="99"/>
      <c r="AC782" s="99"/>
      <c r="AD782" s="99"/>
      <c r="AE782" s="99"/>
      <c r="AF782" s="99"/>
      <c r="AG782" s="99"/>
      <c r="AH782" s="99"/>
      <c r="AI782" s="99"/>
      <c r="AJ782" s="99"/>
      <c r="AK782" s="99"/>
      <c r="AL782" s="99"/>
      <c r="AM782" s="99"/>
    </row>
    <row r="783" ht="12.75" customHeight="1">
      <c r="A783" s="110" t="s">
        <v>58</v>
      </c>
      <c r="D783" s="145" t="s">
        <v>34</v>
      </c>
      <c r="G783" s="104"/>
      <c r="H783" s="133"/>
      <c r="I783" s="104"/>
      <c r="J783" s="134">
        <f t="shared" ref="J783:K783" si="792">J785</f>
        <v>48000000</v>
      </c>
      <c r="K783" s="46" t="str">
        <f t="shared" si="792"/>
        <v/>
      </c>
      <c r="L783" s="105"/>
      <c r="M783" s="106"/>
      <c r="N783" s="105"/>
      <c r="O783" s="46">
        <f t="shared" ref="O783:P783" si="793">O785</f>
        <v>48000000</v>
      </c>
      <c r="P783" s="46">
        <f t="shared" si="793"/>
        <v>11200000</v>
      </c>
      <c r="Q783" s="46">
        <v>4.8E7</v>
      </c>
      <c r="R783" s="101"/>
      <c r="S783" s="101"/>
      <c r="T783" s="99"/>
      <c r="U783" s="99"/>
      <c r="V783" s="99"/>
      <c r="W783" s="99"/>
      <c r="X783" s="99"/>
      <c r="Y783" s="99"/>
      <c r="Z783" s="99"/>
      <c r="AA783" s="99"/>
      <c r="AB783" s="99"/>
      <c r="AC783" s="99"/>
      <c r="AD783" s="99"/>
      <c r="AE783" s="99"/>
      <c r="AF783" s="99"/>
      <c r="AG783" s="99"/>
      <c r="AH783" s="99"/>
      <c r="AI783" s="99"/>
      <c r="AJ783" s="99"/>
      <c r="AK783" s="99"/>
      <c r="AL783" s="99"/>
      <c r="AM783" s="99"/>
    </row>
    <row r="784" ht="12.75" customHeight="1">
      <c r="A784" s="104"/>
      <c r="B784" s="104"/>
      <c r="C784" s="104"/>
      <c r="D784" s="110" t="s">
        <v>23</v>
      </c>
      <c r="G784" s="104"/>
      <c r="H784" s="104"/>
      <c r="I784" s="104"/>
      <c r="J784" s="111"/>
      <c r="K784" s="111"/>
      <c r="L784" s="105"/>
      <c r="M784" s="106"/>
      <c r="N784" s="105"/>
      <c r="O784" s="111"/>
      <c r="P784" s="111"/>
      <c r="Q784" s="111"/>
      <c r="R784" s="101"/>
      <c r="S784" s="101"/>
      <c r="T784" s="99"/>
      <c r="U784" s="99"/>
      <c r="V784" s="99"/>
      <c r="W784" s="99"/>
      <c r="X784" s="99"/>
      <c r="Y784" s="99"/>
      <c r="Z784" s="99"/>
      <c r="AA784" s="99"/>
      <c r="AB784" s="99"/>
      <c r="AC784" s="99"/>
      <c r="AD784" s="99"/>
      <c r="AE784" s="99"/>
      <c r="AF784" s="99"/>
      <c r="AG784" s="99"/>
      <c r="AH784" s="99"/>
      <c r="AI784" s="99"/>
      <c r="AJ784" s="99"/>
      <c r="AK784" s="99"/>
      <c r="AL784" s="99"/>
      <c r="AM784" s="99"/>
    </row>
    <row r="785" ht="15.75" customHeight="1">
      <c r="A785" s="104"/>
      <c r="B785" s="104"/>
      <c r="C785" s="104"/>
      <c r="D785" s="110" t="s">
        <v>24</v>
      </c>
      <c r="E785" s="110" t="s">
        <v>71</v>
      </c>
      <c r="G785" s="136">
        <v>96.0</v>
      </c>
      <c r="H785" s="136" t="s">
        <v>26</v>
      </c>
      <c r="I785" s="137">
        <v>500000.0</v>
      </c>
      <c r="J785" s="46">
        <f>G785*I785</f>
        <v>48000000</v>
      </c>
      <c r="K785" s="46"/>
      <c r="L785" s="105"/>
      <c r="M785" s="138">
        <v>3.68E7</v>
      </c>
      <c r="N785" s="105"/>
      <c r="O785" s="46">
        <f>J785-K785</f>
        <v>48000000</v>
      </c>
      <c r="P785" s="46">
        <f>J785-M785</f>
        <v>11200000</v>
      </c>
      <c r="Q785" s="46">
        <v>4.8E7</v>
      </c>
      <c r="R785" s="101"/>
      <c r="S785" s="101"/>
      <c r="T785" s="99"/>
      <c r="U785" s="99"/>
      <c r="V785" s="99"/>
      <c r="W785" s="99"/>
      <c r="X785" s="99"/>
      <c r="Y785" s="99"/>
      <c r="Z785" s="99"/>
      <c r="AA785" s="99"/>
      <c r="AB785" s="99"/>
      <c r="AC785" s="99"/>
      <c r="AD785" s="99"/>
      <c r="AE785" s="99"/>
      <c r="AF785" s="99"/>
      <c r="AG785" s="99"/>
      <c r="AH785" s="99"/>
      <c r="AI785" s="99"/>
      <c r="AJ785" s="99"/>
      <c r="AK785" s="99"/>
      <c r="AL785" s="99"/>
      <c r="AM785" s="99"/>
    </row>
    <row r="786" ht="12.75" customHeight="1">
      <c r="A786" s="144" t="s">
        <v>72</v>
      </c>
      <c r="D786" s="144" t="s">
        <v>73</v>
      </c>
      <c r="G786" s="104"/>
      <c r="H786" s="128"/>
      <c r="I786" s="104"/>
      <c r="J786" s="129">
        <f t="shared" ref="J786:K786" si="794">J787+J792</f>
        <v>151200000</v>
      </c>
      <c r="K786" s="43">
        <f t="shared" si="794"/>
        <v>0</v>
      </c>
      <c r="L786" s="105"/>
      <c r="M786" s="106"/>
      <c r="N786" s="105"/>
      <c r="O786" s="43">
        <f t="shared" ref="O786:P786" si="795">O787+O792</f>
        <v>151200000</v>
      </c>
      <c r="P786" s="43">
        <f t="shared" si="795"/>
        <v>150600000</v>
      </c>
      <c r="Q786" s="43">
        <v>1.512E8</v>
      </c>
      <c r="R786" s="101"/>
      <c r="S786" s="101"/>
      <c r="T786" s="99"/>
      <c r="U786" s="99"/>
      <c r="V786" s="99"/>
      <c r="W786" s="99"/>
      <c r="X786" s="99"/>
      <c r="Y786" s="99"/>
      <c r="Z786" s="99"/>
      <c r="AA786" s="99"/>
      <c r="AB786" s="99"/>
      <c r="AC786" s="99"/>
      <c r="AD786" s="99"/>
      <c r="AE786" s="99"/>
      <c r="AF786" s="99"/>
      <c r="AG786" s="99"/>
      <c r="AH786" s="99"/>
      <c r="AI786" s="99"/>
      <c r="AJ786" s="99"/>
      <c r="AK786" s="99"/>
      <c r="AL786" s="99"/>
      <c r="AM786" s="99"/>
    </row>
    <row r="787" ht="12.75" customHeight="1">
      <c r="A787" s="110" t="s">
        <v>74</v>
      </c>
      <c r="D787" s="145" t="s">
        <v>75</v>
      </c>
      <c r="G787" s="104"/>
      <c r="H787" s="133"/>
      <c r="I787" s="104"/>
      <c r="J787" s="134">
        <f t="shared" ref="J787:K787" si="796">SUM(J789:J791)</f>
        <v>142700000</v>
      </c>
      <c r="K787" s="46">
        <f t="shared" si="796"/>
        <v>0</v>
      </c>
      <c r="L787" s="105"/>
      <c r="M787" s="106"/>
      <c r="N787" s="105"/>
      <c r="O787" s="46">
        <f t="shared" ref="O787:P787" si="797">SUM(O789:O791)</f>
        <v>142700000</v>
      </c>
      <c r="P787" s="46">
        <f t="shared" si="797"/>
        <v>142700000</v>
      </c>
      <c r="Q787" s="46">
        <v>1.427E8</v>
      </c>
      <c r="R787" s="101"/>
      <c r="S787" s="101"/>
      <c r="T787" s="99"/>
      <c r="U787" s="99"/>
      <c r="V787" s="99"/>
      <c r="W787" s="99"/>
      <c r="X787" s="99"/>
      <c r="Y787" s="99"/>
      <c r="Z787" s="99"/>
      <c r="AA787" s="99"/>
      <c r="AB787" s="99"/>
      <c r="AC787" s="99"/>
      <c r="AD787" s="99"/>
      <c r="AE787" s="99"/>
      <c r="AF787" s="99"/>
      <c r="AG787" s="99"/>
      <c r="AH787" s="99"/>
      <c r="AI787" s="99"/>
      <c r="AJ787" s="99"/>
      <c r="AK787" s="99"/>
      <c r="AL787" s="99"/>
      <c r="AM787" s="99"/>
    </row>
    <row r="788" ht="12.75" customHeight="1">
      <c r="A788" s="104"/>
      <c r="B788" s="104"/>
      <c r="C788" s="104"/>
      <c r="D788" s="110" t="s">
        <v>23</v>
      </c>
      <c r="G788" s="104"/>
      <c r="H788" s="104"/>
      <c r="I788" s="104"/>
      <c r="J788" s="111"/>
      <c r="K788" s="111"/>
      <c r="L788" s="105"/>
      <c r="M788" s="106"/>
      <c r="N788" s="105"/>
      <c r="O788" s="111"/>
      <c r="P788" s="111"/>
      <c r="Q788" s="111"/>
      <c r="R788" s="101"/>
      <c r="S788" s="101"/>
      <c r="T788" s="99"/>
      <c r="U788" s="99"/>
      <c r="V788" s="99"/>
      <c r="W788" s="99"/>
      <c r="X788" s="99"/>
      <c r="Y788" s="99"/>
      <c r="Z788" s="99"/>
      <c r="AA788" s="99"/>
      <c r="AB788" s="99"/>
      <c r="AC788" s="99"/>
      <c r="AD788" s="99"/>
      <c r="AE788" s="99"/>
      <c r="AF788" s="99"/>
      <c r="AG788" s="99"/>
      <c r="AH788" s="99"/>
      <c r="AI788" s="99"/>
      <c r="AJ788" s="99"/>
      <c r="AK788" s="99"/>
      <c r="AL788" s="99"/>
      <c r="AM788" s="99"/>
    </row>
    <row r="789" ht="12.75" customHeight="1">
      <c r="A789" s="104"/>
      <c r="B789" s="104"/>
      <c r="C789" s="104"/>
      <c r="D789" s="110" t="s">
        <v>24</v>
      </c>
      <c r="E789" s="110" t="s">
        <v>76</v>
      </c>
      <c r="G789" s="136">
        <v>20.0</v>
      </c>
      <c r="H789" s="136" t="s">
        <v>26</v>
      </c>
      <c r="I789" s="137">
        <v>5000000.0</v>
      </c>
      <c r="J789" s="46">
        <f t="shared" ref="J789:J791" si="798">G789*I789</f>
        <v>100000000</v>
      </c>
      <c r="K789" s="46"/>
      <c r="L789" s="105"/>
      <c r="M789" s="106"/>
      <c r="N789" s="105"/>
      <c r="O789" s="46">
        <f t="shared" ref="O789:O791" si="799">J789-K789</f>
        <v>100000000</v>
      </c>
      <c r="P789" s="46">
        <f t="shared" ref="P789:P791" si="800">J789-M789</f>
        <v>100000000</v>
      </c>
      <c r="Q789" s="46">
        <v>1.0E8</v>
      </c>
      <c r="R789" s="101"/>
      <c r="S789" s="101"/>
      <c r="T789" s="99"/>
      <c r="U789" s="99"/>
      <c r="V789" s="99"/>
      <c r="W789" s="99"/>
      <c r="X789" s="99"/>
      <c r="Y789" s="99"/>
      <c r="Z789" s="99"/>
      <c r="AA789" s="99"/>
      <c r="AB789" s="99"/>
      <c r="AC789" s="99"/>
      <c r="AD789" s="99"/>
      <c r="AE789" s="99"/>
      <c r="AF789" s="99"/>
      <c r="AG789" s="99"/>
      <c r="AH789" s="99"/>
      <c r="AI789" s="99"/>
      <c r="AJ789" s="99"/>
      <c r="AK789" s="99"/>
      <c r="AL789" s="99"/>
      <c r="AM789" s="99"/>
    </row>
    <row r="790" ht="15.75" customHeight="1">
      <c r="A790" s="104"/>
      <c r="B790" s="104"/>
      <c r="C790" s="104"/>
      <c r="D790" s="110" t="s">
        <v>24</v>
      </c>
      <c r="E790" s="110" t="s">
        <v>77</v>
      </c>
      <c r="G790" s="136">
        <v>30.0</v>
      </c>
      <c r="H790" s="136" t="s">
        <v>26</v>
      </c>
      <c r="I790" s="137">
        <v>850000.0</v>
      </c>
      <c r="J790" s="46">
        <f t="shared" si="798"/>
        <v>25500000</v>
      </c>
      <c r="K790" s="46"/>
      <c r="L790" s="105"/>
      <c r="M790" s="106"/>
      <c r="N790" s="105"/>
      <c r="O790" s="46">
        <f t="shared" si="799"/>
        <v>25500000</v>
      </c>
      <c r="P790" s="46">
        <f t="shared" si="800"/>
        <v>25500000</v>
      </c>
      <c r="Q790" s="46">
        <v>2.55E7</v>
      </c>
      <c r="R790" s="101"/>
      <c r="S790" s="101"/>
      <c r="T790" s="99"/>
      <c r="U790" s="99"/>
      <c r="V790" s="99"/>
      <c r="W790" s="99"/>
      <c r="X790" s="99"/>
      <c r="Y790" s="99"/>
      <c r="Z790" s="99"/>
      <c r="AA790" s="99"/>
      <c r="AB790" s="99"/>
      <c r="AC790" s="99"/>
      <c r="AD790" s="99"/>
      <c r="AE790" s="99"/>
      <c r="AF790" s="99"/>
      <c r="AG790" s="99"/>
      <c r="AH790" s="99"/>
      <c r="AI790" s="99"/>
      <c r="AJ790" s="99"/>
      <c r="AK790" s="99"/>
      <c r="AL790" s="99"/>
      <c r="AM790" s="99"/>
    </row>
    <row r="791" ht="12.75" customHeight="1">
      <c r="A791" s="104"/>
      <c r="B791" s="104"/>
      <c r="C791" s="104"/>
      <c r="D791" s="110" t="s">
        <v>24</v>
      </c>
      <c r="E791" s="110" t="s">
        <v>78</v>
      </c>
      <c r="G791" s="136">
        <v>40.0</v>
      </c>
      <c r="H791" s="136" t="s">
        <v>26</v>
      </c>
      <c r="I791" s="137">
        <v>430000.0</v>
      </c>
      <c r="J791" s="46">
        <f t="shared" si="798"/>
        <v>17200000</v>
      </c>
      <c r="K791" s="46"/>
      <c r="L791" s="105"/>
      <c r="M791" s="106"/>
      <c r="N791" s="105"/>
      <c r="O791" s="46">
        <f t="shared" si="799"/>
        <v>17200000</v>
      </c>
      <c r="P791" s="46">
        <f t="shared" si="800"/>
        <v>17200000</v>
      </c>
      <c r="Q791" s="46">
        <v>1.72E7</v>
      </c>
      <c r="R791" s="101"/>
      <c r="S791" s="101"/>
      <c r="T791" s="99"/>
      <c r="U791" s="99"/>
      <c r="V791" s="99"/>
      <c r="W791" s="99"/>
      <c r="X791" s="99"/>
      <c r="Y791" s="99"/>
      <c r="Z791" s="99"/>
      <c r="AA791" s="99"/>
      <c r="AB791" s="99"/>
      <c r="AC791" s="99"/>
      <c r="AD791" s="99"/>
      <c r="AE791" s="99"/>
      <c r="AF791" s="99"/>
      <c r="AG791" s="99"/>
      <c r="AH791" s="99"/>
      <c r="AI791" s="99"/>
      <c r="AJ791" s="99"/>
      <c r="AK791" s="99"/>
      <c r="AL791" s="99"/>
      <c r="AM791" s="99"/>
    </row>
    <row r="792" ht="12.75" customHeight="1">
      <c r="A792" s="110" t="s">
        <v>79</v>
      </c>
      <c r="D792" s="145" t="s">
        <v>80</v>
      </c>
      <c r="G792" s="104"/>
      <c r="H792" s="133"/>
      <c r="I792" s="104"/>
      <c r="J792" s="134">
        <f t="shared" ref="J792:K792" si="801">J794</f>
        <v>8500000</v>
      </c>
      <c r="K792" s="46" t="str">
        <f t="shared" si="801"/>
        <v/>
      </c>
      <c r="L792" s="105"/>
      <c r="M792" s="106"/>
      <c r="N792" s="105"/>
      <c r="O792" s="46">
        <f t="shared" ref="O792:P792" si="802">O794</f>
        <v>8500000</v>
      </c>
      <c r="P792" s="46">
        <f t="shared" si="802"/>
        <v>7900000</v>
      </c>
      <c r="Q792" s="46">
        <v>8500000.0</v>
      </c>
      <c r="R792" s="101"/>
      <c r="S792" s="101"/>
      <c r="T792" s="99"/>
      <c r="U792" s="99"/>
      <c r="V792" s="99"/>
      <c r="W792" s="99"/>
      <c r="X792" s="99"/>
      <c r="Y792" s="99"/>
      <c r="Z792" s="99"/>
      <c r="AA792" s="99"/>
      <c r="AB792" s="99"/>
      <c r="AC792" s="99"/>
      <c r="AD792" s="99"/>
      <c r="AE792" s="99"/>
      <c r="AF792" s="99"/>
      <c r="AG792" s="99"/>
      <c r="AH792" s="99"/>
      <c r="AI792" s="99"/>
      <c r="AJ792" s="99"/>
      <c r="AK792" s="99"/>
      <c r="AL792" s="99"/>
      <c r="AM792" s="99"/>
    </row>
    <row r="793" ht="12.75" customHeight="1">
      <c r="A793" s="104"/>
      <c r="B793" s="104"/>
      <c r="C793" s="104"/>
      <c r="D793" s="110" t="s">
        <v>23</v>
      </c>
      <c r="G793" s="104"/>
      <c r="H793" s="104"/>
      <c r="I793" s="104"/>
      <c r="J793" s="111"/>
      <c r="K793" s="111"/>
      <c r="L793" s="105"/>
      <c r="M793" s="106"/>
      <c r="N793" s="105"/>
      <c r="O793" s="111"/>
      <c r="P793" s="111"/>
      <c r="Q793" s="111"/>
      <c r="R793" s="101"/>
      <c r="S793" s="101"/>
      <c r="T793" s="99"/>
      <c r="U793" s="99"/>
      <c r="V793" s="99"/>
      <c r="W793" s="99"/>
      <c r="X793" s="99"/>
      <c r="Y793" s="99"/>
      <c r="Z793" s="99"/>
      <c r="AA793" s="99"/>
      <c r="AB793" s="99"/>
      <c r="AC793" s="99"/>
      <c r="AD793" s="99"/>
      <c r="AE793" s="99"/>
      <c r="AF793" s="99"/>
      <c r="AG793" s="99"/>
      <c r="AH793" s="99"/>
      <c r="AI793" s="99"/>
      <c r="AJ793" s="99"/>
      <c r="AK793" s="99"/>
      <c r="AL793" s="99"/>
      <c r="AM793" s="99"/>
    </row>
    <row r="794" ht="12.75" customHeight="1">
      <c r="A794" s="104"/>
      <c r="B794" s="104"/>
      <c r="C794" s="104"/>
      <c r="D794" s="110" t="s">
        <v>24</v>
      </c>
      <c r="E794" s="110" t="s">
        <v>81</v>
      </c>
      <c r="G794" s="136">
        <v>50.0</v>
      </c>
      <c r="H794" s="136" t="s">
        <v>26</v>
      </c>
      <c r="I794" s="137">
        <v>170000.0</v>
      </c>
      <c r="J794" s="46">
        <f>G794*I794</f>
        <v>8500000</v>
      </c>
      <c r="K794" s="46"/>
      <c r="L794" s="105"/>
      <c r="M794" s="138">
        <v>600000.0</v>
      </c>
      <c r="N794" s="105"/>
      <c r="O794" s="46">
        <f>J794-K794</f>
        <v>8500000</v>
      </c>
      <c r="P794" s="46">
        <f>J794-M794</f>
        <v>7900000</v>
      </c>
      <c r="Q794" s="46">
        <v>8500000.0</v>
      </c>
      <c r="R794" s="101"/>
      <c r="S794" s="101"/>
      <c r="T794" s="99"/>
      <c r="U794" s="99"/>
      <c r="V794" s="99"/>
      <c r="W794" s="99"/>
      <c r="X794" s="99"/>
      <c r="Y794" s="99"/>
      <c r="Z794" s="99"/>
      <c r="AA794" s="99"/>
      <c r="AB794" s="99"/>
      <c r="AC794" s="99"/>
      <c r="AD794" s="99"/>
      <c r="AE794" s="99"/>
      <c r="AF794" s="99"/>
      <c r="AG794" s="99"/>
      <c r="AH794" s="99"/>
      <c r="AI794" s="99"/>
      <c r="AJ794" s="99"/>
      <c r="AK794" s="99"/>
      <c r="AL794" s="99"/>
      <c r="AM794" s="99"/>
    </row>
    <row r="795" ht="12.75" customHeight="1">
      <c r="A795" s="144" t="s">
        <v>82</v>
      </c>
      <c r="D795" s="144" t="s">
        <v>83</v>
      </c>
      <c r="G795" s="104"/>
      <c r="H795" s="128"/>
      <c r="I795" s="104"/>
      <c r="J795" s="129">
        <f t="shared" ref="J795:K795" si="803">J796+J801</f>
        <v>1434000000</v>
      </c>
      <c r="K795" s="43">
        <f t="shared" si="803"/>
        <v>110895000</v>
      </c>
      <c r="L795" s="105"/>
      <c r="M795" s="106"/>
      <c r="N795" s="105"/>
      <c r="O795" s="43">
        <f t="shared" ref="O795:P795" si="804">O796+O801</f>
        <v>1323105000</v>
      </c>
      <c r="P795" s="43">
        <f t="shared" si="804"/>
        <v>1423904750</v>
      </c>
      <c r="Q795" s="43">
        <v>1.434E9</v>
      </c>
      <c r="R795" s="101"/>
      <c r="S795" s="101"/>
      <c r="T795" s="99"/>
      <c r="U795" s="99"/>
      <c r="V795" s="99"/>
      <c r="W795" s="99"/>
      <c r="X795" s="99"/>
      <c r="Y795" s="99"/>
      <c r="Z795" s="99"/>
      <c r="AA795" s="99"/>
      <c r="AB795" s="99"/>
      <c r="AC795" s="99"/>
      <c r="AD795" s="99"/>
      <c r="AE795" s="99"/>
      <c r="AF795" s="99"/>
      <c r="AG795" s="99"/>
      <c r="AH795" s="99"/>
      <c r="AI795" s="99"/>
      <c r="AJ795" s="99"/>
      <c r="AK795" s="99"/>
      <c r="AL795" s="99"/>
      <c r="AM795" s="99"/>
    </row>
    <row r="796" ht="12.75" customHeight="1">
      <c r="A796" s="110" t="s">
        <v>84</v>
      </c>
      <c r="D796" s="145" t="s">
        <v>85</v>
      </c>
      <c r="G796" s="104"/>
      <c r="H796" s="133"/>
      <c r="I796" s="104"/>
      <c r="J796" s="134">
        <f t="shared" ref="J796:K796" si="805">SUM(J798:J800)</f>
        <v>1320000000</v>
      </c>
      <c r="K796" s="46">
        <f t="shared" si="805"/>
        <v>110895000</v>
      </c>
      <c r="L796" s="105"/>
      <c r="M796" s="106"/>
      <c r="N796" s="105"/>
      <c r="O796" s="46">
        <f t="shared" ref="O796:P796" si="806">SUM(O798:O800)</f>
        <v>1209105000</v>
      </c>
      <c r="P796" s="46">
        <f t="shared" si="806"/>
        <v>1314000000</v>
      </c>
      <c r="Q796" s="46">
        <v>1.32E9</v>
      </c>
      <c r="R796" s="101"/>
      <c r="S796" s="101"/>
      <c r="T796" s="99"/>
      <c r="U796" s="99"/>
      <c r="V796" s="99"/>
      <c r="W796" s="99"/>
      <c r="X796" s="99"/>
      <c r="Y796" s="99"/>
      <c r="Z796" s="99"/>
      <c r="AA796" s="99"/>
      <c r="AB796" s="99"/>
      <c r="AC796" s="99"/>
      <c r="AD796" s="99"/>
      <c r="AE796" s="99"/>
      <c r="AF796" s="99"/>
      <c r="AG796" s="99"/>
      <c r="AH796" s="99"/>
      <c r="AI796" s="99"/>
      <c r="AJ796" s="99"/>
      <c r="AK796" s="99"/>
      <c r="AL796" s="99"/>
      <c r="AM796" s="99"/>
    </row>
    <row r="797" ht="12.75" customHeight="1">
      <c r="A797" s="104"/>
      <c r="B797" s="104"/>
      <c r="C797" s="104"/>
      <c r="D797" s="110" t="s">
        <v>23</v>
      </c>
      <c r="G797" s="104"/>
      <c r="H797" s="104"/>
      <c r="I797" s="104"/>
      <c r="J797" s="111"/>
      <c r="K797" s="111"/>
      <c r="L797" s="105"/>
      <c r="M797" s="106"/>
      <c r="N797" s="105"/>
      <c r="O797" s="111"/>
      <c r="P797" s="111"/>
      <c r="Q797" s="111"/>
      <c r="R797" s="101"/>
      <c r="S797" s="101"/>
      <c r="T797" s="99"/>
      <c r="U797" s="99"/>
      <c r="V797" s="99"/>
      <c r="W797" s="99"/>
      <c r="X797" s="99"/>
      <c r="Y797" s="99"/>
      <c r="Z797" s="99"/>
      <c r="AA797" s="99"/>
      <c r="AB797" s="99"/>
      <c r="AC797" s="99"/>
      <c r="AD797" s="99"/>
      <c r="AE797" s="99"/>
      <c r="AF797" s="99"/>
      <c r="AG797" s="99"/>
      <c r="AH797" s="99"/>
      <c r="AI797" s="99"/>
      <c r="AJ797" s="99"/>
      <c r="AK797" s="99"/>
      <c r="AL797" s="99"/>
      <c r="AM797" s="99"/>
    </row>
    <row r="798" ht="12.75" customHeight="1">
      <c r="A798" s="104"/>
      <c r="B798" s="104"/>
      <c r="C798" s="104"/>
      <c r="D798" s="110" t="s">
        <v>24</v>
      </c>
      <c r="E798" s="110" t="s">
        <v>168</v>
      </c>
      <c r="G798" s="136">
        <v>54750.0</v>
      </c>
      <c r="H798" s="136" t="s">
        <v>87</v>
      </c>
      <c r="I798" s="137">
        <v>15000.0</v>
      </c>
      <c r="J798" s="46">
        <f t="shared" ref="J798:J800" si="807">G798*I798</f>
        <v>821250000</v>
      </c>
      <c r="K798" s="46">
        <v>8.3355E7</v>
      </c>
      <c r="L798" s="105"/>
      <c r="M798" s="106"/>
      <c r="N798" s="105"/>
      <c r="O798" s="46">
        <f t="shared" ref="O798:O800" si="808">J798-K798</f>
        <v>737895000</v>
      </c>
      <c r="P798" s="46">
        <f t="shared" ref="P798:P800" si="809">J798-M798</f>
        <v>821250000</v>
      </c>
      <c r="Q798" s="46">
        <v>8.2125E8</v>
      </c>
      <c r="R798" s="101"/>
      <c r="S798" s="101"/>
      <c r="T798" s="99"/>
      <c r="U798" s="99"/>
      <c r="V798" s="99"/>
      <c r="W798" s="99"/>
      <c r="X798" s="99"/>
      <c r="Y798" s="99"/>
      <c r="Z798" s="99"/>
      <c r="AA798" s="99"/>
      <c r="AB798" s="99"/>
      <c r="AC798" s="99"/>
      <c r="AD798" s="99"/>
      <c r="AE798" s="99"/>
      <c r="AF798" s="99"/>
      <c r="AG798" s="99"/>
      <c r="AH798" s="99"/>
      <c r="AI798" s="99"/>
      <c r="AJ798" s="99"/>
      <c r="AK798" s="99"/>
      <c r="AL798" s="99"/>
      <c r="AM798" s="99"/>
    </row>
    <row r="799" ht="12.75" customHeight="1">
      <c r="A799" s="104"/>
      <c r="B799" s="104"/>
      <c r="C799" s="104"/>
      <c r="D799" s="110" t="s">
        <v>24</v>
      </c>
      <c r="E799" s="110" t="s">
        <v>88</v>
      </c>
      <c r="G799" s="136">
        <v>9000.0</v>
      </c>
      <c r="H799" s="136" t="s">
        <v>87</v>
      </c>
      <c r="I799" s="137">
        <v>25000.0</v>
      </c>
      <c r="J799" s="46">
        <f t="shared" si="807"/>
        <v>225000000</v>
      </c>
      <c r="K799" s="46"/>
      <c r="L799" s="105"/>
      <c r="M799" s="138">
        <v>6000000.0</v>
      </c>
      <c r="N799" s="105"/>
      <c r="O799" s="46">
        <f t="shared" si="808"/>
        <v>225000000</v>
      </c>
      <c r="P799" s="46">
        <f t="shared" si="809"/>
        <v>219000000</v>
      </c>
      <c r="Q799" s="46">
        <v>2.25E8</v>
      </c>
      <c r="R799" s="101"/>
      <c r="S799" s="101"/>
      <c r="T799" s="99"/>
      <c r="U799" s="99"/>
      <c r="V799" s="99"/>
      <c r="W799" s="99"/>
      <c r="X799" s="99"/>
      <c r="Y799" s="99"/>
      <c r="Z799" s="99"/>
      <c r="AA799" s="99"/>
      <c r="AB799" s="99"/>
      <c r="AC799" s="99"/>
      <c r="AD799" s="99"/>
      <c r="AE799" s="99"/>
      <c r="AF799" s="99"/>
      <c r="AG799" s="99"/>
      <c r="AH799" s="99"/>
      <c r="AI799" s="99"/>
      <c r="AJ799" s="99"/>
      <c r="AK799" s="99"/>
      <c r="AL799" s="99"/>
      <c r="AM799" s="99"/>
    </row>
    <row r="800" ht="12.75" customHeight="1">
      <c r="A800" s="104"/>
      <c r="B800" s="104"/>
      <c r="C800" s="104"/>
      <c r="D800" s="110" t="s">
        <v>24</v>
      </c>
      <c r="E800" s="110" t="s">
        <v>169</v>
      </c>
      <c r="G800" s="136">
        <v>36500.0</v>
      </c>
      <c r="H800" s="136" t="s">
        <v>87</v>
      </c>
      <c r="I800" s="137">
        <v>7500.0</v>
      </c>
      <c r="J800" s="46">
        <f t="shared" si="807"/>
        <v>273750000</v>
      </c>
      <c r="K800" s="46">
        <v>2.754E7</v>
      </c>
      <c r="L800" s="105"/>
      <c r="M800" s="106"/>
      <c r="N800" s="105"/>
      <c r="O800" s="46">
        <f t="shared" si="808"/>
        <v>246210000</v>
      </c>
      <c r="P800" s="46">
        <f t="shared" si="809"/>
        <v>273750000</v>
      </c>
      <c r="Q800" s="46">
        <v>2.7375E8</v>
      </c>
      <c r="R800" s="101"/>
      <c r="S800" s="101"/>
      <c r="T800" s="99"/>
      <c r="U800" s="99"/>
      <c r="V800" s="99"/>
      <c r="W800" s="99"/>
      <c r="X800" s="99"/>
      <c r="Y800" s="99"/>
      <c r="Z800" s="99"/>
      <c r="AA800" s="99"/>
      <c r="AB800" s="99"/>
      <c r="AC800" s="99"/>
      <c r="AD800" s="99"/>
      <c r="AE800" s="99"/>
      <c r="AF800" s="99"/>
      <c r="AG800" s="99"/>
      <c r="AH800" s="99"/>
      <c r="AI800" s="99"/>
      <c r="AJ800" s="99"/>
      <c r="AK800" s="99"/>
      <c r="AL800" s="99"/>
      <c r="AM800" s="99"/>
    </row>
    <row r="801" ht="12.75" customHeight="1">
      <c r="A801" s="110" t="s">
        <v>63</v>
      </c>
      <c r="D801" s="145" t="s">
        <v>64</v>
      </c>
      <c r="G801" s="104"/>
      <c r="H801" s="133"/>
      <c r="I801" s="104"/>
      <c r="J801" s="134">
        <f>SUM(J803:J804)</f>
        <v>114000000</v>
      </c>
      <c r="K801" s="46">
        <f t="shared" ref="K801:P801" si="810">K803+K804</f>
        <v>0</v>
      </c>
      <c r="L801" s="46">
        <f t="shared" si="810"/>
        <v>0</v>
      </c>
      <c r="M801" s="146">
        <f t="shared" si="810"/>
        <v>4095250</v>
      </c>
      <c r="N801" s="46">
        <f t="shared" si="810"/>
        <v>0</v>
      </c>
      <c r="O801" s="46">
        <f t="shared" si="810"/>
        <v>114000000</v>
      </c>
      <c r="P801" s="46">
        <f t="shared" si="810"/>
        <v>109904750</v>
      </c>
      <c r="Q801" s="46">
        <v>1.14E8</v>
      </c>
      <c r="R801" s="101"/>
      <c r="S801" s="101"/>
      <c r="T801" s="99"/>
      <c r="U801" s="99"/>
      <c r="V801" s="99"/>
      <c r="W801" s="99"/>
      <c r="X801" s="99"/>
      <c r="Y801" s="99"/>
      <c r="Z801" s="99"/>
      <c r="AA801" s="99"/>
      <c r="AB801" s="99"/>
      <c r="AC801" s="99"/>
      <c r="AD801" s="99"/>
      <c r="AE801" s="99"/>
      <c r="AF801" s="99"/>
      <c r="AG801" s="99"/>
      <c r="AH801" s="99"/>
      <c r="AI801" s="99"/>
      <c r="AJ801" s="99"/>
      <c r="AK801" s="99"/>
      <c r="AL801" s="99"/>
      <c r="AM801" s="99"/>
    </row>
    <row r="802" ht="12.75" customHeight="1">
      <c r="A802" s="104"/>
      <c r="B802" s="104"/>
      <c r="C802" s="104"/>
      <c r="D802" s="110" t="s">
        <v>23</v>
      </c>
      <c r="G802" s="104"/>
      <c r="H802" s="104"/>
      <c r="I802" s="104"/>
      <c r="J802" s="111"/>
      <c r="K802" s="111"/>
      <c r="L802" s="105"/>
      <c r="M802" s="106"/>
      <c r="N802" s="105"/>
      <c r="O802" s="111"/>
      <c r="P802" s="111"/>
      <c r="Q802" s="111"/>
      <c r="R802" s="101"/>
      <c r="S802" s="101"/>
      <c r="T802" s="99"/>
      <c r="U802" s="99"/>
      <c r="V802" s="99"/>
      <c r="W802" s="99"/>
      <c r="X802" s="99"/>
      <c r="Y802" s="99"/>
      <c r="Z802" s="99"/>
      <c r="AA802" s="99"/>
      <c r="AB802" s="99"/>
      <c r="AC802" s="99"/>
      <c r="AD802" s="99"/>
      <c r="AE802" s="99"/>
      <c r="AF802" s="99"/>
      <c r="AG802" s="99"/>
      <c r="AH802" s="99"/>
      <c r="AI802" s="99"/>
      <c r="AJ802" s="99"/>
      <c r="AK802" s="99"/>
      <c r="AL802" s="99"/>
      <c r="AM802" s="99"/>
    </row>
    <row r="803" ht="12.75" customHeight="1">
      <c r="A803" s="104"/>
      <c r="B803" s="104"/>
      <c r="C803" s="104"/>
      <c r="D803" s="110" t="s">
        <v>24</v>
      </c>
      <c r="E803" s="110" t="s">
        <v>90</v>
      </c>
      <c r="G803" s="136">
        <v>180.0</v>
      </c>
      <c r="H803" s="136" t="s">
        <v>87</v>
      </c>
      <c r="I803" s="137">
        <v>500000.0</v>
      </c>
      <c r="J803" s="46">
        <f t="shared" ref="J803:J804" si="811">G803*I803</f>
        <v>90000000</v>
      </c>
      <c r="K803" s="46"/>
      <c r="L803" s="105"/>
      <c r="M803" s="138">
        <v>3635250.0</v>
      </c>
      <c r="N803" s="105"/>
      <c r="O803" s="46">
        <f t="shared" ref="O803:O804" si="812">J803-K803</f>
        <v>90000000</v>
      </c>
      <c r="P803" s="46">
        <f t="shared" ref="P803:P804" si="813">J803-M803</f>
        <v>86364750</v>
      </c>
      <c r="Q803" s="46">
        <v>9.0E7</v>
      </c>
      <c r="R803" s="101"/>
      <c r="S803" s="101"/>
      <c r="T803" s="99"/>
      <c r="U803" s="99"/>
      <c r="V803" s="99"/>
      <c r="W803" s="99"/>
      <c r="X803" s="99"/>
      <c r="Y803" s="99"/>
      <c r="Z803" s="99"/>
      <c r="AA803" s="99"/>
      <c r="AB803" s="99"/>
      <c r="AC803" s="99"/>
      <c r="AD803" s="99"/>
      <c r="AE803" s="99"/>
      <c r="AF803" s="99"/>
      <c r="AG803" s="99"/>
      <c r="AH803" s="99"/>
      <c r="AI803" s="99"/>
      <c r="AJ803" s="99"/>
      <c r="AK803" s="99"/>
      <c r="AL803" s="99"/>
      <c r="AM803" s="99"/>
    </row>
    <row r="804" ht="12.75" customHeight="1">
      <c r="A804" s="104"/>
      <c r="B804" s="104"/>
      <c r="C804" s="104"/>
      <c r="D804" s="110" t="s">
        <v>24</v>
      </c>
      <c r="E804" s="110" t="s">
        <v>170</v>
      </c>
      <c r="G804" s="136">
        <v>600.0</v>
      </c>
      <c r="H804" s="136" t="s">
        <v>87</v>
      </c>
      <c r="I804" s="137">
        <v>40000.0</v>
      </c>
      <c r="J804" s="46">
        <f t="shared" si="811"/>
        <v>24000000</v>
      </c>
      <c r="K804" s="46"/>
      <c r="L804" s="105"/>
      <c r="M804" s="138">
        <v>460000.0</v>
      </c>
      <c r="N804" s="105"/>
      <c r="O804" s="46">
        <f t="shared" si="812"/>
        <v>24000000</v>
      </c>
      <c r="P804" s="46">
        <f t="shared" si="813"/>
        <v>23540000</v>
      </c>
      <c r="Q804" s="46">
        <v>2.4E7</v>
      </c>
      <c r="R804" s="101"/>
      <c r="S804" s="101"/>
      <c r="T804" s="99"/>
      <c r="U804" s="99"/>
      <c r="V804" s="99"/>
      <c r="W804" s="99"/>
      <c r="X804" s="99"/>
      <c r="Y804" s="99"/>
      <c r="Z804" s="99"/>
      <c r="AA804" s="99"/>
      <c r="AB804" s="99"/>
      <c r="AC804" s="99"/>
      <c r="AD804" s="99"/>
      <c r="AE804" s="99"/>
      <c r="AF804" s="99"/>
      <c r="AG804" s="99"/>
      <c r="AH804" s="99"/>
      <c r="AI804" s="99"/>
      <c r="AJ804" s="99"/>
      <c r="AK804" s="99"/>
      <c r="AL804" s="99"/>
      <c r="AM804" s="99"/>
    </row>
    <row r="805" ht="12.75" customHeight="1">
      <c r="A805" s="144" t="s">
        <v>92</v>
      </c>
      <c r="D805" s="144" t="s">
        <v>93</v>
      </c>
      <c r="G805" s="104"/>
      <c r="H805" s="128"/>
      <c r="I805" s="104"/>
      <c r="J805" s="129">
        <f t="shared" ref="J805:K805" si="814">J806</f>
        <v>41836000</v>
      </c>
      <c r="K805" s="43">
        <f t="shared" si="814"/>
        <v>0</v>
      </c>
      <c r="L805" s="105"/>
      <c r="M805" s="106"/>
      <c r="N805" s="105"/>
      <c r="O805" s="43">
        <f t="shared" ref="O805:P805" si="815">O806</f>
        <v>41836000</v>
      </c>
      <c r="P805" s="43">
        <f t="shared" si="815"/>
        <v>41836000</v>
      </c>
      <c r="Q805" s="43">
        <v>4.1836E7</v>
      </c>
      <c r="R805" s="101"/>
      <c r="S805" s="101"/>
      <c r="T805" s="99"/>
      <c r="U805" s="99"/>
      <c r="V805" s="99"/>
      <c r="W805" s="99"/>
      <c r="X805" s="99"/>
      <c r="Y805" s="99"/>
      <c r="Z805" s="99"/>
      <c r="AA805" s="99"/>
      <c r="AB805" s="99"/>
      <c r="AC805" s="99"/>
      <c r="AD805" s="99"/>
      <c r="AE805" s="99"/>
      <c r="AF805" s="99"/>
      <c r="AG805" s="99"/>
      <c r="AH805" s="99"/>
      <c r="AI805" s="99"/>
      <c r="AJ805" s="99"/>
      <c r="AK805" s="99"/>
      <c r="AL805" s="99"/>
      <c r="AM805" s="99"/>
    </row>
    <row r="806" ht="12.75" customHeight="1">
      <c r="A806" s="110" t="s">
        <v>68</v>
      </c>
      <c r="D806" s="145" t="s">
        <v>69</v>
      </c>
      <c r="G806" s="104"/>
      <c r="H806" s="133"/>
      <c r="I806" s="104"/>
      <c r="J806" s="134">
        <f t="shared" ref="J806:K806" si="816">SUM(J808:J809)</f>
        <v>41836000</v>
      </c>
      <c r="K806" s="46">
        <f t="shared" si="816"/>
        <v>0</v>
      </c>
      <c r="L806" s="105"/>
      <c r="M806" s="106"/>
      <c r="N806" s="105"/>
      <c r="O806" s="46">
        <f t="shared" ref="O806:P806" si="817">SUM(O808:O809)</f>
        <v>41836000</v>
      </c>
      <c r="P806" s="46">
        <f t="shared" si="817"/>
        <v>41836000</v>
      </c>
      <c r="Q806" s="46">
        <v>4.1836E7</v>
      </c>
      <c r="R806" s="101"/>
      <c r="S806" s="101"/>
      <c r="T806" s="99"/>
      <c r="U806" s="99"/>
      <c r="V806" s="99"/>
      <c r="W806" s="99"/>
      <c r="X806" s="99"/>
      <c r="Y806" s="99"/>
      <c r="Z806" s="99"/>
      <c r="AA806" s="99"/>
      <c r="AB806" s="99"/>
      <c r="AC806" s="99"/>
      <c r="AD806" s="99"/>
      <c r="AE806" s="99"/>
      <c r="AF806" s="99"/>
      <c r="AG806" s="99"/>
      <c r="AH806" s="99"/>
      <c r="AI806" s="99"/>
      <c r="AJ806" s="99"/>
      <c r="AK806" s="99"/>
      <c r="AL806" s="99"/>
      <c r="AM806" s="99"/>
    </row>
    <row r="807" ht="12.75" customHeight="1">
      <c r="A807" s="104"/>
      <c r="B807" s="104"/>
      <c r="C807" s="104"/>
      <c r="D807" s="110" t="s">
        <v>23</v>
      </c>
      <c r="G807" s="104"/>
      <c r="H807" s="104"/>
      <c r="I807" s="104"/>
      <c r="J807" s="111"/>
      <c r="K807" s="111"/>
      <c r="L807" s="105"/>
      <c r="M807" s="106"/>
      <c r="N807" s="105"/>
      <c r="O807" s="111"/>
      <c r="P807" s="111"/>
      <c r="Q807" s="111"/>
      <c r="R807" s="101"/>
      <c r="S807" s="101"/>
      <c r="T807" s="99"/>
      <c r="U807" s="99"/>
      <c r="V807" s="99"/>
      <c r="W807" s="99"/>
      <c r="X807" s="99"/>
      <c r="Y807" s="99"/>
      <c r="Z807" s="99"/>
      <c r="AA807" s="99"/>
      <c r="AB807" s="99"/>
      <c r="AC807" s="99"/>
      <c r="AD807" s="99"/>
      <c r="AE807" s="99"/>
      <c r="AF807" s="99"/>
      <c r="AG807" s="99"/>
      <c r="AH807" s="99"/>
      <c r="AI807" s="99"/>
      <c r="AJ807" s="99"/>
      <c r="AK807" s="99"/>
      <c r="AL807" s="99"/>
      <c r="AM807" s="99"/>
    </row>
    <row r="808" ht="12.75" customHeight="1">
      <c r="A808" s="104"/>
      <c r="B808" s="104"/>
      <c r="C808" s="104"/>
      <c r="D808" s="110" t="s">
        <v>24</v>
      </c>
      <c r="E808" s="110" t="s">
        <v>94</v>
      </c>
      <c r="G808" s="136">
        <v>12.0</v>
      </c>
      <c r="H808" s="136" t="s">
        <v>95</v>
      </c>
      <c r="I808" s="137">
        <v>2500000.0</v>
      </c>
      <c r="J808" s="46">
        <f t="shared" ref="J808:J809" si="818">G808*I808</f>
        <v>30000000</v>
      </c>
      <c r="K808" s="46"/>
      <c r="L808" s="105"/>
      <c r="M808" s="106"/>
      <c r="N808" s="105"/>
      <c r="O808" s="46">
        <f t="shared" ref="O808:O809" si="819">J808-K808</f>
        <v>30000000</v>
      </c>
      <c r="P808" s="46">
        <f t="shared" ref="P808:P809" si="820">J808-M808</f>
        <v>30000000</v>
      </c>
      <c r="Q808" s="46">
        <v>3.0E7</v>
      </c>
      <c r="R808" s="101"/>
      <c r="S808" s="101"/>
      <c r="T808" s="99"/>
      <c r="U808" s="99"/>
      <c r="V808" s="99"/>
      <c r="W808" s="99"/>
      <c r="X808" s="99"/>
      <c r="Y808" s="99"/>
      <c r="Z808" s="99"/>
      <c r="AA808" s="99"/>
      <c r="AB808" s="99"/>
      <c r="AC808" s="99"/>
      <c r="AD808" s="99"/>
      <c r="AE808" s="99"/>
      <c r="AF808" s="99"/>
      <c r="AG808" s="99"/>
      <c r="AH808" s="99"/>
      <c r="AI808" s="99"/>
      <c r="AJ808" s="99"/>
      <c r="AK808" s="99"/>
      <c r="AL808" s="99"/>
      <c r="AM808" s="99"/>
    </row>
    <row r="809" ht="12.75" customHeight="1">
      <c r="A809" s="104"/>
      <c r="B809" s="104"/>
      <c r="C809" s="104"/>
      <c r="D809" s="110" t="s">
        <v>24</v>
      </c>
      <c r="E809" s="110" t="s">
        <v>290</v>
      </c>
      <c r="G809" s="136">
        <v>1.0</v>
      </c>
      <c r="H809" s="136" t="s">
        <v>97</v>
      </c>
      <c r="I809" s="137">
        <v>1.1836E7</v>
      </c>
      <c r="J809" s="46">
        <f t="shared" si="818"/>
        <v>11836000</v>
      </c>
      <c r="K809" s="46"/>
      <c r="L809" s="105"/>
      <c r="M809" s="106"/>
      <c r="N809" s="105"/>
      <c r="O809" s="46">
        <f t="shared" si="819"/>
        <v>11836000</v>
      </c>
      <c r="P809" s="46">
        <f t="shared" si="820"/>
        <v>11836000</v>
      </c>
      <c r="Q809" s="46">
        <v>1.1836E7</v>
      </c>
      <c r="R809" s="101"/>
      <c r="S809" s="101"/>
      <c r="T809" s="99"/>
      <c r="U809" s="99"/>
      <c r="V809" s="99"/>
      <c r="W809" s="99"/>
      <c r="X809" s="99"/>
      <c r="Y809" s="99"/>
      <c r="Z809" s="99"/>
      <c r="AA809" s="99"/>
      <c r="AB809" s="99"/>
      <c r="AC809" s="99"/>
      <c r="AD809" s="99"/>
      <c r="AE809" s="99"/>
      <c r="AF809" s="99"/>
      <c r="AG809" s="99"/>
      <c r="AH809" s="99"/>
      <c r="AI809" s="99"/>
      <c r="AJ809" s="99"/>
      <c r="AK809" s="99"/>
      <c r="AL809" s="99"/>
      <c r="AM809" s="99"/>
    </row>
    <row r="810" ht="12.75" customHeight="1">
      <c r="A810" s="144" t="s">
        <v>98</v>
      </c>
      <c r="D810" s="144" t="s">
        <v>99</v>
      </c>
      <c r="G810" s="104"/>
      <c r="H810" s="128"/>
      <c r="I810" s="104"/>
      <c r="J810" s="129">
        <f t="shared" ref="J810:K810" si="821">J811+J820</f>
        <v>6760000</v>
      </c>
      <c r="K810" s="43">
        <f t="shared" si="821"/>
        <v>0</v>
      </c>
      <c r="L810" s="105"/>
      <c r="M810" s="106"/>
      <c r="N810" s="105"/>
      <c r="O810" s="43">
        <f t="shared" ref="O810:P810" si="822">O811+O820</f>
        <v>6760000</v>
      </c>
      <c r="P810" s="43">
        <f t="shared" si="822"/>
        <v>6760000</v>
      </c>
      <c r="Q810" s="43">
        <v>6760000.0</v>
      </c>
      <c r="R810" s="101"/>
      <c r="S810" s="101"/>
      <c r="T810" s="99"/>
      <c r="U810" s="99"/>
      <c r="V810" s="99"/>
      <c r="W810" s="99"/>
      <c r="X810" s="99"/>
      <c r="Y810" s="99"/>
      <c r="Z810" s="99"/>
      <c r="AA810" s="99"/>
      <c r="AB810" s="99"/>
      <c r="AC810" s="99"/>
      <c r="AD810" s="99"/>
      <c r="AE810" s="99"/>
      <c r="AF810" s="99"/>
      <c r="AG810" s="99"/>
      <c r="AH810" s="99"/>
      <c r="AI810" s="99"/>
      <c r="AJ810" s="99"/>
      <c r="AK810" s="99"/>
      <c r="AL810" s="99"/>
      <c r="AM810" s="99"/>
    </row>
    <row r="811" ht="12.75" customHeight="1">
      <c r="A811" s="110" t="s">
        <v>100</v>
      </c>
      <c r="D811" s="145" t="s">
        <v>101</v>
      </c>
      <c r="G811" s="104"/>
      <c r="H811" s="133"/>
      <c r="I811" s="104"/>
      <c r="J811" s="134">
        <f t="shared" ref="J811:K811" si="823">SUM(J813:J819)</f>
        <v>5600000</v>
      </c>
      <c r="K811" s="46">
        <f t="shared" si="823"/>
        <v>0</v>
      </c>
      <c r="L811" s="105"/>
      <c r="M811" s="106"/>
      <c r="N811" s="105"/>
      <c r="O811" s="46">
        <f t="shared" ref="O811:P811" si="824">SUM(O813:O819)</f>
        <v>5600000</v>
      </c>
      <c r="P811" s="46">
        <f t="shared" si="824"/>
        <v>5600000</v>
      </c>
      <c r="Q811" s="46">
        <v>5600000.0</v>
      </c>
      <c r="R811" s="101"/>
      <c r="S811" s="101"/>
      <c r="T811" s="99"/>
      <c r="U811" s="99"/>
      <c r="V811" s="99"/>
      <c r="W811" s="99"/>
      <c r="X811" s="99"/>
      <c r="Y811" s="99"/>
      <c r="Z811" s="99"/>
      <c r="AA811" s="99"/>
      <c r="AB811" s="99"/>
      <c r="AC811" s="99"/>
      <c r="AD811" s="99"/>
      <c r="AE811" s="99"/>
      <c r="AF811" s="99"/>
      <c r="AG811" s="99"/>
      <c r="AH811" s="99"/>
      <c r="AI811" s="99"/>
      <c r="AJ811" s="99"/>
      <c r="AK811" s="99"/>
      <c r="AL811" s="99"/>
      <c r="AM811" s="99"/>
    </row>
    <row r="812" ht="12.75" customHeight="1">
      <c r="A812" s="104"/>
      <c r="B812" s="104"/>
      <c r="C812" s="104"/>
      <c r="D812" s="110" t="s">
        <v>23</v>
      </c>
      <c r="G812" s="104"/>
      <c r="H812" s="104"/>
      <c r="I812" s="104"/>
      <c r="J812" s="111"/>
      <c r="K812" s="111"/>
      <c r="L812" s="105"/>
      <c r="M812" s="106"/>
      <c r="N812" s="105"/>
      <c r="O812" s="111"/>
      <c r="P812" s="111"/>
      <c r="Q812" s="111"/>
      <c r="R812" s="101"/>
      <c r="S812" s="101"/>
      <c r="T812" s="99"/>
      <c r="U812" s="99"/>
      <c r="V812" s="99"/>
      <c r="W812" s="99"/>
      <c r="X812" s="99"/>
      <c r="Y812" s="99"/>
      <c r="Z812" s="99"/>
      <c r="AA812" s="99"/>
      <c r="AB812" s="99"/>
      <c r="AC812" s="99"/>
      <c r="AD812" s="99"/>
      <c r="AE812" s="99"/>
      <c r="AF812" s="99"/>
      <c r="AG812" s="99"/>
      <c r="AH812" s="99"/>
      <c r="AI812" s="99"/>
      <c r="AJ812" s="99"/>
      <c r="AK812" s="99"/>
      <c r="AL812" s="99"/>
      <c r="AM812" s="99"/>
    </row>
    <row r="813" ht="12.75" customHeight="1">
      <c r="A813" s="104"/>
      <c r="B813" s="104"/>
      <c r="C813" s="104"/>
      <c r="D813" s="110" t="s">
        <v>24</v>
      </c>
      <c r="E813" s="110" t="s">
        <v>102</v>
      </c>
      <c r="G813" s="136">
        <v>2.0</v>
      </c>
      <c r="H813" s="136" t="s">
        <v>95</v>
      </c>
      <c r="I813" s="137">
        <v>350000.0</v>
      </c>
      <c r="J813" s="46">
        <f t="shared" ref="J813:J819" si="825">G813*I813</f>
        <v>700000</v>
      </c>
      <c r="K813" s="46"/>
      <c r="L813" s="105"/>
      <c r="M813" s="106"/>
      <c r="N813" s="105"/>
      <c r="O813" s="46">
        <f t="shared" ref="O813:O819" si="826">J813-K813</f>
        <v>700000</v>
      </c>
      <c r="P813" s="46">
        <f t="shared" ref="P813:P819" si="827">J813-M813</f>
        <v>700000</v>
      </c>
      <c r="Q813" s="46">
        <v>700000.0</v>
      </c>
      <c r="R813" s="101"/>
      <c r="S813" s="101"/>
      <c r="T813" s="99"/>
      <c r="U813" s="99"/>
      <c r="V813" s="99"/>
      <c r="W813" s="99"/>
      <c r="X813" s="99"/>
      <c r="Y813" s="99"/>
      <c r="Z813" s="99"/>
      <c r="AA813" s="99"/>
      <c r="AB813" s="99"/>
      <c r="AC813" s="99"/>
      <c r="AD813" s="99"/>
      <c r="AE813" s="99"/>
      <c r="AF813" s="99"/>
      <c r="AG813" s="99"/>
      <c r="AH813" s="99"/>
      <c r="AI813" s="99"/>
      <c r="AJ813" s="99"/>
      <c r="AK813" s="99"/>
      <c r="AL813" s="99"/>
      <c r="AM813" s="99"/>
    </row>
    <row r="814" ht="12.75" customHeight="1">
      <c r="A814" s="104"/>
      <c r="B814" s="104"/>
      <c r="C814" s="104"/>
      <c r="D814" s="110" t="s">
        <v>24</v>
      </c>
      <c r="E814" s="110" t="s">
        <v>103</v>
      </c>
      <c r="G814" s="136">
        <v>2.0</v>
      </c>
      <c r="H814" s="136" t="s">
        <v>95</v>
      </c>
      <c r="I814" s="137">
        <v>225000.0</v>
      </c>
      <c r="J814" s="46">
        <f t="shared" si="825"/>
        <v>450000</v>
      </c>
      <c r="K814" s="46"/>
      <c r="L814" s="105"/>
      <c r="M814" s="106"/>
      <c r="N814" s="105"/>
      <c r="O814" s="46">
        <f t="shared" si="826"/>
        <v>450000</v>
      </c>
      <c r="P814" s="46">
        <f t="shared" si="827"/>
        <v>450000</v>
      </c>
      <c r="Q814" s="46">
        <v>450000.0</v>
      </c>
      <c r="R814" s="101"/>
      <c r="S814" s="101"/>
      <c r="T814" s="99"/>
      <c r="U814" s="99"/>
      <c r="V814" s="99"/>
      <c r="W814" s="99"/>
      <c r="X814" s="99"/>
      <c r="Y814" s="99"/>
      <c r="Z814" s="99"/>
      <c r="AA814" s="99"/>
      <c r="AB814" s="99"/>
      <c r="AC814" s="99"/>
      <c r="AD814" s="99"/>
      <c r="AE814" s="99"/>
      <c r="AF814" s="99"/>
      <c r="AG814" s="99"/>
      <c r="AH814" s="99"/>
      <c r="AI814" s="99"/>
      <c r="AJ814" s="99"/>
      <c r="AK814" s="99"/>
      <c r="AL814" s="99"/>
      <c r="AM814" s="99"/>
    </row>
    <row r="815" ht="15.75" customHeight="1">
      <c r="A815" s="104"/>
      <c r="B815" s="104"/>
      <c r="C815" s="104"/>
      <c r="D815" s="110" t="s">
        <v>24</v>
      </c>
      <c r="E815" s="110" t="s">
        <v>104</v>
      </c>
      <c r="G815" s="136">
        <v>2.0</v>
      </c>
      <c r="H815" s="136" t="s">
        <v>95</v>
      </c>
      <c r="I815" s="137">
        <v>450000.0</v>
      </c>
      <c r="J815" s="46">
        <f t="shared" si="825"/>
        <v>900000</v>
      </c>
      <c r="K815" s="46"/>
      <c r="L815" s="105"/>
      <c r="M815" s="106"/>
      <c r="N815" s="105"/>
      <c r="O815" s="46">
        <f t="shared" si="826"/>
        <v>900000</v>
      </c>
      <c r="P815" s="46">
        <f t="shared" si="827"/>
        <v>900000</v>
      </c>
      <c r="Q815" s="46">
        <v>900000.0</v>
      </c>
      <c r="R815" s="101"/>
      <c r="S815" s="101"/>
      <c r="T815" s="99"/>
      <c r="U815" s="99"/>
      <c r="V815" s="99"/>
      <c r="W815" s="99"/>
      <c r="X815" s="99"/>
      <c r="Y815" s="99"/>
      <c r="Z815" s="99"/>
      <c r="AA815" s="99"/>
      <c r="AB815" s="99"/>
      <c r="AC815" s="99"/>
      <c r="AD815" s="99"/>
      <c r="AE815" s="99"/>
      <c r="AF815" s="99"/>
      <c r="AG815" s="99"/>
      <c r="AH815" s="99"/>
      <c r="AI815" s="99"/>
      <c r="AJ815" s="99"/>
      <c r="AK815" s="99"/>
      <c r="AL815" s="99"/>
      <c r="AM815" s="99"/>
    </row>
    <row r="816" ht="12.75" customHeight="1">
      <c r="A816" s="104"/>
      <c r="B816" s="104"/>
      <c r="C816" s="104"/>
      <c r="D816" s="110" t="s">
        <v>24</v>
      </c>
      <c r="E816" s="110" t="s">
        <v>105</v>
      </c>
      <c r="G816" s="136">
        <v>2.0</v>
      </c>
      <c r="H816" s="136" t="s">
        <v>95</v>
      </c>
      <c r="I816" s="137">
        <v>250000.0</v>
      </c>
      <c r="J816" s="46">
        <f t="shared" si="825"/>
        <v>500000</v>
      </c>
      <c r="K816" s="46"/>
      <c r="L816" s="105"/>
      <c r="M816" s="106"/>
      <c r="N816" s="105"/>
      <c r="O816" s="46">
        <f t="shared" si="826"/>
        <v>500000</v>
      </c>
      <c r="P816" s="46">
        <f t="shared" si="827"/>
        <v>500000</v>
      </c>
      <c r="Q816" s="46">
        <v>500000.0</v>
      </c>
      <c r="R816" s="101"/>
      <c r="S816" s="101"/>
      <c r="T816" s="99"/>
      <c r="U816" s="99"/>
      <c r="V816" s="99"/>
      <c r="W816" s="99"/>
      <c r="X816" s="99"/>
      <c r="Y816" s="99"/>
      <c r="Z816" s="99"/>
      <c r="AA816" s="99"/>
      <c r="AB816" s="99"/>
      <c r="AC816" s="99"/>
      <c r="AD816" s="99"/>
      <c r="AE816" s="99"/>
      <c r="AF816" s="99"/>
      <c r="AG816" s="99"/>
      <c r="AH816" s="99"/>
      <c r="AI816" s="99"/>
      <c r="AJ816" s="99"/>
      <c r="AK816" s="99"/>
      <c r="AL816" s="99"/>
      <c r="AM816" s="99"/>
    </row>
    <row r="817" ht="12.75" customHeight="1">
      <c r="A817" s="104"/>
      <c r="B817" s="104"/>
      <c r="C817" s="104"/>
      <c r="D817" s="110" t="s">
        <v>24</v>
      </c>
      <c r="E817" s="110" t="s">
        <v>106</v>
      </c>
      <c r="G817" s="136">
        <v>2.0</v>
      </c>
      <c r="H817" s="136" t="s">
        <v>95</v>
      </c>
      <c r="I817" s="137">
        <v>100000.0</v>
      </c>
      <c r="J817" s="46">
        <f t="shared" si="825"/>
        <v>200000</v>
      </c>
      <c r="K817" s="46"/>
      <c r="L817" s="105"/>
      <c r="M817" s="106"/>
      <c r="N817" s="105"/>
      <c r="O817" s="46">
        <f t="shared" si="826"/>
        <v>200000</v>
      </c>
      <c r="P817" s="46">
        <f t="shared" si="827"/>
        <v>200000</v>
      </c>
      <c r="Q817" s="46">
        <v>200000.0</v>
      </c>
      <c r="R817" s="101"/>
      <c r="S817" s="101"/>
      <c r="T817" s="99"/>
      <c r="U817" s="99"/>
      <c r="V817" s="99"/>
      <c r="W817" s="99"/>
      <c r="X817" s="99"/>
      <c r="Y817" s="99"/>
      <c r="Z817" s="99"/>
      <c r="AA817" s="99"/>
      <c r="AB817" s="99"/>
      <c r="AC817" s="99"/>
      <c r="AD817" s="99"/>
      <c r="AE817" s="99"/>
      <c r="AF817" s="99"/>
      <c r="AG817" s="99"/>
      <c r="AH817" s="99"/>
      <c r="AI817" s="99"/>
      <c r="AJ817" s="99"/>
      <c r="AK817" s="99"/>
      <c r="AL817" s="99"/>
      <c r="AM817" s="99"/>
    </row>
    <row r="818" ht="12.75" customHeight="1">
      <c r="A818" s="104"/>
      <c r="B818" s="104"/>
      <c r="C818" s="104"/>
      <c r="D818" s="110" t="s">
        <v>24</v>
      </c>
      <c r="E818" s="110" t="s">
        <v>107</v>
      </c>
      <c r="G818" s="136">
        <v>2.0</v>
      </c>
      <c r="H818" s="136" t="s">
        <v>95</v>
      </c>
      <c r="I818" s="137">
        <v>725000.0</v>
      </c>
      <c r="J818" s="46">
        <f t="shared" si="825"/>
        <v>1450000</v>
      </c>
      <c r="K818" s="46"/>
      <c r="L818" s="105"/>
      <c r="M818" s="106"/>
      <c r="N818" s="105"/>
      <c r="O818" s="46">
        <f t="shared" si="826"/>
        <v>1450000</v>
      </c>
      <c r="P818" s="46">
        <f t="shared" si="827"/>
        <v>1450000</v>
      </c>
      <c r="Q818" s="46">
        <v>1450000.0</v>
      </c>
      <c r="R818" s="101"/>
      <c r="S818" s="101"/>
      <c r="T818" s="99"/>
      <c r="U818" s="99"/>
      <c r="V818" s="99"/>
      <c r="W818" s="99"/>
      <c r="X818" s="99"/>
      <c r="Y818" s="99"/>
      <c r="Z818" s="99"/>
      <c r="AA818" s="99"/>
      <c r="AB818" s="99"/>
      <c r="AC818" s="99"/>
      <c r="AD818" s="99"/>
      <c r="AE818" s="99"/>
      <c r="AF818" s="99"/>
      <c r="AG818" s="99"/>
      <c r="AH818" s="99"/>
      <c r="AI818" s="99"/>
      <c r="AJ818" s="99"/>
      <c r="AK818" s="99"/>
      <c r="AL818" s="99"/>
      <c r="AM818" s="99"/>
    </row>
    <row r="819" ht="15.75" customHeight="1">
      <c r="A819" s="104"/>
      <c r="B819" s="104"/>
      <c r="C819" s="104"/>
      <c r="D819" s="110" t="s">
        <v>24</v>
      </c>
      <c r="E819" s="110" t="s">
        <v>108</v>
      </c>
      <c r="G819" s="136">
        <v>2.0</v>
      </c>
      <c r="H819" s="136" t="s">
        <v>95</v>
      </c>
      <c r="I819" s="137">
        <v>700000.0</v>
      </c>
      <c r="J819" s="46">
        <f t="shared" si="825"/>
        <v>1400000</v>
      </c>
      <c r="K819" s="46"/>
      <c r="L819" s="105"/>
      <c r="M819" s="106"/>
      <c r="N819" s="105"/>
      <c r="O819" s="46">
        <f t="shared" si="826"/>
        <v>1400000</v>
      </c>
      <c r="P819" s="46">
        <f t="shared" si="827"/>
        <v>1400000</v>
      </c>
      <c r="Q819" s="46">
        <v>1400000.0</v>
      </c>
      <c r="R819" s="101"/>
      <c r="S819" s="101"/>
      <c r="T819" s="99"/>
      <c r="U819" s="99"/>
      <c r="V819" s="99"/>
      <c r="W819" s="99"/>
      <c r="X819" s="99"/>
      <c r="Y819" s="99"/>
      <c r="Z819" s="99"/>
      <c r="AA819" s="99"/>
      <c r="AB819" s="99"/>
      <c r="AC819" s="99"/>
      <c r="AD819" s="99"/>
      <c r="AE819" s="99"/>
      <c r="AF819" s="99"/>
      <c r="AG819" s="99"/>
      <c r="AH819" s="99"/>
      <c r="AI819" s="99"/>
      <c r="AJ819" s="99"/>
      <c r="AK819" s="99"/>
      <c r="AL819" s="99"/>
      <c r="AM819" s="99"/>
    </row>
    <row r="820" ht="12.75" customHeight="1">
      <c r="A820" s="110" t="s">
        <v>68</v>
      </c>
      <c r="D820" s="145" t="s">
        <v>69</v>
      </c>
      <c r="G820" s="104"/>
      <c r="H820" s="133"/>
      <c r="I820" s="104"/>
      <c r="J820" s="134">
        <f t="shared" ref="J820:K820" si="828">SUM(J822:J825)</f>
        <v>1160000</v>
      </c>
      <c r="K820" s="46">
        <f t="shared" si="828"/>
        <v>0</v>
      </c>
      <c r="L820" s="105"/>
      <c r="M820" s="106"/>
      <c r="N820" s="105"/>
      <c r="O820" s="46">
        <f t="shared" ref="O820:P820" si="829">SUM(O822:O825)</f>
        <v>1160000</v>
      </c>
      <c r="P820" s="46">
        <f t="shared" si="829"/>
        <v>1160000</v>
      </c>
      <c r="Q820" s="46">
        <v>1160000.0</v>
      </c>
      <c r="R820" s="101"/>
      <c r="S820" s="101"/>
      <c r="T820" s="99"/>
      <c r="U820" s="99"/>
      <c r="V820" s="99"/>
      <c r="W820" s="99"/>
      <c r="X820" s="99"/>
      <c r="Y820" s="99"/>
      <c r="Z820" s="99"/>
      <c r="AA820" s="99"/>
      <c r="AB820" s="99"/>
      <c r="AC820" s="99"/>
      <c r="AD820" s="99"/>
      <c r="AE820" s="99"/>
      <c r="AF820" s="99"/>
      <c r="AG820" s="99"/>
      <c r="AH820" s="99"/>
      <c r="AI820" s="99"/>
      <c r="AJ820" s="99"/>
      <c r="AK820" s="99"/>
      <c r="AL820" s="99"/>
      <c r="AM820" s="99"/>
    </row>
    <row r="821" ht="12.75" customHeight="1">
      <c r="A821" s="104"/>
      <c r="B821" s="104"/>
      <c r="C821" s="104"/>
      <c r="D821" s="110" t="s">
        <v>23</v>
      </c>
      <c r="G821" s="104"/>
      <c r="H821" s="104"/>
      <c r="I821" s="104"/>
      <c r="J821" s="111"/>
      <c r="K821" s="111"/>
      <c r="L821" s="105"/>
      <c r="M821" s="106"/>
      <c r="N821" s="105"/>
      <c r="O821" s="111"/>
      <c r="P821" s="111"/>
      <c r="Q821" s="111"/>
      <c r="R821" s="101"/>
      <c r="S821" s="101"/>
      <c r="T821" s="99"/>
      <c r="U821" s="99"/>
      <c r="V821" s="99"/>
      <c r="W821" s="99"/>
      <c r="X821" s="99"/>
      <c r="Y821" s="99"/>
      <c r="Z821" s="99"/>
      <c r="AA821" s="99"/>
      <c r="AB821" s="99"/>
      <c r="AC821" s="99"/>
      <c r="AD821" s="99"/>
      <c r="AE821" s="99"/>
      <c r="AF821" s="99"/>
      <c r="AG821" s="99"/>
      <c r="AH821" s="99"/>
      <c r="AI821" s="99"/>
      <c r="AJ821" s="99"/>
      <c r="AK821" s="99"/>
      <c r="AL821" s="99"/>
      <c r="AM821" s="99"/>
    </row>
    <row r="822" ht="12.75" customHeight="1">
      <c r="A822" s="104"/>
      <c r="B822" s="104"/>
      <c r="C822" s="104"/>
      <c r="D822" s="110" t="s">
        <v>24</v>
      </c>
      <c r="E822" s="110" t="s">
        <v>109</v>
      </c>
      <c r="G822" s="136">
        <v>10.0</v>
      </c>
      <c r="H822" s="136" t="s">
        <v>95</v>
      </c>
      <c r="I822" s="137">
        <v>50000.0</v>
      </c>
      <c r="J822" s="46">
        <f t="shared" ref="J822:J825" si="830">G822*I822</f>
        <v>500000</v>
      </c>
      <c r="K822" s="46"/>
      <c r="L822" s="105"/>
      <c r="M822" s="106"/>
      <c r="N822" s="105"/>
      <c r="O822" s="46">
        <f t="shared" ref="O822:O825" si="831">J822-K822</f>
        <v>500000</v>
      </c>
      <c r="P822" s="46">
        <f t="shared" ref="P822:P825" si="832">J822-M822</f>
        <v>500000</v>
      </c>
      <c r="Q822" s="46">
        <v>500000.0</v>
      </c>
      <c r="R822" s="101"/>
      <c r="S822" s="101"/>
      <c r="T822" s="99"/>
      <c r="U822" s="99"/>
      <c r="V822" s="99"/>
      <c r="W822" s="99"/>
      <c r="X822" s="99"/>
      <c r="Y822" s="99"/>
      <c r="Z822" s="99"/>
      <c r="AA822" s="99"/>
      <c r="AB822" s="99"/>
      <c r="AC822" s="99"/>
      <c r="AD822" s="99"/>
      <c r="AE822" s="99"/>
      <c r="AF822" s="99"/>
      <c r="AG822" s="99"/>
      <c r="AH822" s="99"/>
      <c r="AI822" s="99"/>
      <c r="AJ822" s="99"/>
      <c r="AK822" s="99"/>
      <c r="AL822" s="99"/>
      <c r="AM822" s="99"/>
    </row>
    <row r="823" ht="12.75" customHeight="1">
      <c r="A823" s="104"/>
      <c r="B823" s="104"/>
      <c r="C823" s="104"/>
      <c r="D823" s="110" t="s">
        <v>24</v>
      </c>
      <c r="E823" s="110" t="s">
        <v>110</v>
      </c>
      <c r="G823" s="136">
        <v>2.0</v>
      </c>
      <c r="H823" s="136" t="s">
        <v>95</v>
      </c>
      <c r="I823" s="137">
        <v>100000.0</v>
      </c>
      <c r="J823" s="46">
        <f t="shared" si="830"/>
        <v>200000</v>
      </c>
      <c r="K823" s="46"/>
      <c r="L823" s="105"/>
      <c r="M823" s="106"/>
      <c r="N823" s="105"/>
      <c r="O823" s="46">
        <f t="shared" si="831"/>
        <v>200000</v>
      </c>
      <c r="P823" s="46">
        <f t="shared" si="832"/>
        <v>200000</v>
      </c>
      <c r="Q823" s="46">
        <v>200000.0</v>
      </c>
      <c r="R823" s="101"/>
      <c r="S823" s="101"/>
      <c r="T823" s="99"/>
      <c r="U823" s="99"/>
      <c r="V823" s="99"/>
      <c r="W823" s="99"/>
      <c r="X823" s="99"/>
      <c r="Y823" s="99"/>
      <c r="Z823" s="99"/>
      <c r="AA823" s="99"/>
      <c r="AB823" s="99"/>
      <c r="AC823" s="99"/>
      <c r="AD823" s="99"/>
      <c r="AE823" s="99"/>
      <c r="AF823" s="99"/>
      <c r="AG823" s="99"/>
      <c r="AH823" s="99"/>
      <c r="AI823" s="99"/>
      <c r="AJ823" s="99"/>
      <c r="AK823" s="99"/>
      <c r="AL823" s="99"/>
      <c r="AM823" s="99"/>
    </row>
    <row r="824" ht="12.75" customHeight="1">
      <c r="A824" s="104"/>
      <c r="B824" s="104"/>
      <c r="C824" s="104"/>
      <c r="D824" s="110" t="s">
        <v>24</v>
      </c>
      <c r="E824" s="110" t="s">
        <v>111</v>
      </c>
      <c r="G824" s="136">
        <v>2.0</v>
      </c>
      <c r="H824" s="136" t="s">
        <v>95</v>
      </c>
      <c r="I824" s="137">
        <v>200000.0</v>
      </c>
      <c r="J824" s="46">
        <f t="shared" si="830"/>
        <v>400000</v>
      </c>
      <c r="K824" s="46"/>
      <c r="L824" s="105"/>
      <c r="M824" s="106"/>
      <c r="N824" s="105"/>
      <c r="O824" s="46">
        <f t="shared" si="831"/>
        <v>400000</v>
      </c>
      <c r="P824" s="46">
        <f t="shared" si="832"/>
        <v>400000</v>
      </c>
      <c r="Q824" s="46">
        <v>400000.0</v>
      </c>
      <c r="R824" s="101"/>
      <c r="S824" s="101"/>
      <c r="T824" s="99"/>
      <c r="U824" s="99"/>
      <c r="V824" s="99"/>
      <c r="W824" s="99"/>
      <c r="X824" s="99"/>
      <c r="Y824" s="99"/>
      <c r="Z824" s="99"/>
      <c r="AA824" s="99"/>
      <c r="AB824" s="99"/>
      <c r="AC824" s="99"/>
      <c r="AD824" s="99"/>
      <c r="AE824" s="99"/>
      <c r="AF824" s="99"/>
      <c r="AG824" s="99"/>
      <c r="AH824" s="99"/>
      <c r="AI824" s="99"/>
      <c r="AJ824" s="99"/>
      <c r="AK824" s="99"/>
      <c r="AL824" s="99"/>
      <c r="AM824" s="99"/>
    </row>
    <row r="825" ht="12.75" customHeight="1">
      <c r="A825" s="104"/>
      <c r="B825" s="104"/>
      <c r="C825" s="104"/>
      <c r="D825" s="110" t="s">
        <v>24</v>
      </c>
      <c r="E825" s="110" t="s">
        <v>112</v>
      </c>
      <c r="G825" s="136">
        <v>2.0</v>
      </c>
      <c r="H825" s="136" t="s">
        <v>95</v>
      </c>
      <c r="I825" s="137">
        <v>30000.0</v>
      </c>
      <c r="J825" s="46">
        <f t="shared" si="830"/>
        <v>60000</v>
      </c>
      <c r="K825" s="46"/>
      <c r="L825" s="105"/>
      <c r="M825" s="106"/>
      <c r="N825" s="105"/>
      <c r="O825" s="46">
        <f t="shared" si="831"/>
        <v>60000</v>
      </c>
      <c r="P825" s="46">
        <f t="shared" si="832"/>
        <v>60000</v>
      </c>
      <c r="Q825" s="46">
        <v>60000.0</v>
      </c>
      <c r="R825" s="101"/>
      <c r="S825" s="101"/>
      <c r="T825" s="99"/>
      <c r="U825" s="99"/>
      <c r="V825" s="99"/>
      <c r="W825" s="99"/>
      <c r="X825" s="99"/>
      <c r="Y825" s="99"/>
      <c r="Z825" s="99"/>
      <c r="AA825" s="99"/>
      <c r="AB825" s="99"/>
      <c r="AC825" s="99"/>
      <c r="AD825" s="99"/>
      <c r="AE825" s="99"/>
      <c r="AF825" s="99"/>
      <c r="AG825" s="99"/>
      <c r="AH825" s="99"/>
      <c r="AI825" s="99"/>
      <c r="AJ825" s="99"/>
      <c r="AK825" s="99"/>
      <c r="AL825" s="99"/>
      <c r="AM825" s="99"/>
    </row>
    <row r="826" ht="12.75" customHeight="1">
      <c r="A826" s="144" t="s">
        <v>113</v>
      </c>
      <c r="D826" s="144" t="s">
        <v>114</v>
      </c>
      <c r="G826" s="104"/>
      <c r="H826" s="128"/>
      <c r="I826" s="104"/>
      <c r="J826" s="129">
        <f t="shared" ref="J826:K826" si="833">J827</f>
        <v>410750000</v>
      </c>
      <c r="K826" s="43">
        <f t="shared" si="833"/>
        <v>0</v>
      </c>
      <c r="L826" s="105"/>
      <c r="M826" s="106"/>
      <c r="N826" s="105"/>
      <c r="O826" s="43">
        <f t="shared" ref="O826:P826" si="834">O827</f>
        <v>410750000</v>
      </c>
      <c r="P826" s="43">
        <f t="shared" si="834"/>
        <v>403262452</v>
      </c>
      <c r="Q826" s="43">
        <v>4.1075E8</v>
      </c>
      <c r="R826" s="101"/>
      <c r="S826" s="101"/>
      <c r="T826" s="99"/>
      <c r="U826" s="99"/>
      <c r="V826" s="99"/>
      <c r="W826" s="99"/>
      <c r="X826" s="99"/>
      <c r="Y826" s="99"/>
      <c r="Z826" s="99"/>
      <c r="AA826" s="99"/>
      <c r="AB826" s="99"/>
      <c r="AC826" s="99"/>
      <c r="AD826" s="99"/>
      <c r="AE826" s="99"/>
      <c r="AF826" s="99"/>
      <c r="AG826" s="99"/>
      <c r="AH826" s="99"/>
      <c r="AI826" s="99"/>
      <c r="AJ826" s="99"/>
      <c r="AK826" s="99"/>
      <c r="AL826" s="99"/>
      <c r="AM826" s="99"/>
    </row>
    <row r="827" ht="12.75" customHeight="1">
      <c r="A827" s="110" t="s">
        <v>68</v>
      </c>
      <c r="D827" s="145" t="s">
        <v>69</v>
      </c>
      <c r="G827" s="104"/>
      <c r="H827" s="133"/>
      <c r="I827" s="104"/>
      <c r="J827" s="134">
        <f t="shared" ref="J827:K827" si="835">SUM(J829:J839)</f>
        <v>410750000</v>
      </c>
      <c r="K827" s="46">
        <f t="shared" si="835"/>
        <v>0</v>
      </c>
      <c r="L827" s="105"/>
      <c r="M827" s="106"/>
      <c r="N827" s="105"/>
      <c r="O827" s="46">
        <f t="shared" ref="O827:P827" si="836">SUM(O829:O839)</f>
        <v>410750000</v>
      </c>
      <c r="P827" s="46">
        <f t="shared" si="836"/>
        <v>403262452</v>
      </c>
      <c r="Q827" s="46">
        <v>4.1075E8</v>
      </c>
      <c r="R827" s="101"/>
      <c r="S827" s="101"/>
      <c r="T827" s="99"/>
      <c r="U827" s="99"/>
      <c r="V827" s="99"/>
      <c r="W827" s="99"/>
      <c r="X827" s="99"/>
      <c r="Y827" s="99"/>
      <c r="Z827" s="99"/>
      <c r="AA827" s="99"/>
      <c r="AB827" s="99"/>
      <c r="AC827" s="99"/>
      <c r="AD827" s="99"/>
      <c r="AE827" s="99"/>
      <c r="AF827" s="99"/>
      <c r="AG827" s="99"/>
      <c r="AH827" s="99"/>
      <c r="AI827" s="99"/>
      <c r="AJ827" s="99"/>
      <c r="AK827" s="99"/>
      <c r="AL827" s="99"/>
      <c r="AM827" s="99"/>
    </row>
    <row r="828" ht="12.75" customHeight="1">
      <c r="A828" s="104"/>
      <c r="B828" s="104"/>
      <c r="C828" s="104"/>
      <c r="D828" s="110" t="s">
        <v>23</v>
      </c>
      <c r="G828" s="104"/>
      <c r="H828" s="104"/>
      <c r="I828" s="104"/>
      <c r="J828" s="111"/>
      <c r="K828" s="111"/>
      <c r="L828" s="105"/>
      <c r="M828" s="106"/>
      <c r="N828" s="105"/>
      <c r="O828" s="111"/>
      <c r="P828" s="111"/>
      <c r="Q828" s="111"/>
      <c r="R828" s="101"/>
      <c r="S828" s="101"/>
      <c r="T828" s="99"/>
      <c r="U828" s="99"/>
      <c r="V828" s="99"/>
      <c r="W828" s="99"/>
      <c r="X828" s="99"/>
      <c r="Y828" s="99"/>
      <c r="Z828" s="99"/>
      <c r="AA828" s="99"/>
      <c r="AB828" s="99"/>
      <c r="AC828" s="99"/>
      <c r="AD828" s="99"/>
      <c r="AE828" s="99"/>
      <c r="AF828" s="99"/>
      <c r="AG828" s="99"/>
      <c r="AH828" s="99"/>
      <c r="AI828" s="99"/>
      <c r="AJ828" s="99"/>
      <c r="AK828" s="99"/>
      <c r="AL828" s="99"/>
      <c r="AM828" s="99"/>
    </row>
    <row r="829" ht="12.75" customHeight="1">
      <c r="A829" s="104"/>
      <c r="B829" s="104"/>
      <c r="C829" s="104"/>
      <c r="D829" s="110" t="s">
        <v>24</v>
      </c>
      <c r="E829" s="110" t="s">
        <v>172</v>
      </c>
      <c r="G829" s="136">
        <v>100.0</v>
      </c>
      <c r="H829" s="136" t="s">
        <v>95</v>
      </c>
      <c r="I829" s="137">
        <v>110000.0</v>
      </c>
      <c r="J829" s="46">
        <f t="shared" ref="J829:J839" si="837">G829*I829</f>
        <v>11000000</v>
      </c>
      <c r="K829" s="46"/>
      <c r="L829" s="105"/>
      <c r="M829" s="106"/>
      <c r="N829" s="105"/>
      <c r="O829" s="46">
        <f t="shared" ref="O829:O839" si="838">J829-K829</f>
        <v>11000000</v>
      </c>
      <c r="P829" s="46">
        <f t="shared" ref="P829:P839" si="839">J829-M829</f>
        <v>11000000</v>
      </c>
      <c r="Q829" s="46">
        <v>1.1E7</v>
      </c>
      <c r="R829" s="101"/>
      <c r="S829" s="101"/>
      <c r="T829" s="99"/>
      <c r="U829" s="99"/>
      <c r="V829" s="99"/>
      <c r="W829" s="99"/>
      <c r="X829" s="99"/>
      <c r="Y829" s="99"/>
      <c r="Z829" s="99"/>
      <c r="AA829" s="99"/>
      <c r="AB829" s="99"/>
      <c r="AC829" s="99"/>
      <c r="AD829" s="99"/>
      <c r="AE829" s="99"/>
      <c r="AF829" s="99"/>
      <c r="AG829" s="99"/>
      <c r="AH829" s="99"/>
      <c r="AI829" s="99"/>
      <c r="AJ829" s="99"/>
      <c r="AK829" s="99"/>
      <c r="AL829" s="99"/>
      <c r="AM829" s="99"/>
    </row>
    <row r="830" ht="12.75" customHeight="1">
      <c r="A830" s="104"/>
      <c r="B830" s="104"/>
      <c r="C830" s="104"/>
      <c r="D830" s="110" t="s">
        <v>24</v>
      </c>
      <c r="E830" s="110" t="s">
        <v>173</v>
      </c>
      <c r="G830" s="136">
        <v>100.0</v>
      </c>
      <c r="H830" s="136" t="s">
        <v>95</v>
      </c>
      <c r="I830" s="137">
        <v>120000.0</v>
      </c>
      <c r="J830" s="46">
        <f t="shared" si="837"/>
        <v>12000000</v>
      </c>
      <c r="K830" s="46"/>
      <c r="L830" s="105"/>
      <c r="M830" s="106"/>
      <c r="N830" s="105"/>
      <c r="O830" s="46">
        <f t="shared" si="838"/>
        <v>12000000</v>
      </c>
      <c r="P830" s="46">
        <f t="shared" si="839"/>
        <v>12000000</v>
      </c>
      <c r="Q830" s="46">
        <v>1.2E7</v>
      </c>
      <c r="R830" s="101"/>
      <c r="S830" s="101"/>
      <c r="T830" s="99"/>
      <c r="U830" s="99"/>
      <c r="V830" s="99"/>
      <c r="W830" s="99"/>
      <c r="X830" s="99"/>
      <c r="Y830" s="99"/>
      <c r="Z830" s="99"/>
      <c r="AA830" s="99"/>
      <c r="AB830" s="99"/>
      <c r="AC830" s="99"/>
      <c r="AD830" s="99"/>
      <c r="AE830" s="99"/>
      <c r="AF830" s="99"/>
      <c r="AG830" s="99"/>
      <c r="AH830" s="99"/>
      <c r="AI830" s="99"/>
      <c r="AJ830" s="99"/>
      <c r="AK830" s="99"/>
      <c r="AL830" s="99"/>
      <c r="AM830" s="99"/>
    </row>
    <row r="831" ht="12.75" customHeight="1">
      <c r="A831" s="104"/>
      <c r="B831" s="104"/>
      <c r="C831" s="104"/>
      <c r="D831" s="110" t="s">
        <v>24</v>
      </c>
      <c r="E831" s="110" t="s">
        <v>174</v>
      </c>
      <c r="G831" s="136">
        <v>100.0</v>
      </c>
      <c r="H831" s="136" t="s">
        <v>95</v>
      </c>
      <c r="I831" s="137">
        <v>150000.0</v>
      </c>
      <c r="J831" s="46">
        <f t="shared" si="837"/>
        <v>15000000</v>
      </c>
      <c r="K831" s="46"/>
      <c r="L831" s="105"/>
      <c r="M831" s="106"/>
      <c r="N831" s="105"/>
      <c r="O831" s="46">
        <f t="shared" si="838"/>
        <v>15000000</v>
      </c>
      <c r="P831" s="46">
        <f t="shared" si="839"/>
        <v>15000000</v>
      </c>
      <c r="Q831" s="46">
        <v>1.5E7</v>
      </c>
      <c r="R831" s="101"/>
      <c r="S831" s="101"/>
      <c r="T831" s="99"/>
      <c r="U831" s="99"/>
      <c r="V831" s="99"/>
      <c r="W831" s="99"/>
      <c r="X831" s="99"/>
      <c r="Y831" s="99"/>
      <c r="Z831" s="99"/>
      <c r="AA831" s="99"/>
      <c r="AB831" s="99"/>
      <c r="AC831" s="99"/>
      <c r="AD831" s="99"/>
      <c r="AE831" s="99"/>
      <c r="AF831" s="99"/>
      <c r="AG831" s="99"/>
      <c r="AH831" s="99"/>
      <c r="AI831" s="99"/>
      <c r="AJ831" s="99"/>
      <c r="AK831" s="99"/>
      <c r="AL831" s="99"/>
      <c r="AM831" s="99"/>
    </row>
    <row r="832" ht="12.75" customHeight="1">
      <c r="A832" s="104"/>
      <c r="B832" s="104"/>
      <c r="C832" s="104"/>
      <c r="D832" s="110" t="s">
        <v>24</v>
      </c>
      <c r="E832" s="110" t="s">
        <v>175</v>
      </c>
      <c r="G832" s="136">
        <v>100.0</v>
      </c>
      <c r="H832" s="136" t="s">
        <v>95</v>
      </c>
      <c r="I832" s="137">
        <v>100000.0</v>
      </c>
      <c r="J832" s="46">
        <f t="shared" si="837"/>
        <v>10000000</v>
      </c>
      <c r="K832" s="46"/>
      <c r="L832" s="105"/>
      <c r="M832" s="106"/>
      <c r="N832" s="105"/>
      <c r="O832" s="46">
        <f t="shared" si="838"/>
        <v>10000000</v>
      </c>
      <c r="P832" s="46">
        <f t="shared" si="839"/>
        <v>10000000</v>
      </c>
      <c r="Q832" s="46">
        <v>1.0E7</v>
      </c>
      <c r="R832" s="101"/>
      <c r="S832" s="101"/>
      <c r="T832" s="99"/>
      <c r="U832" s="99"/>
      <c r="V832" s="99"/>
      <c r="W832" s="99"/>
      <c r="X832" s="99"/>
      <c r="Y832" s="99"/>
      <c r="Z832" s="99"/>
      <c r="AA832" s="99"/>
      <c r="AB832" s="99"/>
      <c r="AC832" s="99"/>
      <c r="AD832" s="99"/>
      <c r="AE832" s="99"/>
      <c r="AF832" s="99"/>
      <c r="AG832" s="99"/>
      <c r="AH832" s="99"/>
      <c r="AI832" s="99"/>
      <c r="AJ832" s="99"/>
      <c r="AK832" s="99"/>
      <c r="AL832" s="99"/>
      <c r="AM832" s="99"/>
    </row>
    <row r="833" ht="12.75" customHeight="1">
      <c r="A833" s="104"/>
      <c r="B833" s="104"/>
      <c r="C833" s="104"/>
      <c r="D833" s="110" t="s">
        <v>24</v>
      </c>
      <c r="E833" s="110" t="s">
        <v>176</v>
      </c>
      <c r="G833" s="136">
        <v>100.0</v>
      </c>
      <c r="H833" s="136" t="s">
        <v>95</v>
      </c>
      <c r="I833" s="137">
        <v>350000.0</v>
      </c>
      <c r="J833" s="46">
        <f t="shared" si="837"/>
        <v>35000000</v>
      </c>
      <c r="K833" s="46"/>
      <c r="L833" s="105"/>
      <c r="M833" s="106"/>
      <c r="N833" s="105"/>
      <c r="O833" s="46">
        <f t="shared" si="838"/>
        <v>35000000</v>
      </c>
      <c r="P833" s="46">
        <f t="shared" si="839"/>
        <v>35000000</v>
      </c>
      <c r="Q833" s="46">
        <v>3.5E7</v>
      </c>
      <c r="R833" s="101"/>
      <c r="S833" s="101"/>
      <c r="T833" s="99"/>
      <c r="U833" s="99"/>
      <c r="V833" s="99"/>
      <c r="W833" s="99"/>
      <c r="X833" s="99"/>
      <c r="Y833" s="99"/>
      <c r="Z833" s="99"/>
      <c r="AA833" s="99"/>
      <c r="AB833" s="99"/>
      <c r="AC833" s="99"/>
      <c r="AD833" s="99"/>
      <c r="AE833" s="99"/>
      <c r="AF833" s="99"/>
      <c r="AG833" s="99"/>
      <c r="AH833" s="99"/>
      <c r="AI833" s="99"/>
      <c r="AJ833" s="99"/>
      <c r="AK833" s="99"/>
      <c r="AL833" s="99"/>
      <c r="AM833" s="99"/>
    </row>
    <row r="834" ht="12.75" customHeight="1">
      <c r="A834" s="104"/>
      <c r="B834" s="104"/>
      <c r="C834" s="104"/>
      <c r="D834" s="110" t="s">
        <v>24</v>
      </c>
      <c r="E834" s="110" t="s">
        <v>177</v>
      </c>
      <c r="G834" s="136">
        <v>50.0</v>
      </c>
      <c r="H834" s="136" t="s">
        <v>95</v>
      </c>
      <c r="I834" s="137">
        <v>175000.0</v>
      </c>
      <c r="J834" s="46">
        <f t="shared" si="837"/>
        <v>8750000</v>
      </c>
      <c r="K834" s="46"/>
      <c r="L834" s="105"/>
      <c r="M834" s="106"/>
      <c r="N834" s="105"/>
      <c r="O834" s="46">
        <f t="shared" si="838"/>
        <v>8750000</v>
      </c>
      <c r="P834" s="46">
        <f t="shared" si="839"/>
        <v>8750000</v>
      </c>
      <c r="Q834" s="46">
        <v>8750000.0</v>
      </c>
      <c r="R834" s="101"/>
      <c r="S834" s="101"/>
      <c r="T834" s="99"/>
      <c r="U834" s="99"/>
      <c r="V834" s="99"/>
      <c r="W834" s="99"/>
      <c r="X834" s="99"/>
      <c r="Y834" s="99"/>
      <c r="Z834" s="99"/>
      <c r="AA834" s="99"/>
      <c r="AB834" s="99"/>
      <c r="AC834" s="99"/>
      <c r="AD834" s="99"/>
      <c r="AE834" s="99"/>
      <c r="AF834" s="99"/>
      <c r="AG834" s="99"/>
      <c r="AH834" s="99"/>
      <c r="AI834" s="99"/>
      <c r="AJ834" s="99"/>
      <c r="AK834" s="99"/>
      <c r="AL834" s="99"/>
      <c r="AM834" s="99"/>
    </row>
    <row r="835" ht="12.75" customHeight="1">
      <c r="A835" s="104"/>
      <c r="B835" s="104"/>
      <c r="C835" s="104"/>
      <c r="D835" s="110" t="s">
        <v>24</v>
      </c>
      <c r="E835" s="110" t="s">
        <v>178</v>
      </c>
      <c r="G835" s="136">
        <v>350.0</v>
      </c>
      <c r="H835" s="136" t="s">
        <v>95</v>
      </c>
      <c r="I835" s="137">
        <v>150000.0</v>
      </c>
      <c r="J835" s="46">
        <f t="shared" si="837"/>
        <v>52500000</v>
      </c>
      <c r="K835" s="46"/>
      <c r="L835" s="105"/>
      <c r="M835" s="106"/>
      <c r="N835" s="105"/>
      <c r="O835" s="46">
        <f t="shared" si="838"/>
        <v>52500000</v>
      </c>
      <c r="P835" s="46">
        <f t="shared" si="839"/>
        <v>52500000</v>
      </c>
      <c r="Q835" s="46">
        <v>5.25E7</v>
      </c>
      <c r="R835" s="101"/>
      <c r="S835" s="101"/>
      <c r="T835" s="99"/>
      <c r="U835" s="99"/>
      <c r="V835" s="99"/>
      <c r="W835" s="99"/>
      <c r="X835" s="99"/>
      <c r="Y835" s="99"/>
      <c r="Z835" s="99"/>
      <c r="AA835" s="99"/>
      <c r="AB835" s="99"/>
      <c r="AC835" s="99"/>
      <c r="AD835" s="99"/>
      <c r="AE835" s="99"/>
      <c r="AF835" s="99"/>
      <c r="AG835" s="99"/>
      <c r="AH835" s="99"/>
      <c r="AI835" s="99"/>
      <c r="AJ835" s="99"/>
      <c r="AK835" s="99"/>
      <c r="AL835" s="99"/>
      <c r="AM835" s="99"/>
    </row>
    <row r="836" ht="12.75" customHeight="1">
      <c r="A836" s="104"/>
      <c r="B836" s="104"/>
      <c r="C836" s="104"/>
      <c r="D836" s="110" t="s">
        <v>24</v>
      </c>
      <c r="E836" s="110" t="s">
        <v>179</v>
      </c>
      <c r="G836" s="136">
        <v>350.0</v>
      </c>
      <c r="H836" s="136" t="s">
        <v>95</v>
      </c>
      <c r="I836" s="137">
        <v>200000.0</v>
      </c>
      <c r="J836" s="46">
        <f t="shared" si="837"/>
        <v>70000000</v>
      </c>
      <c r="K836" s="46"/>
      <c r="L836" s="105"/>
      <c r="M836" s="106"/>
      <c r="N836" s="105"/>
      <c r="O836" s="46">
        <f t="shared" si="838"/>
        <v>70000000</v>
      </c>
      <c r="P836" s="46">
        <f t="shared" si="839"/>
        <v>70000000</v>
      </c>
      <c r="Q836" s="46">
        <v>7.0E7</v>
      </c>
      <c r="R836" s="101"/>
      <c r="S836" s="101"/>
      <c r="T836" s="99"/>
      <c r="U836" s="99"/>
      <c r="V836" s="99"/>
      <c r="W836" s="99"/>
      <c r="X836" s="99"/>
      <c r="Y836" s="99"/>
      <c r="Z836" s="99"/>
      <c r="AA836" s="99"/>
      <c r="AB836" s="99"/>
      <c r="AC836" s="99"/>
      <c r="AD836" s="99"/>
      <c r="AE836" s="99"/>
      <c r="AF836" s="99"/>
      <c r="AG836" s="99"/>
      <c r="AH836" s="99"/>
      <c r="AI836" s="99"/>
      <c r="AJ836" s="99"/>
      <c r="AK836" s="99"/>
      <c r="AL836" s="99"/>
      <c r="AM836" s="99"/>
    </row>
    <row r="837" ht="15.75" customHeight="1">
      <c r="A837" s="104"/>
      <c r="B837" s="104"/>
      <c r="C837" s="104"/>
      <c r="D837" s="110" t="s">
        <v>24</v>
      </c>
      <c r="E837" s="110" t="s">
        <v>180</v>
      </c>
      <c r="G837" s="136">
        <v>600.0</v>
      </c>
      <c r="H837" s="136" t="s">
        <v>95</v>
      </c>
      <c r="I837" s="137">
        <v>250000.0</v>
      </c>
      <c r="J837" s="46">
        <f t="shared" si="837"/>
        <v>150000000</v>
      </c>
      <c r="K837" s="46"/>
      <c r="L837" s="105"/>
      <c r="M837" s="138">
        <v>7487548.0</v>
      </c>
      <c r="N837" s="105"/>
      <c r="O837" s="46">
        <f t="shared" si="838"/>
        <v>150000000</v>
      </c>
      <c r="P837" s="46">
        <f t="shared" si="839"/>
        <v>142512452</v>
      </c>
      <c r="Q837" s="46">
        <v>1.5E8</v>
      </c>
      <c r="R837" s="101"/>
      <c r="S837" s="101"/>
      <c r="T837" s="99"/>
      <c r="U837" s="99"/>
      <c r="V837" s="99"/>
      <c r="W837" s="99"/>
      <c r="X837" s="99"/>
      <c r="Y837" s="99"/>
      <c r="Z837" s="99"/>
      <c r="AA837" s="99"/>
      <c r="AB837" s="99"/>
      <c r="AC837" s="99"/>
      <c r="AD837" s="99"/>
      <c r="AE837" s="99"/>
      <c r="AF837" s="99"/>
      <c r="AG837" s="99"/>
      <c r="AH837" s="99"/>
      <c r="AI837" s="99"/>
      <c r="AJ837" s="99"/>
      <c r="AK837" s="99"/>
      <c r="AL837" s="99"/>
      <c r="AM837" s="99"/>
    </row>
    <row r="838" ht="12.75" customHeight="1">
      <c r="A838" s="104"/>
      <c r="B838" s="104"/>
      <c r="C838" s="104"/>
      <c r="D838" s="110" t="s">
        <v>24</v>
      </c>
      <c r="E838" s="110" t="s">
        <v>181</v>
      </c>
      <c r="G838" s="136">
        <v>360.0</v>
      </c>
      <c r="H838" s="136" t="s">
        <v>95</v>
      </c>
      <c r="I838" s="137">
        <v>100000.0</v>
      </c>
      <c r="J838" s="46">
        <f t="shared" si="837"/>
        <v>36000000</v>
      </c>
      <c r="K838" s="46"/>
      <c r="L838" s="105"/>
      <c r="M838" s="106"/>
      <c r="N838" s="105"/>
      <c r="O838" s="46">
        <f t="shared" si="838"/>
        <v>36000000</v>
      </c>
      <c r="P838" s="46">
        <f t="shared" si="839"/>
        <v>36000000</v>
      </c>
      <c r="Q838" s="46">
        <v>3.6E7</v>
      </c>
      <c r="R838" s="101"/>
      <c r="S838" s="101"/>
      <c r="T838" s="99"/>
      <c r="U838" s="99"/>
      <c r="V838" s="99"/>
      <c r="W838" s="99"/>
      <c r="X838" s="99"/>
      <c r="Y838" s="99"/>
      <c r="Z838" s="99"/>
      <c r="AA838" s="99"/>
      <c r="AB838" s="99"/>
      <c r="AC838" s="99"/>
      <c r="AD838" s="99"/>
      <c r="AE838" s="99"/>
      <c r="AF838" s="99"/>
      <c r="AG838" s="99"/>
      <c r="AH838" s="99"/>
      <c r="AI838" s="99"/>
      <c r="AJ838" s="99"/>
      <c r="AK838" s="99"/>
      <c r="AL838" s="99"/>
      <c r="AM838" s="99"/>
    </row>
    <row r="839" ht="12.75" customHeight="1">
      <c r="A839" s="104"/>
      <c r="B839" s="104"/>
      <c r="C839" s="104"/>
      <c r="D839" s="110" t="s">
        <v>24</v>
      </c>
      <c r="E839" s="110" t="s">
        <v>182</v>
      </c>
      <c r="G839" s="136">
        <v>210.0</v>
      </c>
      <c r="H839" s="136" t="s">
        <v>95</v>
      </c>
      <c r="I839" s="137">
        <v>50000.0</v>
      </c>
      <c r="J839" s="46">
        <f t="shared" si="837"/>
        <v>10500000</v>
      </c>
      <c r="K839" s="46"/>
      <c r="L839" s="105"/>
      <c r="M839" s="106"/>
      <c r="N839" s="105"/>
      <c r="O839" s="46">
        <f t="shared" si="838"/>
        <v>10500000</v>
      </c>
      <c r="P839" s="46">
        <f t="shared" si="839"/>
        <v>10500000</v>
      </c>
      <c r="Q839" s="46">
        <v>1.05E7</v>
      </c>
      <c r="R839" s="101"/>
      <c r="S839" s="101"/>
      <c r="T839" s="99"/>
      <c r="U839" s="99"/>
      <c r="V839" s="99"/>
      <c r="W839" s="99"/>
      <c r="X839" s="99"/>
      <c r="Y839" s="99"/>
      <c r="Z839" s="99"/>
      <c r="AA839" s="99"/>
      <c r="AB839" s="99"/>
      <c r="AC839" s="99"/>
      <c r="AD839" s="99"/>
      <c r="AE839" s="99"/>
      <c r="AF839" s="99"/>
      <c r="AG839" s="99"/>
      <c r="AH839" s="99"/>
      <c r="AI839" s="99"/>
      <c r="AJ839" s="99"/>
      <c r="AK839" s="99"/>
      <c r="AL839" s="99"/>
      <c r="AM839" s="99"/>
    </row>
    <row r="840" ht="12.75" customHeight="1">
      <c r="A840" s="144" t="s">
        <v>126</v>
      </c>
      <c r="D840" s="144" t="s">
        <v>127</v>
      </c>
      <c r="G840" s="104"/>
      <c r="H840" s="128"/>
      <c r="I840" s="104"/>
      <c r="J840" s="129">
        <f t="shared" ref="J840:K840" si="840">J841</f>
        <v>190740000</v>
      </c>
      <c r="K840" s="43">
        <f t="shared" si="840"/>
        <v>0</v>
      </c>
      <c r="L840" s="105"/>
      <c r="M840" s="106"/>
      <c r="N840" s="105"/>
      <c r="O840" s="43">
        <f t="shared" ref="O840:P840" si="841">O841</f>
        <v>190740000</v>
      </c>
      <c r="P840" s="43">
        <f t="shared" si="841"/>
        <v>190740000</v>
      </c>
      <c r="Q840" s="43">
        <v>1.9074E8</v>
      </c>
      <c r="R840" s="101"/>
      <c r="S840" s="101"/>
      <c r="T840" s="99"/>
      <c r="U840" s="99"/>
      <c r="V840" s="99"/>
      <c r="W840" s="99"/>
      <c r="X840" s="99"/>
      <c r="Y840" s="99"/>
      <c r="Z840" s="99"/>
      <c r="AA840" s="99"/>
      <c r="AB840" s="99"/>
      <c r="AC840" s="99"/>
      <c r="AD840" s="99"/>
      <c r="AE840" s="99"/>
      <c r="AF840" s="99"/>
      <c r="AG840" s="99"/>
      <c r="AH840" s="99"/>
      <c r="AI840" s="99"/>
      <c r="AJ840" s="99"/>
      <c r="AK840" s="99"/>
      <c r="AL840" s="99"/>
      <c r="AM840" s="99"/>
    </row>
    <row r="841" ht="12.75" customHeight="1">
      <c r="A841" s="110" t="s">
        <v>68</v>
      </c>
      <c r="D841" s="145" t="s">
        <v>69</v>
      </c>
      <c r="G841" s="104"/>
      <c r="H841" s="133"/>
      <c r="I841" s="104"/>
      <c r="J841" s="134">
        <f t="shared" ref="J841:K841" si="842">SUM(J843:J847)</f>
        <v>190740000</v>
      </c>
      <c r="K841" s="46">
        <f t="shared" si="842"/>
        <v>0</v>
      </c>
      <c r="L841" s="105"/>
      <c r="M841" s="106"/>
      <c r="N841" s="105"/>
      <c r="O841" s="46">
        <f t="shared" ref="O841:P841" si="843">SUM(O843:O847)</f>
        <v>190740000</v>
      </c>
      <c r="P841" s="46">
        <f t="shared" si="843"/>
        <v>190740000</v>
      </c>
      <c r="Q841" s="46">
        <v>1.9074E8</v>
      </c>
      <c r="R841" s="101"/>
      <c r="S841" s="101"/>
      <c r="T841" s="99"/>
      <c r="U841" s="99"/>
      <c r="V841" s="99"/>
      <c r="W841" s="99"/>
      <c r="X841" s="99"/>
      <c r="Y841" s="99"/>
      <c r="Z841" s="99"/>
      <c r="AA841" s="99"/>
      <c r="AB841" s="99"/>
      <c r="AC841" s="99"/>
      <c r="AD841" s="99"/>
      <c r="AE841" s="99"/>
      <c r="AF841" s="99"/>
      <c r="AG841" s="99"/>
      <c r="AH841" s="99"/>
      <c r="AI841" s="99"/>
      <c r="AJ841" s="99"/>
      <c r="AK841" s="99"/>
      <c r="AL841" s="99"/>
      <c r="AM841" s="99"/>
    </row>
    <row r="842" ht="12.75" customHeight="1">
      <c r="A842" s="104"/>
      <c r="B842" s="104"/>
      <c r="C842" s="104"/>
      <c r="D842" s="110" t="s">
        <v>23</v>
      </c>
      <c r="G842" s="104"/>
      <c r="H842" s="104"/>
      <c r="I842" s="104"/>
      <c r="J842" s="111"/>
      <c r="K842" s="111"/>
      <c r="L842" s="105"/>
      <c r="M842" s="106"/>
      <c r="N842" s="105"/>
      <c r="O842" s="111"/>
      <c r="P842" s="111"/>
      <c r="Q842" s="111"/>
      <c r="R842" s="101"/>
      <c r="S842" s="101"/>
      <c r="T842" s="99"/>
      <c r="U842" s="99"/>
      <c r="V842" s="99"/>
      <c r="W842" s="99"/>
      <c r="X842" s="99"/>
      <c r="Y842" s="99"/>
      <c r="Z842" s="99"/>
      <c r="AA842" s="99"/>
      <c r="AB842" s="99"/>
      <c r="AC842" s="99"/>
      <c r="AD842" s="99"/>
      <c r="AE842" s="99"/>
      <c r="AF842" s="99"/>
      <c r="AG842" s="99"/>
      <c r="AH842" s="99"/>
      <c r="AI842" s="99"/>
      <c r="AJ842" s="99"/>
      <c r="AK842" s="99"/>
      <c r="AL842" s="99"/>
      <c r="AM842" s="99"/>
    </row>
    <row r="843" ht="12.75" customHeight="1">
      <c r="A843" s="104"/>
      <c r="B843" s="104"/>
      <c r="C843" s="104"/>
      <c r="D843" s="110" t="s">
        <v>24</v>
      </c>
      <c r="E843" s="110" t="s">
        <v>128</v>
      </c>
      <c r="G843" s="136">
        <v>88.0</v>
      </c>
      <c r="H843" s="136" t="s">
        <v>233</v>
      </c>
      <c r="I843" s="137">
        <v>110000.0</v>
      </c>
      <c r="J843" s="46">
        <f t="shared" ref="J843:J847" si="844">G843*I843</f>
        <v>9680000</v>
      </c>
      <c r="K843" s="46"/>
      <c r="L843" s="105"/>
      <c r="M843" s="106"/>
      <c r="N843" s="105"/>
      <c r="O843" s="46">
        <f t="shared" ref="O843:O847" si="845">J843-K843</f>
        <v>9680000</v>
      </c>
      <c r="P843" s="46">
        <f t="shared" ref="P843:P847" si="846">J843-M843</f>
        <v>9680000</v>
      </c>
      <c r="Q843" s="46">
        <v>9680000.0</v>
      </c>
      <c r="R843" s="101"/>
      <c r="S843" s="101"/>
      <c r="T843" s="99"/>
      <c r="U843" s="99"/>
      <c r="V843" s="99"/>
      <c r="W843" s="99"/>
      <c r="X843" s="99"/>
      <c r="Y843" s="99"/>
      <c r="Z843" s="99"/>
      <c r="AA843" s="99"/>
      <c r="AB843" s="99"/>
      <c r="AC843" s="99"/>
      <c r="AD843" s="99"/>
      <c r="AE843" s="99"/>
      <c r="AF843" s="99"/>
      <c r="AG843" s="99"/>
      <c r="AH843" s="99"/>
      <c r="AI843" s="99"/>
      <c r="AJ843" s="99"/>
      <c r="AK843" s="99"/>
      <c r="AL843" s="99"/>
      <c r="AM843" s="99"/>
    </row>
    <row r="844" ht="12.75" customHeight="1">
      <c r="A844" s="104"/>
      <c r="B844" s="104"/>
      <c r="C844" s="104"/>
      <c r="D844" s="110" t="s">
        <v>24</v>
      </c>
      <c r="E844" s="110" t="s">
        <v>130</v>
      </c>
      <c r="G844" s="136">
        <v>88.0</v>
      </c>
      <c r="H844" s="136" t="s">
        <v>233</v>
      </c>
      <c r="I844" s="137">
        <v>120000.0</v>
      </c>
      <c r="J844" s="46">
        <f t="shared" si="844"/>
        <v>10560000</v>
      </c>
      <c r="K844" s="46"/>
      <c r="L844" s="105"/>
      <c r="M844" s="106"/>
      <c r="N844" s="105"/>
      <c r="O844" s="46">
        <f t="shared" si="845"/>
        <v>10560000</v>
      </c>
      <c r="P844" s="46">
        <f t="shared" si="846"/>
        <v>10560000</v>
      </c>
      <c r="Q844" s="46">
        <v>1.056E7</v>
      </c>
      <c r="R844" s="101"/>
      <c r="S844" s="101"/>
      <c r="T844" s="99"/>
      <c r="U844" s="99"/>
      <c r="V844" s="99"/>
      <c r="W844" s="99"/>
      <c r="X844" s="99"/>
      <c r="Y844" s="99"/>
      <c r="Z844" s="99"/>
      <c r="AA844" s="99"/>
      <c r="AB844" s="99"/>
      <c r="AC844" s="99"/>
      <c r="AD844" s="99"/>
      <c r="AE844" s="99"/>
      <c r="AF844" s="99"/>
      <c r="AG844" s="99"/>
      <c r="AH844" s="99"/>
      <c r="AI844" s="99"/>
      <c r="AJ844" s="99"/>
      <c r="AK844" s="99"/>
      <c r="AL844" s="99"/>
      <c r="AM844" s="99"/>
    </row>
    <row r="845" ht="12.75" customHeight="1">
      <c r="A845" s="104"/>
      <c r="B845" s="104"/>
      <c r="C845" s="104"/>
      <c r="D845" s="110" t="s">
        <v>24</v>
      </c>
      <c r="E845" s="110" t="s">
        <v>131</v>
      </c>
      <c r="G845" s="136">
        <v>88.0</v>
      </c>
      <c r="H845" s="136" t="s">
        <v>233</v>
      </c>
      <c r="I845" s="137">
        <v>350000.0</v>
      </c>
      <c r="J845" s="46">
        <f t="shared" si="844"/>
        <v>30800000</v>
      </c>
      <c r="K845" s="46"/>
      <c r="L845" s="105"/>
      <c r="M845" s="106"/>
      <c r="N845" s="105"/>
      <c r="O845" s="46">
        <f t="shared" si="845"/>
        <v>30800000</v>
      </c>
      <c r="P845" s="46">
        <f t="shared" si="846"/>
        <v>30800000</v>
      </c>
      <c r="Q845" s="46">
        <v>3.08E7</v>
      </c>
      <c r="R845" s="101"/>
      <c r="S845" s="101"/>
      <c r="T845" s="99"/>
      <c r="U845" s="99"/>
      <c r="V845" s="99"/>
      <c r="W845" s="99"/>
      <c r="X845" s="99"/>
      <c r="Y845" s="99"/>
      <c r="Z845" s="99"/>
      <c r="AA845" s="99"/>
      <c r="AB845" s="99"/>
      <c r="AC845" s="99"/>
      <c r="AD845" s="99"/>
      <c r="AE845" s="99"/>
      <c r="AF845" s="99"/>
      <c r="AG845" s="99"/>
      <c r="AH845" s="99"/>
      <c r="AI845" s="99"/>
      <c r="AJ845" s="99"/>
      <c r="AK845" s="99"/>
      <c r="AL845" s="99"/>
      <c r="AM845" s="99"/>
    </row>
    <row r="846" ht="12.75" customHeight="1">
      <c r="A846" s="104"/>
      <c r="B846" s="104"/>
      <c r="C846" s="104"/>
      <c r="D846" s="110" t="s">
        <v>24</v>
      </c>
      <c r="E846" s="110" t="s">
        <v>132</v>
      </c>
      <c r="G846" s="136">
        <v>44.0</v>
      </c>
      <c r="H846" s="136" t="s">
        <v>233</v>
      </c>
      <c r="I846" s="137">
        <v>175000.0</v>
      </c>
      <c r="J846" s="46">
        <f t="shared" si="844"/>
        <v>7700000</v>
      </c>
      <c r="K846" s="46"/>
      <c r="L846" s="105"/>
      <c r="M846" s="106"/>
      <c r="N846" s="105"/>
      <c r="O846" s="46">
        <f t="shared" si="845"/>
        <v>7700000</v>
      </c>
      <c r="P846" s="46">
        <f t="shared" si="846"/>
        <v>7700000</v>
      </c>
      <c r="Q846" s="46">
        <v>7700000.0</v>
      </c>
      <c r="R846" s="101"/>
      <c r="S846" s="101"/>
      <c r="T846" s="99"/>
      <c r="U846" s="99"/>
      <c r="V846" s="99"/>
      <c r="W846" s="99"/>
      <c r="X846" s="99"/>
      <c r="Y846" s="99"/>
      <c r="Z846" s="99"/>
      <c r="AA846" s="99"/>
      <c r="AB846" s="99"/>
      <c r="AC846" s="99"/>
      <c r="AD846" s="99"/>
      <c r="AE846" s="99"/>
      <c r="AF846" s="99"/>
      <c r="AG846" s="99"/>
      <c r="AH846" s="99"/>
      <c r="AI846" s="99"/>
      <c r="AJ846" s="99"/>
      <c r="AK846" s="99"/>
      <c r="AL846" s="99"/>
      <c r="AM846" s="99"/>
    </row>
    <row r="847" ht="15.75" customHeight="1">
      <c r="A847" s="104"/>
      <c r="B847" s="104"/>
      <c r="C847" s="104"/>
      <c r="D847" s="110" t="s">
        <v>24</v>
      </c>
      <c r="E847" s="110" t="s">
        <v>133</v>
      </c>
      <c r="G847" s="136">
        <v>528.0</v>
      </c>
      <c r="H847" s="136" t="s">
        <v>233</v>
      </c>
      <c r="I847" s="137">
        <v>250000.0</v>
      </c>
      <c r="J847" s="46">
        <f t="shared" si="844"/>
        <v>132000000</v>
      </c>
      <c r="K847" s="46"/>
      <c r="L847" s="105"/>
      <c r="M847" s="106"/>
      <c r="N847" s="105"/>
      <c r="O847" s="46">
        <f t="shared" si="845"/>
        <v>132000000</v>
      </c>
      <c r="P847" s="46">
        <f t="shared" si="846"/>
        <v>132000000</v>
      </c>
      <c r="Q847" s="46">
        <v>1.32E8</v>
      </c>
      <c r="R847" s="101"/>
      <c r="S847" s="101"/>
      <c r="T847" s="99"/>
      <c r="U847" s="99"/>
      <c r="V847" s="99"/>
      <c r="W847" s="99"/>
      <c r="X847" s="99"/>
      <c r="Y847" s="99"/>
      <c r="Z847" s="99"/>
      <c r="AA847" s="99"/>
      <c r="AB847" s="99"/>
      <c r="AC847" s="99"/>
      <c r="AD847" s="99"/>
      <c r="AE847" s="99"/>
      <c r="AF847" s="99"/>
      <c r="AG847" s="99"/>
      <c r="AH847" s="99"/>
      <c r="AI847" s="99"/>
      <c r="AJ847" s="99"/>
      <c r="AK847" s="99"/>
      <c r="AL847" s="99"/>
      <c r="AM847" s="99"/>
    </row>
    <row r="848" ht="12.75" customHeight="1">
      <c r="A848" s="144" t="s">
        <v>134</v>
      </c>
      <c r="D848" s="144" t="s">
        <v>135</v>
      </c>
      <c r="G848" s="104"/>
      <c r="H848" s="128"/>
      <c r="I848" s="104"/>
      <c r="J848" s="129">
        <f t="shared" ref="J848:K848" si="847">J849</f>
        <v>20020000</v>
      </c>
      <c r="K848" s="43">
        <f t="shared" si="847"/>
        <v>0</v>
      </c>
      <c r="L848" s="105"/>
      <c r="M848" s="106"/>
      <c r="N848" s="105"/>
      <c r="O848" s="43">
        <f t="shared" ref="O848:P848" si="848">O849</f>
        <v>20020000</v>
      </c>
      <c r="P848" s="43">
        <f t="shared" si="848"/>
        <v>20020000</v>
      </c>
      <c r="Q848" s="43">
        <v>2.002E7</v>
      </c>
      <c r="R848" s="101"/>
      <c r="S848" s="101"/>
      <c r="T848" s="99"/>
      <c r="U848" s="99"/>
      <c r="V848" s="99"/>
      <c r="W848" s="99"/>
      <c r="X848" s="99"/>
      <c r="Y848" s="99"/>
      <c r="Z848" s="99"/>
      <c r="AA848" s="99"/>
      <c r="AB848" s="99"/>
      <c r="AC848" s="99"/>
      <c r="AD848" s="99"/>
      <c r="AE848" s="99"/>
      <c r="AF848" s="99"/>
      <c r="AG848" s="99"/>
      <c r="AH848" s="99"/>
      <c r="AI848" s="99"/>
      <c r="AJ848" s="99"/>
      <c r="AK848" s="99"/>
      <c r="AL848" s="99"/>
      <c r="AM848" s="99"/>
    </row>
    <row r="849" ht="12.75" customHeight="1">
      <c r="A849" s="110" t="s">
        <v>68</v>
      </c>
      <c r="D849" s="145" t="s">
        <v>69</v>
      </c>
      <c r="G849" s="104"/>
      <c r="H849" s="133"/>
      <c r="I849" s="104"/>
      <c r="J849" s="134">
        <f t="shared" ref="J849:K849" si="849">SUM(J851:J855)</f>
        <v>20020000</v>
      </c>
      <c r="K849" s="46">
        <f t="shared" si="849"/>
        <v>0</v>
      </c>
      <c r="L849" s="105"/>
      <c r="M849" s="106"/>
      <c r="N849" s="105"/>
      <c r="O849" s="46">
        <f t="shared" ref="O849:P849" si="850">SUM(O851:O855)</f>
        <v>20020000</v>
      </c>
      <c r="P849" s="46">
        <f t="shared" si="850"/>
        <v>20020000</v>
      </c>
      <c r="Q849" s="46">
        <v>2.002E7</v>
      </c>
      <c r="R849" s="101"/>
      <c r="S849" s="101"/>
      <c r="T849" s="99"/>
      <c r="U849" s="99"/>
      <c r="V849" s="99"/>
      <c r="W849" s="99"/>
      <c r="X849" s="99"/>
      <c r="Y849" s="99"/>
      <c r="Z849" s="99"/>
      <c r="AA849" s="99"/>
      <c r="AB849" s="99"/>
      <c r="AC849" s="99"/>
      <c r="AD849" s="99"/>
      <c r="AE849" s="99"/>
      <c r="AF849" s="99"/>
      <c r="AG849" s="99"/>
      <c r="AH849" s="99"/>
      <c r="AI849" s="99"/>
      <c r="AJ849" s="99"/>
      <c r="AK849" s="99"/>
      <c r="AL849" s="99"/>
      <c r="AM849" s="99"/>
    </row>
    <row r="850" ht="12.75" customHeight="1">
      <c r="A850" s="104"/>
      <c r="B850" s="104"/>
      <c r="C850" s="104"/>
      <c r="D850" s="110" t="s">
        <v>23</v>
      </c>
      <c r="G850" s="104"/>
      <c r="H850" s="104"/>
      <c r="I850" s="104"/>
      <c r="J850" s="111"/>
      <c r="K850" s="111"/>
      <c r="L850" s="105"/>
      <c r="M850" s="106"/>
      <c r="N850" s="105"/>
      <c r="O850" s="111"/>
      <c r="P850" s="111"/>
      <c r="Q850" s="111"/>
      <c r="R850" s="101"/>
      <c r="S850" s="101"/>
      <c r="T850" s="99"/>
      <c r="U850" s="99"/>
      <c r="V850" s="99"/>
      <c r="W850" s="99"/>
      <c r="X850" s="99"/>
      <c r="Y850" s="99"/>
      <c r="Z850" s="99"/>
      <c r="AA850" s="99"/>
      <c r="AB850" s="99"/>
      <c r="AC850" s="99"/>
      <c r="AD850" s="99"/>
      <c r="AE850" s="99"/>
      <c r="AF850" s="99"/>
      <c r="AG850" s="99"/>
      <c r="AH850" s="99"/>
      <c r="AI850" s="99"/>
      <c r="AJ850" s="99"/>
      <c r="AK850" s="99"/>
      <c r="AL850" s="99"/>
      <c r="AM850" s="99"/>
    </row>
    <row r="851" ht="12.75" customHeight="1">
      <c r="A851" s="104"/>
      <c r="B851" s="104"/>
      <c r="C851" s="104"/>
      <c r="D851" s="110" t="s">
        <v>24</v>
      </c>
      <c r="E851" s="110" t="s">
        <v>183</v>
      </c>
      <c r="G851" s="136">
        <v>150.0</v>
      </c>
      <c r="H851" s="136" t="s">
        <v>95</v>
      </c>
      <c r="I851" s="137">
        <v>75000.0</v>
      </c>
      <c r="J851" s="46">
        <f t="shared" ref="J851:J855" si="851">G851*I851</f>
        <v>11250000</v>
      </c>
      <c r="K851" s="46"/>
      <c r="L851" s="105"/>
      <c r="M851" s="106"/>
      <c r="N851" s="105"/>
      <c r="O851" s="46">
        <f t="shared" ref="O851:O855" si="852">J851-K851</f>
        <v>11250000</v>
      </c>
      <c r="P851" s="46">
        <f t="shared" ref="P851:P855" si="853">J851-M851</f>
        <v>11250000</v>
      </c>
      <c r="Q851" s="46">
        <v>1.125E7</v>
      </c>
      <c r="R851" s="101"/>
      <c r="S851" s="101"/>
      <c r="T851" s="99"/>
      <c r="U851" s="99"/>
      <c r="V851" s="99"/>
      <c r="W851" s="99"/>
      <c r="X851" s="99"/>
      <c r="Y851" s="99"/>
      <c r="Z851" s="99"/>
      <c r="AA851" s="99"/>
      <c r="AB851" s="99"/>
      <c r="AC851" s="99"/>
      <c r="AD851" s="99"/>
      <c r="AE851" s="99"/>
      <c r="AF851" s="99"/>
      <c r="AG851" s="99"/>
      <c r="AH851" s="99"/>
      <c r="AI851" s="99"/>
      <c r="AJ851" s="99"/>
      <c r="AK851" s="99"/>
      <c r="AL851" s="99"/>
      <c r="AM851" s="99"/>
    </row>
    <row r="852" ht="12.75" customHeight="1">
      <c r="A852" s="104"/>
      <c r="B852" s="104"/>
      <c r="C852" s="104"/>
      <c r="D852" s="110" t="s">
        <v>24</v>
      </c>
      <c r="E852" s="110" t="s">
        <v>137</v>
      </c>
      <c r="G852" s="136">
        <v>2.0</v>
      </c>
      <c r="H852" s="136" t="s">
        <v>95</v>
      </c>
      <c r="I852" s="137">
        <v>360000.0</v>
      </c>
      <c r="J852" s="46">
        <f t="shared" si="851"/>
        <v>720000</v>
      </c>
      <c r="K852" s="46"/>
      <c r="L852" s="105"/>
      <c r="M852" s="106"/>
      <c r="N852" s="105"/>
      <c r="O852" s="46">
        <f t="shared" si="852"/>
        <v>720000</v>
      </c>
      <c r="P852" s="46">
        <f t="shared" si="853"/>
        <v>720000</v>
      </c>
      <c r="Q852" s="46">
        <v>720000.0</v>
      </c>
      <c r="R852" s="101"/>
      <c r="S852" s="101"/>
      <c r="T852" s="99"/>
      <c r="U852" s="99"/>
      <c r="V852" s="99"/>
      <c r="W852" s="99"/>
      <c r="X852" s="99"/>
      <c r="Y852" s="99"/>
      <c r="Z852" s="99"/>
      <c r="AA852" s="99"/>
      <c r="AB852" s="99"/>
      <c r="AC852" s="99"/>
      <c r="AD852" s="99"/>
      <c r="AE852" s="99"/>
      <c r="AF852" s="99"/>
      <c r="AG852" s="99"/>
      <c r="AH852" s="99"/>
      <c r="AI852" s="99"/>
      <c r="AJ852" s="99"/>
      <c r="AK852" s="99"/>
      <c r="AL852" s="99"/>
      <c r="AM852" s="99"/>
    </row>
    <row r="853" ht="15.75" customHeight="1">
      <c r="A853" s="104"/>
      <c r="B853" s="104"/>
      <c r="C853" s="104"/>
      <c r="D853" s="110" t="s">
        <v>24</v>
      </c>
      <c r="E853" s="110" t="s">
        <v>184</v>
      </c>
      <c r="G853" s="136">
        <v>50.0</v>
      </c>
      <c r="H853" s="136" t="s">
        <v>95</v>
      </c>
      <c r="I853" s="137">
        <v>93000.0</v>
      </c>
      <c r="J853" s="46">
        <f t="shared" si="851"/>
        <v>4650000</v>
      </c>
      <c r="K853" s="46"/>
      <c r="L853" s="105"/>
      <c r="M853" s="106"/>
      <c r="N853" s="105"/>
      <c r="O853" s="46">
        <f t="shared" si="852"/>
        <v>4650000</v>
      </c>
      <c r="P853" s="46">
        <f t="shared" si="853"/>
        <v>4650000</v>
      </c>
      <c r="Q853" s="46">
        <v>4650000.0</v>
      </c>
      <c r="R853" s="101"/>
      <c r="S853" s="101"/>
      <c r="T853" s="99"/>
      <c r="U853" s="99"/>
      <c r="V853" s="99"/>
      <c r="W853" s="99"/>
      <c r="X853" s="99"/>
      <c r="Y853" s="99"/>
      <c r="Z853" s="99"/>
      <c r="AA853" s="99"/>
      <c r="AB853" s="99"/>
      <c r="AC853" s="99"/>
      <c r="AD853" s="99"/>
      <c r="AE853" s="99"/>
      <c r="AF853" s="99"/>
      <c r="AG853" s="99"/>
      <c r="AH853" s="99"/>
      <c r="AI853" s="99"/>
      <c r="AJ853" s="99"/>
      <c r="AK853" s="99"/>
      <c r="AL853" s="99"/>
      <c r="AM853" s="99"/>
    </row>
    <row r="854" ht="12.75" customHeight="1">
      <c r="A854" s="104"/>
      <c r="B854" s="104"/>
      <c r="C854" s="104"/>
      <c r="D854" s="110" t="s">
        <v>24</v>
      </c>
      <c r="E854" s="110" t="s">
        <v>185</v>
      </c>
      <c r="G854" s="136">
        <v>50.0</v>
      </c>
      <c r="H854" s="136" t="s">
        <v>95</v>
      </c>
      <c r="I854" s="137">
        <v>53000.0</v>
      </c>
      <c r="J854" s="46">
        <f t="shared" si="851"/>
        <v>2650000</v>
      </c>
      <c r="K854" s="46"/>
      <c r="L854" s="105"/>
      <c r="M854" s="106"/>
      <c r="N854" s="105"/>
      <c r="O854" s="46">
        <f t="shared" si="852"/>
        <v>2650000</v>
      </c>
      <c r="P854" s="46">
        <f t="shared" si="853"/>
        <v>2650000</v>
      </c>
      <c r="Q854" s="46">
        <v>2650000.0</v>
      </c>
      <c r="R854" s="101"/>
      <c r="S854" s="101"/>
      <c r="T854" s="99"/>
      <c r="U854" s="99"/>
      <c r="V854" s="99"/>
      <c r="W854" s="99"/>
      <c r="X854" s="99"/>
      <c r="Y854" s="99"/>
      <c r="Z854" s="99"/>
      <c r="AA854" s="99"/>
      <c r="AB854" s="99"/>
      <c r="AC854" s="99"/>
      <c r="AD854" s="99"/>
      <c r="AE854" s="99"/>
      <c r="AF854" s="99"/>
      <c r="AG854" s="99"/>
      <c r="AH854" s="99"/>
      <c r="AI854" s="99"/>
      <c r="AJ854" s="99"/>
      <c r="AK854" s="99"/>
      <c r="AL854" s="99"/>
      <c r="AM854" s="99"/>
    </row>
    <row r="855" ht="12.75" customHeight="1">
      <c r="A855" s="104"/>
      <c r="B855" s="104"/>
      <c r="C855" s="104"/>
      <c r="D855" s="110" t="s">
        <v>24</v>
      </c>
      <c r="E855" s="110" t="s">
        <v>186</v>
      </c>
      <c r="G855" s="136">
        <v>50.0</v>
      </c>
      <c r="H855" s="136" t="s">
        <v>95</v>
      </c>
      <c r="I855" s="137">
        <v>15000.0</v>
      </c>
      <c r="J855" s="46">
        <f t="shared" si="851"/>
        <v>750000</v>
      </c>
      <c r="K855" s="46"/>
      <c r="L855" s="105"/>
      <c r="M855" s="106"/>
      <c r="N855" s="105"/>
      <c r="O855" s="46">
        <f t="shared" si="852"/>
        <v>750000</v>
      </c>
      <c r="P855" s="46">
        <f t="shared" si="853"/>
        <v>750000</v>
      </c>
      <c r="Q855" s="46">
        <v>750000.0</v>
      </c>
      <c r="R855" s="101"/>
      <c r="S855" s="101"/>
      <c r="T855" s="99"/>
      <c r="U855" s="99"/>
      <c r="V855" s="99"/>
      <c r="W855" s="99"/>
      <c r="X855" s="99"/>
      <c r="Y855" s="99"/>
      <c r="Z855" s="99"/>
      <c r="AA855" s="99"/>
      <c r="AB855" s="99"/>
      <c r="AC855" s="99"/>
      <c r="AD855" s="99"/>
      <c r="AE855" s="99"/>
      <c r="AF855" s="99"/>
      <c r="AG855" s="99"/>
      <c r="AH855" s="99"/>
      <c r="AI855" s="99"/>
      <c r="AJ855" s="99"/>
      <c r="AK855" s="99"/>
      <c r="AL855" s="99"/>
      <c r="AM855" s="99"/>
    </row>
    <row r="856" ht="12.75" customHeight="1">
      <c r="A856" s="144" t="s">
        <v>141</v>
      </c>
      <c r="D856" s="144" t="s">
        <v>142</v>
      </c>
      <c r="G856" s="104"/>
      <c r="H856" s="128"/>
      <c r="I856" s="104"/>
      <c r="J856" s="129">
        <f t="shared" ref="J856:K856" si="854">J857</f>
        <v>145500000</v>
      </c>
      <c r="K856" s="43">
        <f t="shared" si="854"/>
        <v>0</v>
      </c>
      <c r="L856" s="105"/>
      <c r="M856" s="106"/>
      <c r="N856" s="105"/>
      <c r="O856" s="43">
        <f t="shared" ref="O856:P856" si="855">O857</f>
        <v>145500000</v>
      </c>
      <c r="P856" s="43">
        <f t="shared" si="855"/>
        <v>145500000</v>
      </c>
      <c r="Q856" s="43">
        <v>1.455E8</v>
      </c>
      <c r="R856" s="101"/>
      <c r="S856" s="101"/>
      <c r="T856" s="99"/>
      <c r="U856" s="99"/>
      <c r="V856" s="99"/>
      <c r="W856" s="99"/>
      <c r="X856" s="99"/>
      <c r="Y856" s="99"/>
      <c r="Z856" s="99"/>
      <c r="AA856" s="99"/>
      <c r="AB856" s="99"/>
      <c r="AC856" s="99"/>
      <c r="AD856" s="99"/>
      <c r="AE856" s="99"/>
      <c r="AF856" s="99"/>
      <c r="AG856" s="99"/>
      <c r="AH856" s="99"/>
      <c r="AI856" s="99"/>
      <c r="AJ856" s="99"/>
      <c r="AK856" s="99"/>
      <c r="AL856" s="99"/>
      <c r="AM856" s="99"/>
    </row>
    <row r="857" ht="12.75" customHeight="1">
      <c r="A857" s="110" t="s">
        <v>68</v>
      </c>
      <c r="D857" s="145" t="s">
        <v>69</v>
      </c>
      <c r="G857" s="104"/>
      <c r="H857" s="133"/>
      <c r="I857" s="104"/>
      <c r="J857" s="134">
        <f t="shared" ref="J857:K857" si="856">SUM(J859:J861)</f>
        <v>145500000</v>
      </c>
      <c r="K857" s="46">
        <f t="shared" si="856"/>
        <v>0</v>
      </c>
      <c r="L857" s="105"/>
      <c r="M857" s="106"/>
      <c r="N857" s="105"/>
      <c r="O857" s="46">
        <f t="shared" ref="O857:P857" si="857">SUM(O859:O861)</f>
        <v>145500000</v>
      </c>
      <c r="P857" s="46">
        <f t="shared" si="857"/>
        <v>145500000</v>
      </c>
      <c r="Q857" s="46">
        <v>1.455E8</v>
      </c>
      <c r="R857" s="101"/>
      <c r="S857" s="101"/>
      <c r="T857" s="99"/>
      <c r="U857" s="99"/>
      <c r="V857" s="99"/>
      <c r="W857" s="99"/>
      <c r="X857" s="99"/>
      <c r="Y857" s="99"/>
      <c r="Z857" s="99"/>
      <c r="AA857" s="99"/>
      <c r="AB857" s="99"/>
      <c r="AC857" s="99"/>
      <c r="AD857" s="99"/>
      <c r="AE857" s="99"/>
      <c r="AF857" s="99"/>
      <c r="AG857" s="99"/>
      <c r="AH857" s="99"/>
      <c r="AI857" s="99"/>
      <c r="AJ857" s="99"/>
      <c r="AK857" s="99"/>
      <c r="AL857" s="99"/>
      <c r="AM857" s="99"/>
    </row>
    <row r="858" ht="12.75" customHeight="1">
      <c r="A858" s="104"/>
      <c r="B858" s="104"/>
      <c r="C858" s="104"/>
      <c r="D858" s="110" t="s">
        <v>23</v>
      </c>
      <c r="G858" s="104"/>
      <c r="H858" s="104"/>
      <c r="I858" s="104"/>
      <c r="J858" s="111"/>
      <c r="K858" s="111"/>
      <c r="L858" s="105"/>
      <c r="M858" s="106"/>
      <c r="N858" s="105"/>
      <c r="O858" s="111"/>
      <c r="P858" s="111"/>
      <c r="Q858" s="111"/>
      <c r="R858" s="101"/>
      <c r="S858" s="101"/>
      <c r="T858" s="99"/>
      <c r="U858" s="99"/>
      <c r="V858" s="99"/>
      <c r="W858" s="99"/>
      <c r="X858" s="99"/>
      <c r="Y858" s="99"/>
      <c r="Z858" s="99"/>
      <c r="AA858" s="99"/>
      <c r="AB858" s="99"/>
      <c r="AC858" s="99"/>
      <c r="AD858" s="99"/>
      <c r="AE858" s="99"/>
      <c r="AF858" s="99"/>
      <c r="AG858" s="99"/>
      <c r="AH858" s="99"/>
      <c r="AI858" s="99"/>
      <c r="AJ858" s="99"/>
      <c r="AK858" s="99"/>
      <c r="AL858" s="99"/>
      <c r="AM858" s="99"/>
    </row>
    <row r="859" ht="15.75" customHeight="1">
      <c r="A859" s="104"/>
      <c r="B859" s="104"/>
      <c r="C859" s="104"/>
      <c r="D859" s="110" t="s">
        <v>24</v>
      </c>
      <c r="E859" s="110" t="s">
        <v>187</v>
      </c>
      <c r="G859" s="136">
        <v>50.0</v>
      </c>
      <c r="H859" s="136" t="s">
        <v>95</v>
      </c>
      <c r="I859" s="137">
        <v>2000000.0</v>
      </c>
      <c r="J859" s="46">
        <f t="shared" ref="J859:J861" si="858">G859*I859</f>
        <v>100000000</v>
      </c>
      <c r="K859" s="46"/>
      <c r="L859" s="105"/>
      <c r="M859" s="106"/>
      <c r="N859" s="105"/>
      <c r="O859" s="46">
        <f t="shared" ref="O859:O861" si="859">J859-K859</f>
        <v>100000000</v>
      </c>
      <c r="P859" s="46">
        <f t="shared" ref="P859:P861" si="860">J859-M859</f>
        <v>100000000</v>
      </c>
      <c r="Q859" s="46">
        <v>1.0E8</v>
      </c>
      <c r="R859" s="101"/>
      <c r="S859" s="101"/>
      <c r="T859" s="99"/>
      <c r="U859" s="99"/>
      <c r="V859" s="99"/>
      <c r="W859" s="99"/>
      <c r="X859" s="99"/>
      <c r="Y859" s="99"/>
      <c r="Z859" s="99"/>
      <c r="AA859" s="99"/>
      <c r="AB859" s="99"/>
      <c r="AC859" s="99"/>
      <c r="AD859" s="99"/>
      <c r="AE859" s="99"/>
      <c r="AF859" s="99"/>
      <c r="AG859" s="99"/>
      <c r="AH859" s="99"/>
      <c r="AI859" s="99"/>
      <c r="AJ859" s="99"/>
      <c r="AK859" s="99"/>
      <c r="AL859" s="99"/>
      <c r="AM859" s="99"/>
    </row>
    <row r="860" ht="15.75" customHeight="1">
      <c r="A860" s="104"/>
      <c r="B860" s="104"/>
      <c r="C860" s="104"/>
      <c r="D860" s="110" t="s">
        <v>24</v>
      </c>
      <c r="E860" s="110" t="s">
        <v>188</v>
      </c>
      <c r="G860" s="136">
        <v>50.0</v>
      </c>
      <c r="H860" s="136" t="s">
        <v>95</v>
      </c>
      <c r="I860" s="137">
        <v>750000.0</v>
      </c>
      <c r="J860" s="46">
        <f t="shared" si="858"/>
        <v>37500000</v>
      </c>
      <c r="K860" s="46"/>
      <c r="L860" s="105"/>
      <c r="M860" s="106"/>
      <c r="N860" s="105"/>
      <c r="O860" s="46">
        <f t="shared" si="859"/>
        <v>37500000</v>
      </c>
      <c r="P860" s="46">
        <f t="shared" si="860"/>
        <v>37500000</v>
      </c>
      <c r="Q860" s="46">
        <v>3.75E7</v>
      </c>
      <c r="R860" s="101"/>
      <c r="S860" s="101"/>
      <c r="T860" s="99"/>
      <c r="U860" s="99"/>
      <c r="V860" s="99"/>
      <c r="W860" s="99"/>
      <c r="X860" s="99"/>
      <c r="Y860" s="99"/>
      <c r="Z860" s="99"/>
      <c r="AA860" s="99"/>
      <c r="AB860" s="99"/>
      <c r="AC860" s="99"/>
      <c r="AD860" s="99"/>
      <c r="AE860" s="99"/>
      <c r="AF860" s="99"/>
      <c r="AG860" s="99"/>
      <c r="AH860" s="99"/>
      <c r="AI860" s="99"/>
      <c r="AJ860" s="99"/>
      <c r="AK860" s="99"/>
      <c r="AL860" s="99"/>
      <c r="AM860" s="99"/>
    </row>
    <row r="861" ht="15.75" customHeight="1">
      <c r="A861" s="104"/>
      <c r="B861" s="104"/>
      <c r="C861" s="104"/>
      <c r="D861" s="110" t="s">
        <v>24</v>
      </c>
      <c r="E861" s="110" t="s">
        <v>145</v>
      </c>
      <c r="G861" s="136">
        <v>4.0</v>
      </c>
      <c r="H861" s="136" t="s">
        <v>95</v>
      </c>
      <c r="I861" s="137">
        <v>2000000.0</v>
      </c>
      <c r="J861" s="46">
        <f t="shared" si="858"/>
        <v>8000000</v>
      </c>
      <c r="K861" s="46"/>
      <c r="L861" s="105"/>
      <c r="M861" s="106"/>
      <c r="N861" s="105"/>
      <c r="O861" s="46">
        <f t="shared" si="859"/>
        <v>8000000</v>
      </c>
      <c r="P861" s="46">
        <f t="shared" si="860"/>
        <v>8000000</v>
      </c>
      <c r="Q861" s="46">
        <v>8000000.0</v>
      </c>
      <c r="R861" s="101"/>
      <c r="S861" s="101"/>
      <c r="T861" s="99"/>
      <c r="U861" s="99"/>
      <c r="V861" s="99"/>
      <c r="W861" s="99"/>
      <c r="X861" s="99"/>
      <c r="Y861" s="99"/>
      <c r="Z861" s="99"/>
      <c r="AA861" s="99"/>
      <c r="AB861" s="99"/>
      <c r="AC861" s="99"/>
      <c r="AD861" s="99"/>
      <c r="AE861" s="99"/>
      <c r="AF861" s="99"/>
      <c r="AG861" s="99"/>
      <c r="AH861" s="99"/>
      <c r="AI861" s="99"/>
      <c r="AJ861" s="99"/>
      <c r="AK861" s="99"/>
      <c r="AL861" s="99"/>
      <c r="AM861" s="99"/>
    </row>
    <row r="862" ht="12.75" customHeight="1">
      <c r="A862" s="144" t="s">
        <v>146</v>
      </c>
      <c r="D862" s="144" t="s">
        <v>147</v>
      </c>
      <c r="G862" s="104"/>
      <c r="H862" s="128"/>
      <c r="I862" s="104"/>
      <c r="J862" s="129">
        <f t="shared" ref="J862:K862" si="861">J863+J870</f>
        <v>219800000</v>
      </c>
      <c r="K862" s="43">
        <f t="shared" si="861"/>
        <v>0</v>
      </c>
      <c r="L862" s="105"/>
      <c r="M862" s="106"/>
      <c r="N862" s="105"/>
      <c r="O862" s="43">
        <f t="shared" ref="O862:P862" si="862">O863+O870</f>
        <v>219800000</v>
      </c>
      <c r="P862" s="43">
        <f t="shared" si="862"/>
        <v>181082000</v>
      </c>
      <c r="Q862" s="43">
        <v>2.198E8</v>
      </c>
      <c r="R862" s="101"/>
      <c r="S862" s="101"/>
      <c r="T862" s="99"/>
      <c r="U862" s="99"/>
      <c r="V862" s="99"/>
      <c r="W862" s="99"/>
      <c r="X862" s="99"/>
      <c r="Y862" s="99"/>
      <c r="Z862" s="99"/>
      <c r="AA862" s="99"/>
      <c r="AB862" s="99"/>
      <c r="AC862" s="99"/>
      <c r="AD862" s="99"/>
      <c r="AE862" s="99"/>
      <c r="AF862" s="99"/>
      <c r="AG862" s="99"/>
      <c r="AH862" s="99"/>
      <c r="AI862" s="99"/>
      <c r="AJ862" s="99"/>
      <c r="AK862" s="99"/>
      <c r="AL862" s="99"/>
      <c r="AM862" s="99"/>
    </row>
    <row r="863" ht="12.75" customHeight="1">
      <c r="A863" s="110" t="s">
        <v>74</v>
      </c>
      <c r="D863" s="145" t="s">
        <v>75</v>
      </c>
      <c r="G863" s="104"/>
      <c r="H863" s="133"/>
      <c r="I863" s="104"/>
      <c r="J863" s="134">
        <f t="shared" ref="J863:K863" si="863">SUM(J865:J869)</f>
        <v>195800000</v>
      </c>
      <c r="K863" s="46">
        <f t="shared" si="863"/>
        <v>0</v>
      </c>
      <c r="L863" s="105"/>
      <c r="M863" s="106"/>
      <c r="N863" s="105"/>
      <c r="O863" s="46">
        <f t="shared" ref="O863:P863" si="864">SUM(O865:O869)</f>
        <v>195800000</v>
      </c>
      <c r="P863" s="46">
        <f t="shared" si="864"/>
        <v>157082000</v>
      </c>
      <c r="Q863" s="46">
        <v>1.958E8</v>
      </c>
      <c r="R863" s="101"/>
      <c r="S863" s="101"/>
      <c r="T863" s="99"/>
      <c r="U863" s="99"/>
      <c r="V863" s="99"/>
      <c r="W863" s="99"/>
      <c r="X863" s="99"/>
      <c r="Y863" s="99"/>
      <c r="Z863" s="99"/>
      <c r="AA863" s="99"/>
      <c r="AB863" s="99"/>
      <c r="AC863" s="99"/>
      <c r="AD863" s="99"/>
      <c r="AE863" s="99"/>
      <c r="AF863" s="99"/>
      <c r="AG863" s="99"/>
      <c r="AH863" s="99"/>
      <c r="AI863" s="99"/>
      <c r="AJ863" s="99"/>
      <c r="AK863" s="99"/>
      <c r="AL863" s="99"/>
      <c r="AM863" s="99"/>
    </row>
    <row r="864" ht="12.75" customHeight="1">
      <c r="A864" s="104"/>
      <c r="B864" s="104"/>
      <c r="C864" s="104"/>
      <c r="D864" s="110" t="s">
        <v>23</v>
      </c>
      <c r="G864" s="104"/>
      <c r="H864" s="104"/>
      <c r="I864" s="104"/>
      <c r="J864" s="111"/>
      <c r="K864" s="111"/>
      <c r="L864" s="105"/>
      <c r="M864" s="106"/>
      <c r="N864" s="105"/>
      <c r="O864" s="111"/>
      <c r="P864" s="111"/>
      <c r="Q864" s="111"/>
      <c r="R864" s="101"/>
      <c r="S864" s="101"/>
      <c r="T864" s="99"/>
      <c r="U864" s="99"/>
      <c r="V864" s="99"/>
      <c r="W864" s="99"/>
      <c r="X864" s="99"/>
      <c r="Y864" s="99"/>
      <c r="Z864" s="99"/>
      <c r="AA864" s="99"/>
      <c r="AB864" s="99"/>
      <c r="AC864" s="99"/>
      <c r="AD864" s="99"/>
      <c r="AE864" s="99"/>
      <c r="AF864" s="99"/>
      <c r="AG864" s="99"/>
      <c r="AH864" s="99"/>
      <c r="AI864" s="99"/>
      <c r="AJ864" s="99"/>
      <c r="AK864" s="99"/>
      <c r="AL864" s="99"/>
      <c r="AM864" s="99"/>
    </row>
    <row r="865" ht="12.75" customHeight="1">
      <c r="A865" s="104"/>
      <c r="B865" s="104"/>
      <c r="C865" s="104"/>
      <c r="D865" s="110" t="s">
        <v>24</v>
      </c>
      <c r="E865" s="110" t="s">
        <v>291</v>
      </c>
      <c r="G865" s="136">
        <v>75.0</v>
      </c>
      <c r="H865" s="136" t="s">
        <v>95</v>
      </c>
      <c r="I865" s="137">
        <v>430000.0</v>
      </c>
      <c r="J865" s="46">
        <f t="shared" ref="J865:J869" si="865">G865*I865</f>
        <v>32250000</v>
      </c>
      <c r="K865" s="46"/>
      <c r="L865" s="105"/>
      <c r="M865" s="138">
        <v>1.476E7</v>
      </c>
      <c r="N865" s="105"/>
      <c r="O865" s="46">
        <f t="shared" ref="O865:O869" si="866">J865-K865</f>
        <v>32250000</v>
      </c>
      <c r="P865" s="46">
        <f t="shared" ref="P865:P869" si="867">J865-M865</f>
        <v>17490000</v>
      </c>
      <c r="Q865" s="46">
        <v>3.225E7</v>
      </c>
      <c r="R865" s="101"/>
      <c r="S865" s="101"/>
      <c r="T865" s="99"/>
      <c r="U865" s="99"/>
      <c r="V865" s="99"/>
      <c r="W865" s="99"/>
      <c r="X865" s="99"/>
      <c r="Y865" s="99"/>
      <c r="Z865" s="99"/>
      <c r="AA865" s="99"/>
      <c r="AB865" s="99"/>
      <c r="AC865" s="99"/>
      <c r="AD865" s="99"/>
      <c r="AE865" s="99"/>
      <c r="AF865" s="99"/>
      <c r="AG865" s="99"/>
      <c r="AH865" s="99"/>
      <c r="AI865" s="99"/>
      <c r="AJ865" s="99"/>
      <c r="AK865" s="99"/>
      <c r="AL865" s="99"/>
      <c r="AM865" s="99"/>
    </row>
    <row r="866" ht="15.75" customHeight="1">
      <c r="A866" s="104"/>
      <c r="B866" s="104"/>
      <c r="C866" s="104"/>
      <c r="D866" s="110" t="s">
        <v>24</v>
      </c>
      <c r="E866" s="110" t="s">
        <v>292</v>
      </c>
      <c r="G866" s="136">
        <v>50.0</v>
      </c>
      <c r="H866" s="136" t="s">
        <v>95</v>
      </c>
      <c r="I866" s="137">
        <v>783500.0</v>
      </c>
      <c r="J866" s="46">
        <f t="shared" si="865"/>
        <v>39175000</v>
      </c>
      <c r="K866" s="46"/>
      <c r="L866" s="105"/>
      <c r="M866" s="106"/>
      <c r="N866" s="105"/>
      <c r="O866" s="46">
        <f t="shared" si="866"/>
        <v>39175000</v>
      </c>
      <c r="P866" s="46">
        <f t="shared" si="867"/>
        <v>39175000</v>
      </c>
      <c r="Q866" s="46">
        <v>3.9175E7</v>
      </c>
      <c r="R866" s="101"/>
      <c r="S866" s="101"/>
      <c r="T866" s="99"/>
      <c r="U866" s="99"/>
      <c r="V866" s="99"/>
      <c r="W866" s="99"/>
      <c r="X866" s="99"/>
      <c r="Y866" s="99"/>
      <c r="Z866" s="99"/>
      <c r="AA866" s="99"/>
      <c r="AB866" s="99"/>
      <c r="AC866" s="99"/>
      <c r="AD866" s="99"/>
      <c r="AE866" s="99"/>
      <c r="AF866" s="99"/>
      <c r="AG866" s="99"/>
      <c r="AH866" s="99"/>
      <c r="AI866" s="99"/>
      <c r="AJ866" s="99"/>
      <c r="AK866" s="99"/>
      <c r="AL866" s="99"/>
      <c r="AM866" s="99"/>
    </row>
    <row r="867" ht="12.75" customHeight="1">
      <c r="A867" s="104"/>
      <c r="B867" s="104"/>
      <c r="C867" s="104"/>
      <c r="D867" s="110" t="s">
        <v>24</v>
      </c>
      <c r="E867" s="110" t="s">
        <v>293</v>
      </c>
      <c r="G867" s="136">
        <v>25.0</v>
      </c>
      <c r="H867" s="136" t="s">
        <v>95</v>
      </c>
      <c r="I867" s="137">
        <v>875000.0</v>
      </c>
      <c r="J867" s="46">
        <f t="shared" si="865"/>
        <v>21875000</v>
      </c>
      <c r="K867" s="46"/>
      <c r="L867" s="105"/>
      <c r="M867" s="106"/>
      <c r="N867" s="105"/>
      <c r="O867" s="46">
        <f t="shared" si="866"/>
        <v>21875000</v>
      </c>
      <c r="P867" s="46">
        <f t="shared" si="867"/>
        <v>21875000</v>
      </c>
      <c r="Q867" s="46">
        <v>2.1875E7</v>
      </c>
      <c r="R867" s="101"/>
      <c r="S867" s="101"/>
      <c r="T867" s="99"/>
      <c r="U867" s="99"/>
      <c r="V867" s="99"/>
      <c r="W867" s="99"/>
      <c r="X867" s="99"/>
      <c r="Y867" s="99"/>
      <c r="Z867" s="99"/>
      <c r="AA867" s="99"/>
      <c r="AB867" s="99"/>
      <c r="AC867" s="99"/>
      <c r="AD867" s="99"/>
      <c r="AE867" s="99"/>
      <c r="AF867" s="99"/>
      <c r="AG867" s="99"/>
      <c r="AH867" s="99"/>
      <c r="AI867" s="99"/>
      <c r="AJ867" s="99"/>
      <c r="AK867" s="99"/>
      <c r="AL867" s="99"/>
      <c r="AM867" s="99"/>
    </row>
    <row r="868" ht="15.75" customHeight="1">
      <c r="A868" s="104"/>
      <c r="B868" s="104"/>
      <c r="C868" s="104"/>
      <c r="D868" s="110" t="s">
        <v>24</v>
      </c>
      <c r="E868" s="110" t="s">
        <v>294</v>
      </c>
      <c r="G868" s="136">
        <v>100.0</v>
      </c>
      <c r="H868" s="136" t="s">
        <v>95</v>
      </c>
      <c r="I868" s="137">
        <v>500000.0</v>
      </c>
      <c r="J868" s="46">
        <f t="shared" si="865"/>
        <v>50000000</v>
      </c>
      <c r="K868" s="46"/>
      <c r="L868" s="105"/>
      <c r="M868" s="138">
        <v>2.3958E7</v>
      </c>
      <c r="N868" s="105"/>
      <c r="O868" s="46">
        <f t="shared" si="866"/>
        <v>50000000</v>
      </c>
      <c r="P868" s="46">
        <f t="shared" si="867"/>
        <v>26042000</v>
      </c>
      <c r="Q868" s="46">
        <v>5.0E7</v>
      </c>
      <c r="R868" s="101"/>
      <c r="S868" s="101"/>
      <c r="T868" s="99"/>
      <c r="U868" s="99"/>
      <c r="V868" s="99"/>
      <c r="W868" s="99"/>
      <c r="X868" s="99"/>
      <c r="Y868" s="99"/>
      <c r="Z868" s="99"/>
      <c r="AA868" s="99"/>
      <c r="AB868" s="99"/>
      <c r="AC868" s="99"/>
      <c r="AD868" s="99"/>
      <c r="AE868" s="99"/>
      <c r="AF868" s="99"/>
      <c r="AG868" s="99"/>
      <c r="AH868" s="99"/>
      <c r="AI868" s="99"/>
      <c r="AJ868" s="99"/>
      <c r="AK868" s="99"/>
      <c r="AL868" s="99"/>
      <c r="AM868" s="99"/>
    </row>
    <row r="869" ht="15.75" customHeight="1">
      <c r="A869" s="104"/>
      <c r="B869" s="104"/>
      <c r="C869" s="104"/>
      <c r="D869" s="110" t="s">
        <v>24</v>
      </c>
      <c r="E869" s="110" t="s">
        <v>295</v>
      </c>
      <c r="G869" s="136">
        <v>150.0</v>
      </c>
      <c r="H869" s="136" t="s">
        <v>95</v>
      </c>
      <c r="I869" s="137">
        <v>350000.0</v>
      </c>
      <c r="J869" s="46">
        <f t="shared" si="865"/>
        <v>52500000</v>
      </c>
      <c r="K869" s="46"/>
      <c r="L869" s="105"/>
      <c r="M869" s="106"/>
      <c r="N869" s="105"/>
      <c r="O869" s="46">
        <f t="shared" si="866"/>
        <v>52500000</v>
      </c>
      <c r="P869" s="46">
        <f t="shared" si="867"/>
        <v>52500000</v>
      </c>
      <c r="Q869" s="46">
        <v>5.25E7</v>
      </c>
      <c r="R869" s="101"/>
      <c r="S869" s="101"/>
      <c r="T869" s="99"/>
      <c r="U869" s="99"/>
      <c r="V869" s="99"/>
      <c r="W869" s="99"/>
      <c r="X869" s="99"/>
      <c r="Y869" s="99"/>
      <c r="Z869" s="99"/>
      <c r="AA869" s="99"/>
      <c r="AB869" s="99"/>
      <c r="AC869" s="99"/>
      <c r="AD869" s="99"/>
      <c r="AE869" s="99"/>
      <c r="AF869" s="99"/>
      <c r="AG869" s="99"/>
      <c r="AH869" s="99"/>
      <c r="AI869" s="99"/>
      <c r="AJ869" s="99"/>
      <c r="AK869" s="99"/>
      <c r="AL869" s="99"/>
      <c r="AM869" s="99"/>
    </row>
    <row r="870" ht="12.75" customHeight="1">
      <c r="A870" s="110" t="s">
        <v>79</v>
      </c>
      <c r="D870" s="145" t="s">
        <v>80</v>
      </c>
      <c r="G870" s="104"/>
      <c r="H870" s="133"/>
      <c r="I870" s="104"/>
      <c r="J870" s="134">
        <f t="shared" ref="J870:K870" si="868">J872</f>
        <v>24000000</v>
      </c>
      <c r="K870" s="46" t="str">
        <f t="shared" si="868"/>
        <v/>
      </c>
      <c r="L870" s="105"/>
      <c r="M870" s="106"/>
      <c r="N870" s="105"/>
      <c r="O870" s="46">
        <f t="shared" ref="O870:P870" si="869">O872</f>
        <v>24000000</v>
      </c>
      <c r="P870" s="46">
        <f t="shared" si="869"/>
        <v>24000000</v>
      </c>
      <c r="Q870" s="46">
        <v>2.4E7</v>
      </c>
      <c r="R870" s="101"/>
      <c r="S870" s="101"/>
      <c r="T870" s="99"/>
      <c r="U870" s="99"/>
      <c r="V870" s="99"/>
      <c r="W870" s="99"/>
      <c r="X870" s="99"/>
      <c r="Y870" s="99"/>
      <c r="Z870" s="99"/>
      <c r="AA870" s="99"/>
      <c r="AB870" s="99"/>
      <c r="AC870" s="99"/>
      <c r="AD870" s="99"/>
      <c r="AE870" s="99"/>
      <c r="AF870" s="99"/>
      <c r="AG870" s="99"/>
      <c r="AH870" s="99"/>
      <c r="AI870" s="99"/>
      <c r="AJ870" s="99"/>
      <c r="AK870" s="99"/>
      <c r="AL870" s="99"/>
      <c r="AM870" s="99"/>
    </row>
    <row r="871" ht="12.75" customHeight="1">
      <c r="A871" s="104"/>
      <c r="B871" s="104"/>
      <c r="C871" s="104"/>
      <c r="D871" s="110" t="s">
        <v>23</v>
      </c>
      <c r="G871" s="104"/>
      <c r="H871" s="104"/>
      <c r="I871" s="104"/>
      <c r="J871" s="111"/>
      <c r="K871" s="111"/>
      <c r="L871" s="105"/>
      <c r="M871" s="106"/>
      <c r="N871" s="105"/>
      <c r="O871" s="111"/>
      <c r="P871" s="111"/>
      <c r="Q871" s="111"/>
      <c r="R871" s="101"/>
      <c r="S871" s="101"/>
      <c r="T871" s="99"/>
      <c r="U871" s="99"/>
      <c r="V871" s="99"/>
      <c r="W871" s="99"/>
      <c r="X871" s="99"/>
      <c r="Y871" s="99"/>
      <c r="Z871" s="99"/>
      <c r="AA871" s="99"/>
      <c r="AB871" s="99"/>
      <c r="AC871" s="99"/>
      <c r="AD871" s="99"/>
      <c r="AE871" s="99"/>
      <c r="AF871" s="99"/>
      <c r="AG871" s="99"/>
      <c r="AH871" s="99"/>
      <c r="AI871" s="99"/>
      <c r="AJ871" s="99"/>
      <c r="AK871" s="99"/>
      <c r="AL871" s="99"/>
      <c r="AM871" s="99"/>
    </row>
    <row r="872" ht="12.75" customHeight="1">
      <c r="A872" s="104"/>
      <c r="B872" s="104"/>
      <c r="C872" s="104"/>
      <c r="D872" s="110" t="s">
        <v>24</v>
      </c>
      <c r="E872" s="110" t="s">
        <v>296</v>
      </c>
      <c r="G872" s="136">
        <v>160.0</v>
      </c>
      <c r="H872" s="136" t="s">
        <v>95</v>
      </c>
      <c r="I872" s="137">
        <v>150000.0</v>
      </c>
      <c r="J872" s="46">
        <f>G872*I872</f>
        <v>24000000</v>
      </c>
      <c r="K872" s="46"/>
      <c r="L872" s="105"/>
      <c r="M872" s="106"/>
      <c r="N872" s="105"/>
      <c r="O872" s="46">
        <f>J872-K872</f>
        <v>24000000</v>
      </c>
      <c r="P872" s="46">
        <f>J872-M872</f>
        <v>24000000</v>
      </c>
      <c r="Q872" s="46">
        <v>2.4E7</v>
      </c>
      <c r="R872" s="101"/>
      <c r="S872" s="101"/>
      <c r="T872" s="99"/>
      <c r="U872" s="99"/>
      <c r="V872" s="99"/>
      <c r="W872" s="99"/>
      <c r="X872" s="99"/>
      <c r="Y872" s="99"/>
      <c r="Z872" s="99"/>
      <c r="AA872" s="99"/>
      <c r="AB872" s="99"/>
      <c r="AC872" s="99"/>
      <c r="AD872" s="99"/>
      <c r="AE872" s="99"/>
      <c r="AF872" s="99"/>
      <c r="AG872" s="99"/>
      <c r="AH872" s="99"/>
      <c r="AI872" s="99"/>
      <c r="AJ872" s="99"/>
      <c r="AK872" s="99"/>
      <c r="AL872" s="99"/>
      <c r="AM872" s="99"/>
    </row>
    <row r="873" ht="12.75" customHeight="1">
      <c r="A873" s="140" t="s">
        <v>297</v>
      </c>
      <c r="B873" s="121"/>
      <c r="C873" s="122"/>
      <c r="D873" s="140" t="s">
        <v>298</v>
      </c>
      <c r="E873" s="121"/>
      <c r="F873" s="122"/>
      <c r="G873" s="141" t="s">
        <v>306</v>
      </c>
      <c r="H873" s="141" t="s">
        <v>306</v>
      </c>
      <c r="I873" s="142"/>
      <c r="J873" s="125">
        <f t="shared" ref="J873:K873" si="870">J874+J888+J900+J913+J930+J939+J949+J954+J970+J984+J992+J1000+J1006</f>
        <v>3064496000</v>
      </c>
      <c r="K873" s="84">
        <f t="shared" si="870"/>
        <v>0</v>
      </c>
      <c r="L873" s="105"/>
      <c r="M873" s="106"/>
      <c r="N873" s="105"/>
      <c r="O873" s="84">
        <f t="shared" ref="O873:P873" si="871">O874+O888+O900+O913+O930+O939+O949+O954+O970+O984+O992+O1000+O1006</f>
        <v>3064496000</v>
      </c>
      <c r="P873" s="84">
        <f t="shared" si="871"/>
        <v>2944898884</v>
      </c>
      <c r="Q873" s="143">
        <v>3.064496E9</v>
      </c>
      <c r="R873" s="101">
        <v>7.1792175E7</v>
      </c>
      <c r="S873" s="101" t="s">
        <v>356</v>
      </c>
      <c r="T873" s="99"/>
      <c r="U873" s="99"/>
      <c r="V873" s="99"/>
      <c r="W873" s="99"/>
      <c r="X873" s="99"/>
      <c r="Y873" s="99"/>
      <c r="Z873" s="99"/>
      <c r="AA873" s="99"/>
      <c r="AB873" s="99"/>
      <c r="AC873" s="99"/>
      <c r="AD873" s="99"/>
      <c r="AE873" s="99"/>
      <c r="AF873" s="99"/>
      <c r="AG873" s="99"/>
      <c r="AH873" s="99"/>
      <c r="AI873" s="99"/>
      <c r="AJ873" s="99"/>
      <c r="AK873" s="99"/>
      <c r="AL873" s="99"/>
      <c r="AM873" s="99"/>
    </row>
    <row r="874" ht="12.75" customHeight="1">
      <c r="A874" s="144" t="s">
        <v>20</v>
      </c>
      <c r="D874" s="144" t="s">
        <v>21</v>
      </c>
      <c r="G874" s="104"/>
      <c r="H874" s="104"/>
      <c r="I874" s="104"/>
      <c r="J874" s="129">
        <f t="shared" ref="J874:K874" si="872">J875+J884</f>
        <v>142640000</v>
      </c>
      <c r="K874" s="43">
        <f t="shared" si="872"/>
        <v>0</v>
      </c>
      <c r="L874" s="105"/>
      <c r="M874" s="106"/>
      <c r="N874" s="105"/>
      <c r="O874" s="43">
        <f t="shared" ref="O874:P874" si="873">O875+O884</f>
        <v>142640000</v>
      </c>
      <c r="P874" s="43">
        <f t="shared" si="873"/>
        <v>90560394</v>
      </c>
      <c r="Q874" s="43">
        <v>1.4264E8</v>
      </c>
      <c r="R874" s="101"/>
      <c r="S874" s="101"/>
      <c r="T874" s="99"/>
      <c r="U874" s="99"/>
      <c r="V874" s="99"/>
      <c r="W874" s="99"/>
      <c r="X874" s="99"/>
      <c r="Y874" s="99"/>
      <c r="Z874" s="99"/>
      <c r="AA874" s="99"/>
      <c r="AB874" s="99"/>
      <c r="AC874" s="99"/>
      <c r="AD874" s="99"/>
      <c r="AE874" s="99"/>
      <c r="AF874" s="99"/>
      <c r="AG874" s="99"/>
      <c r="AH874" s="99"/>
      <c r="AI874" s="99"/>
      <c r="AJ874" s="99"/>
      <c r="AK874" s="99"/>
      <c r="AL874" s="99"/>
      <c r="AM874" s="99"/>
    </row>
    <row r="875" ht="12.75" customHeight="1">
      <c r="A875" s="110" t="s">
        <v>40</v>
      </c>
      <c r="D875" s="145" t="s">
        <v>22</v>
      </c>
      <c r="G875" s="104"/>
      <c r="H875" s="104"/>
      <c r="I875" s="104"/>
      <c r="J875" s="134">
        <f t="shared" ref="J875:K875" si="874">SUM(J877:J883)</f>
        <v>130640000</v>
      </c>
      <c r="K875" s="46">
        <f t="shared" si="874"/>
        <v>0</v>
      </c>
      <c r="L875" s="105"/>
      <c r="M875" s="106"/>
      <c r="N875" s="105"/>
      <c r="O875" s="46">
        <f t="shared" ref="O875:P875" si="875">SUM(O877:O883)</f>
        <v>130640000</v>
      </c>
      <c r="P875" s="46">
        <f t="shared" si="875"/>
        <v>85560394</v>
      </c>
      <c r="Q875" s="46">
        <v>1.3064E8</v>
      </c>
      <c r="R875" s="101"/>
      <c r="S875" s="101"/>
      <c r="T875" s="99"/>
      <c r="U875" s="99"/>
      <c r="V875" s="99"/>
      <c r="W875" s="99"/>
      <c r="X875" s="99"/>
      <c r="Y875" s="99"/>
      <c r="Z875" s="99"/>
      <c r="AA875" s="99"/>
      <c r="AB875" s="99"/>
      <c r="AC875" s="99"/>
      <c r="AD875" s="99"/>
      <c r="AE875" s="99"/>
      <c r="AF875" s="99"/>
      <c r="AG875" s="99"/>
      <c r="AH875" s="99"/>
      <c r="AI875" s="99"/>
      <c r="AJ875" s="99"/>
      <c r="AK875" s="99"/>
      <c r="AL875" s="99"/>
      <c r="AM875" s="99"/>
    </row>
    <row r="876" ht="12.75" customHeight="1">
      <c r="A876" s="104"/>
      <c r="B876" s="104"/>
      <c r="C876" s="104"/>
      <c r="D876" s="110" t="s">
        <v>23</v>
      </c>
      <c r="G876" s="104"/>
      <c r="H876" s="104"/>
      <c r="I876" s="104"/>
      <c r="J876" s="111"/>
      <c r="K876" s="111"/>
      <c r="L876" s="105"/>
      <c r="M876" s="106"/>
      <c r="N876" s="105"/>
      <c r="O876" s="111"/>
      <c r="P876" s="111"/>
      <c r="Q876" s="111"/>
      <c r="R876" s="101"/>
      <c r="S876" s="101"/>
      <c r="T876" s="99"/>
      <c r="U876" s="99"/>
      <c r="V876" s="99"/>
      <c r="W876" s="99"/>
      <c r="X876" s="99"/>
      <c r="Y876" s="99"/>
      <c r="Z876" s="99"/>
      <c r="AA876" s="99"/>
      <c r="AB876" s="99"/>
      <c r="AC876" s="99"/>
      <c r="AD876" s="99"/>
      <c r="AE876" s="99"/>
      <c r="AF876" s="99"/>
      <c r="AG876" s="99"/>
      <c r="AH876" s="99"/>
      <c r="AI876" s="99"/>
      <c r="AJ876" s="99"/>
      <c r="AK876" s="99"/>
      <c r="AL876" s="99"/>
      <c r="AM876" s="99"/>
    </row>
    <row r="877" ht="12.75" customHeight="1">
      <c r="A877" s="104"/>
      <c r="B877" s="104"/>
      <c r="C877" s="104"/>
      <c r="D877" s="110" t="s">
        <v>24</v>
      </c>
      <c r="E877" s="110" t="s">
        <v>156</v>
      </c>
      <c r="G877" s="136">
        <v>24.0</v>
      </c>
      <c r="H877" s="136" t="s">
        <v>26</v>
      </c>
      <c r="I877" s="137">
        <v>500000.0</v>
      </c>
      <c r="J877" s="46">
        <f t="shared" ref="J877:J883" si="876">G877*I877</f>
        <v>12000000</v>
      </c>
      <c r="K877" s="46"/>
      <c r="L877" s="105"/>
      <c r="M877" s="138">
        <v>2668900.0</v>
      </c>
      <c r="N877" s="105"/>
      <c r="O877" s="46">
        <f t="shared" ref="O877:O883" si="877">J877-K877</f>
        <v>12000000</v>
      </c>
      <c r="P877" s="46">
        <f t="shared" ref="P877:P883" si="878">J877-M877</f>
        <v>9331100</v>
      </c>
      <c r="Q877" s="46">
        <v>1.2E7</v>
      </c>
      <c r="R877" s="101"/>
      <c r="S877" s="101"/>
      <c r="T877" s="99"/>
      <c r="U877" s="99"/>
      <c r="V877" s="99"/>
      <c r="W877" s="99"/>
      <c r="X877" s="99"/>
      <c r="Y877" s="99"/>
      <c r="Z877" s="99"/>
      <c r="AA877" s="99"/>
      <c r="AB877" s="99"/>
      <c r="AC877" s="99"/>
      <c r="AD877" s="99"/>
      <c r="AE877" s="99"/>
      <c r="AF877" s="99"/>
      <c r="AG877" s="99"/>
      <c r="AH877" s="99"/>
      <c r="AI877" s="99"/>
      <c r="AJ877" s="99"/>
      <c r="AK877" s="99"/>
      <c r="AL877" s="99"/>
      <c r="AM877" s="99"/>
    </row>
    <row r="878" ht="12.75" customHeight="1">
      <c r="A878" s="104"/>
      <c r="B878" s="104"/>
      <c r="C878" s="104"/>
      <c r="D878" s="110" t="s">
        <v>24</v>
      </c>
      <c r="E878" s="110" t="s">
        <v>27</v>
      </c>
      <c r="G878" s="136">
        <v>2.0</v>
      </c>
      <c r="H878" s="136" t="s">
        <v>26</v>
      </c>
      <c r="I878" s="137">
        <v>2000000.0</v>
      </c>
      <c r="J878" s="46">
        <f t="shared" si="876"/>
        <v>4000000</v>
      </c>
      <c r="K878" s="46"/>
      <c r="L878" s="105"/>
      <c r="M878" s="106"/>
      <c r="N878" s="105"/>
      <c r="O878" s="46">
        <f t="shared" si="877"/>
        <v>4000000</v>
      </c>
      <c r="P878" s="46">
        <f t="shared" si="878"/>
        <v>4000000</v>
      </c>
      <c r="Q878" s="46">
        <v>4000000.0</v>
      </c>
      <c r="R878" s="101"/>
      <c r="S878" s="101"/>
      <c r="T878" s="99"/>
      <c r="U878" s="99"/>
      <c r="V878" s="99"/>
      <c r="W878" s="99"/>
      <c r="X878" s="99"/>
      <c r="Y878" s="99"/>
      <c r="Z878" s="99"/>
      <c r="AA878" s="99"/>
      <c r="AB878" s="99"/>
      <c r="AC878" s="99"/>
      <c r="AD878" s="99"/>
      <c r="AE878" s="99"/>
      <c r="AF878" s="99"/>
      <c r="AG878" s="99"/>
      <c r="AH878" s="99"/>
      <c r="AI878" s="99"/>
      <c r="AJ878" s="99"/>
      <c r="AK878" s="99"/>
      <c r="AL878" s="99"/>
      <c r="AM878" s="99"/>
    </row>
    <row r="879" ht="15.75" customHeight="1">
      <c r="A879" s="104"/>
      <c r="B879" s="104"/>
      <c r="C879" s="104"/>
      <c r="D879" s="110" t="s">
        <v>24</v>
      </c>
      <c r="E879" s="110" t="s">
        <v>28</v>
      </c>
      <c r="G879" s="136">
        <v>10.0</v>
      </c>
      <c r="H879" s="136" t="s">
        <v>26</v>
      </c>
      <c r="I879" s="137">
        <v>500000.0</v>
      </c>
      <c r="J879" s="46">
        <f t="shared" si="876"/>
        <v>5000000</v>
      </c>
      <c r="K879" s="46"/>
      <c r="L879" s="105"/>
      <c r="M879" s="138">
        <v>364000.0</v>
      </c>
      <c r="N879" s="105"/>
      <c r="O879" s="46">
        <f t="shared" si="877"/>
        <v>5000000</v>
      </c>
      <c r="P879" s="46">
        <f t="shared" si="878"/>
        <v>4636000</v>
      </c>
      <c r="Q879" s="46">
        <v>5000000.0</v>
      </c>
      <c r="R879" s="101"/>
      <c r="S879" s="101"/>
      <c r="T879" s="99"/>
      <c r="U879" s="99"/>
      <c r="V879" s="99"/>
      <c r="W879" s="99"/>
      <c r="X879" s="99"/>
      <c r="Y879" s="99"/>
      <c r="Z879" s="99"/>
      <c r="AA879" s="99"/>
      <c r="AB879" s="99"/>
      <c r="AC879" s="99"/>
      <c r="AD879" s="99"/>
      <c r="AE879" s="99"/>
      <c r="AF879" s="99"/>
      <c r="AG879" s="99"/>
      <c r="AH879" s="99"/>
      <c r="AI879" s="99"/>
      <c r="AJ879" s="99"/>
      <c r="AK879" s="99"/>
      <c r="AL879" s="99"/>
      <c r="AM879" s="99"/>
    </row>
    <row r="880" ht="12.75" customHeight="1">
      <c r="A880" s="104"/>
      <c r="B880" s="104"/>
      <c r="C880" s="104"/>
      <c r="D880" s="110" t="s">
        <v>24</v>
      </c>
      <c r="E880" s="110" t="s">
        <v>157</v>
      </c>
      <c r="G880" s="136">
        <v>200.0</v>
      </c>
      <c r="H880" s="136" t="s">
        <v>26</v>
      </c>
      <c r="I880" s="137">
        <v>25000.0</v>
      </c>
      <c r="J880" s="46">
        <f t="shared" si="876"/>
        <v>5000000</v>
      </c>
      <c r="K880" s="46"/>
      <c r="L880" s="105"/>
      <c r="M880" s="106"/>
      <c r="N880" s="105"/>
      <c r="O880" s="46">
        <f t="shared" si="877"/>
        <v>5000000</v>
      </c>
      <c r="P880" s="46">
        <f t="shared" si="878"/>
        <v>5000000</v>
      </c>
      <c r="Q880" s="46">
        <v>5000000.0</v>
      </c>
      <c r="R880" s="101"/>
      <c r="S880" s="101"/>
      <c r="T880" s="99"/>
      <c r="U880" s="99"/>
      <c r="V880" s="99"/>
      <c r="W880" s="99"/>
      <c r="X880" s="99"/>
      <c r="Y880" s="99"/>
      <c r="Z880" s="99"/>
      <c r="AA880" s="99"/>
      <c r="AB880" s="99"/>
      <c r="AC880" s="99"/>
      <c r="AD880" s="99"/>
      <c r="AE880" s="99"/>
      <c r="AF880" s="99"/>
      <c r="AG880" s="99"/>
      <c r="AH880" s="99"/>
      <c r="AI880" s="99"/>
      <c r="AJ880" s="99"/>
      <c r="AK880" s="99"/>
      <c r="AL880" s="99"/>
      <c r="AM880" s="99"/>
    </row>
    <row r="881" ht="15.75" customHeight="1">
      <c r="A881" s="104"/>
      <c r="B881" s="104"/>
      <c r="C881" s="104"/>
      <c r="D881" s="110" t="s">
        <v>24</v>
      </c>
      <c r="E881" s="110" t="s">
        <v>31</v>
      </c>
      <c r="G881" s="136">
        <v>320.0</v>
      </c>
      <c r="H881" s="136" t="s">
        <v>26</v>
      </c>
      <c r="I881" s="137">
        <v>53000.0</v>
      </c>
      <c r="J881" s="46">
        <f t="shared" si="876"/>
        <v>16960000</v>
      </c>
      <c r="K881" s="46"/>
      <c r="L881" s="105"/>
      <c r="M881" s="106"/>
      <c r="N881" s="105"/>
      <c r="O881" s="46">
        <f t="shared" si="877"/>
        <v>16960000</v>
      </c>
      <c r="P881" s="46">
        <f t="shared" si="878"/>
        <v>16960000</v>
      </c>
      <c r="Q881" s="46">
        <v>1.696E7</v>
      </c>
      <c r="R881" s="101"/>
      <c r="S881" s="101"/>
      <c r="T881" s="99"/>
      <c r="U881" s="99"/>
      <c r="V881" s="99"/>
      <c r="W881" s="99"/>
      <c r="X881" s="99"/>
      <c r="Y881" s="99"/>
      <c r="Z881" s="99"/>
      <c r="AA881" s="99"/>
      <c r="AB881" s="99"/>
      <c r="AC881" s="99"/>
      <c r="AD881" s="99"/>
      <c r="AE881" s="99"/>
      <c r="AF881" s="99"/>
      <c r="AG881" s="99"/>
      <c r="AH881" s="99"/>
      <c r="AI881" s="99"/>
      <c r="AJ881" s="99"/>
      <c r="AK881" s="99"/>
      <c r="AL881" s="99"/>
      <c r="AM881" s="99"/>
    </row>
    <row r="882" ht="15.75" customHeight="1">
      <c r="A882" s="104"/>
      <c r="B882" s="104"/>
      <c r="C882" s="104"/>
      <c r="D882" s="110" t="s">
        <v>24</v>
      </c>
      <c r="E882" s="110" t="s">
        <v>32</v>
      </c>
      <c r="G882" s="136">
        <v>320.0</v>
      </c>
      <c r="H882" s="136" t="s">
        <v>26</v>
      </c>
      <c r="I882" s="137">
        <v>24000.0</v>
      </c>
      <c r="J882" s="46">
        <f t="shared" si="876"/>
        <v>7680000</v>
      </c>
      <c r="K882" s="46"/>
      <c r="L882" s="105"/>
      <c r="M882" s="138">
        <v>6600000.0</v>
      </c>
      <c r="N882" s="105"/>
      <c r="O882" s="46">
        <f t="shared" si="877"/>
        <v>7680000</v>
      </c>
      <c r="P882" s="46">
        <f t="shared" si="878"/>
        <v>1080000</v>
      </c>
      <c r="Q882" s="46">
        <v>7680000.0</v>
      </c>
      <c r="R882" s="101"/>
      <c r="S882" s="101"/>
      <c r="T882" s="99"/>
      <c r="U882" s="99"/>
      <c r="V882" s="99"/>
      <c r="W882" s="99"/>
      <c r="X882" s="99"/>
      <c r="Y882" s="99"/>
      <c r="Z882" s="99"/>
      <c r="AA882" s="99"/>
      <c r="AB882" s="99"/>
      <c r="AC882" s="99"/>
      <c r="AD882" s="99"/>
      <c r="AE882" s="99"/>
      <c r="AF882" s="99"/>
      <c r="AG882" s="99"/>
      <c r="AH882" s="99"/>
      <c r="AI882" s="99"/>
      <c r="AJ882" s="99"/>
      <c r="AK882" s="99"/>
      <c r="AL882" s="99"/>
      <c r="AM882" s="99"/>
    </row>
    <row r="883" ht="15.75" customHeight="1">
      <c r="A883" s="104"/>
      <c r="B883" s="104"/>
      <c r="C883" s="104"/>
      <c r="D883" s="110" t="s">
        <v>24</v>
      </c>
      <c r="E883" s="110" t="s">
        <v>288</v>
      </c>
      <c r="G883" s="136">
        <v>100.0</v>
      </c>
      <c r="H883" s="136" t="s">
        <v>26</v>
      </c>
      <c r="I883" s="137">
        <v>800000.0</v>
      </c>
      <c r="J883" s="46">
        <f t="shared" si="876"/>
        <v>80000000</v>
      </c>
      <c r="K883" s="46"/>
      <c r="L883" s="105"/>
      <c r="M883" s="138">
        <v>3.5446706E7</v>
      </c>
      <c r="N883" s="105"/>
      <c r="O883" s="46">
        <f t="shared" si="877"/>
        <v>80000000</v>
      </c>
      <c r="P883" s="46">
        <f t="shared" si="878"/>
        <v>44553294</v>
      </c>
      <c r="Q883" s="46">
        <v>8.0E7</v>
      </c>
      <c r="R883" s="101"/>
      <c r="S883" s="101"/>
      <c r="T883" s="99"/>
      <c r="U883" s="99"/>
      <c r="V883" s="99"/>
      <c r="W883" s="99"/>
      <c r="X883" s="99"/>
      <c r="Y883" s="99"/>
      <c r="Z883" s="99"/>
      <c r="AA883" s="99"/>
      <c r="AB883" s="99"/>
      <c r="AC883" s="99"/>
      <c r="AD883" s="99"/>
      <c r="AE883" s="99"/>
      <c r="AF883" s="99"/>
      <c r="AG883" s="99"/>
      <c r="AH883" s="99"/>
      <c r="AI883" s="99"/>
      <c r="AJ883" s="99"/>
      <c r="AK883" s="99"/>
      <c r="AL883" s="99"/>
      <c r="AM883" s="99"/>
    </row>
    <row r="884" ht="12.75" customHeight="1">
      <c r="A884" s="110" t="s">
        <v>58</v>
      </c>
      <c r="D884" s="145" t="s">
        <v>34</v>
      </c>
      <c r="G884" s="104"/>
      <c r="H884" s="133"/>
      <c r="I884" s="104"/>
      <c r="J884" s="134">
        <f t="shared" ref="J884:K884" si="879">SUM(J886:J887)</f>
        <v>12000000</v>
      </c>
      <c r="K884" s="46">
        <f t="shared" si="879"/>
        <v>0</v>
      </c>
      <c r="L884" s="105"/>
      <c r="M884" s="106"/>
      <c r="N884" s="105"/>
      <c r="O884" s="46">
        <f t="shared" ref="O884:P884" si="880">SUM(O886:O887)</f>
        <v>12000000</v>
      </c>
      <c r="P884" s="46">
        <f t="shared" si="880"/>
        <v>5000000</v>
      </c>
      <c r="Q884" s="46">
        <v>1.2E7</v>
      </c>
      <c r="R884" s="101"/>
      <c r="S884" s="101"/>
      <c r="T884" s="99"/>
      <c r="U884" s="99"/>
      <c r="V884" s="99"/>
      <c r="W884" s="99"/>
      <c r="X884" s="99"/>
      <c r="Y884" s="99"/>
      <c r="Z884" s="99"/>
      <c r="AA884" s="99"/>
      <c r="AB884" s="99"/>
      <c r="AC884" s="99"/>
      <c r="AD884" s="99"/>
      <c r="AE884" s="99"/>
      <c r="AF884" s="99"/>
      <c r="AG884" s="99"/>
      <c r="AH884" s="99"/>
      <c r="AI884" s="99"/>
      <c r="AJ884" s="99"/>
      <c r="AK884" s="99"/>
      <c r="AL884" s="99"/>
      <c r="AM884" s="99"/>
    </row>
    <row r="885" ht="12.75" customHeight="1">
      <c r="A885" s="104"/>
      <c r="B885" s="104"/>
      <c r="C885" s="104"/>
      <c r="D885" s="110" t="s">
        <v>23</v>
      </c>
      <c r="G885" s="104"/>
      <c r="H885" s="104"/>
      <c r="I885" s="104"/>
      <c r="J885" s="111"/>
      <c r="K885" s="111"/>
      <c r="L885" s="105"/>
      <c r="M885" s="106"/>
      <c r="N885" s="105"/>
      <c r="O885" s="111"/>
      <c r="P885" s="111"/>
      <c r="Q885" s="111"/>
      <c r="R885" s="101"/>
      <c r="S885" s="101"/>
      <c r="T885" s="99"/>
      <c r="U885" s="99"/>
      <c r="V885" s="99"/>
      <c r="W885" s="99"/>
      <c r="X885" s="99"/>
      <c r="Y885" s="99"/>
      <c r="Z885" s="99"/>
      <c r="AA885" s="99"/>
      <c r="AB885" s="99"/>
      <c r="AC885" s="99"/>
      <c r="AD885" s="99"/>
      <c r="AE885" s="99"/>
      <c r="AF885" s="99"/>
      <c r="AG885" s="99"/>
      <c r="AH885" s="99"/>
      <c r="AI885" s="99"/>
      <c r="AJ885" s="99"/>
      <c r="AK885" s="99"/>
      <c r="AL885" s="99"/>
      <c r="AM885" s="99"/>
    </row>
    <row r="886" ht="12.75" customHeight="1">
      <c r="A886" s="104"/>
      <c r="B886" s="104"/>
      <c r="C886" s="104"/>
      <c r="D886" s="110" t="s">
        <v>24</v>
      </c>
      <c r="E886" s="110" t="s">
        <v>159</v>
      </c>
      <c r="G886" s="136">
        <v>16.0</v>
      </c>
      <c r="H886" s="136" t="s">
        <v>26</v>
      </c>
      <c r="I886" s="137">
        <v>500000.0</v>
      </c>
      <c r="J886" s="46">
        <f t="shared" ref="J886:J887" si="881">G886*I886</f>
        <v>8000000</v>
      </c>
      <c r="K886" s="46"/>
      <c r="L886" s="105"/>
      <c r="M886" s="138">
        <v>7000000.0</v>
      </c>
      <c r="N886" s="105"/>
      <c r="O886" s="46">
        <f t="shared" ref="O886:O887" si="882">J886-K886</f>
        <v>8000000</v>
      </c>
      <c r="P886" s="46">
        <f t="shared" ref="P886:P887" si="883">J886-M886</f>
        <v>1000000</v>
      </c>
      <c r="Q886" s="46">
        <v>8000000.0</v>
      </c>
      <c r="R886" s="101"/>
      <c r="S886" s="101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  <c r="AG886" s="99"/>
      <c r="AH886" s="99"/>
      <c r="AI886" s="99"/>
      <c r="AJ886" s="99"/>
      <c r="AK886" s="99"/>
      <c r="AL886" s="99"/>
      <c r="AM886" s="99"/>
    </row>
    <row r="887" ht="12.75" customHeight="1">
      <c r="A887" s="104"/>
      <c r="B887" s="104"/>
      <c r="C887" s="104"/>
      <c r="D887" s="110" t="s">
        <v>24</v>
      </c>
      <c r="E887" s="110" t="s">
        <v>230</v>
      </c>
      <c r="G887" s="136">
        <v>8.0</v>
      </c>
      <c r="H887" s="136" t="s">
        <v>26</v>
      </c>
      <c r="I887" s="137">
        <v>500000.0</v>
      </c>
      <c r="J887" s="46">
        <f t="shared" si="881"/>
        <v>4000000</v>
      </c>
      <c r="K887" s="46"/>
      <c r="L887" s="105"/>
      <c r="M887" s="106"/>
      <c r="N887" s="105"/>
      <c r="O887" s="46">
        <f t="shared" si="882"/>
        <v>4000000</v>
      </c>
      <c r="P887" s="46">
        <f t="shared" si="883"/>
        <v>4000000</v>
      </c>
      <c r="Q887" s="46">
        <v>4000000.0</v>
      </c>
      <c r="R887" s="101"/>
      <c r="S887" s="101"/>
      <c r="T887" s="99"/>
      <c r="U887" s="99"/>
      <c r="V887" s="99"/>
      <c r="W887" s="99"/>
      <c r="X887" s="99"/>
      <c r="Y887" s="99"/>
      <c r="Z887" s="99"/>
      <c r="AA887" s="99"/>
      <c r="AB887" s="99"/>
      <c r="AC887" s="99"/>
      <c r="AD887" s="99"/>
      <c r="AE887" s="99"/>
      <c r="AF887" s="99"/>
      <c r="AG887" s="99"/>
      <c r="AH887" s="99"/>
      <c r="AI887" s="99"/>
      <c r="AJ887" s="99"/>
      <c r="AK887" s="99"/>
      <c r="AL887" s="99"/>
      <c r="AM887" s="99"/>
    </row>
    <row r="888" ht="12.75" customHeight="1">
      <c r="A888" s="144" t="s">
        <v>37</v>
      </c>
      <c r="D888" s="144" t="s">
        <v>38</v>
      </c>
      <c r="G888" s="104"/>
      <c r="H888" s="128"/>
      <c r="I888" s="104"/>
      <c r="J888" s="129">
        <f t="shared" ref="J888:K888" si="884">J889+J894+J897</f>
        <v>24400000</v>
      </c>
      <c r="K888" s="43">
        <f t="shared" si="884"/>
        <v>0</v>
      </c>
      <c r="L888" s="105"/>
      <c r="M888" s="106"/>
      <c r="N888" s="105"/>
      <c r="O888" s="43">
        <f t="shared" ref="O888:P888" si="885">O889+O894+O897</f>
        <v>24400000</v>
      </c>
      <c r="P888" s="43">
        <f t="shared" si="885"/>
        <v>24400000</v>
      </c>
      <c r="Q888" s="43">
        <v>2.44E7</v>
      </c>
      <c r="R888" s="101"/>
      <c r="S888" s="101"/>
      <c r="T888" s="99"/>
      <c r="U888" s="99"/>
      <c r="V888" s="99"/>
      <c r="W888" s="99"/>
      <c r="X888" s="99"/>
      <c r="Y888" s="99"/>
      <c r="Z888" s="99"/>
      <c r="AA888" s="99"/>
      <c r="AB888" s="99"/>
      <c r="AC888" s="99"/>
      <c r="AD888" s="99"/>
      <c r="AE888" s="99"/>
      <c r="AF888" s="99"/>
      <c r="AG888" s="99"/>
      <c r="AH888" s="99"/>
      <c r="AI888" s="99"/>
      <c r="AJ888" s="99"/>
      <c r="AK888" s="99"/>
      <c r="AL888" s="99"/>
      <c r="AM888" s="99"/>
    </row>
    <row r="889" ht="12.75" customHeight="1">
      <c r="A889" s="110" t="s">
        <v>40</v>
      </c>
      <c r="D889" s="145" t="s">
        <v>22</v>
      </c>
      <c r="G889" s="104"/>
      <c r="H889" s="133"/>
      <c r="I889" s="104"/>
      <c r="J889" s="134">
        <f t="shared" ref="J889:K889" si="886">SUM(J891:J893)</f>
        <v>6400000</v>
      </c>
      <c r="K889" s="46">
        <f t="shared" si="886"/>
        <v>0</v>
      </c>
      <c r="L889" s="105"/>
      <c r="M889" s="106"/>
      <c r="N889" s="105"/>
      <c r="O889" s="46">
        <f t="shared" ref="O889:P889" si="887">SUM(O891:O893)</f>
        <v>6400000</v>
      </c>
      <c r="P889" s="46">
        <f t="shared" si="887"/>
        <v>6400000</v>
      </c>
      <c r="Q889" s="46">
        <v>6400000.0</v>
      </c>
      <c r="R889" s="101"/>
      <c r="S889" s="101"/>
      <c r="T889" s="99"/>
      <c r="U889" s="99"/>
      <c r="V889" s="99"/>
      <c r="W889" s="99"/>
      <c r="X889" s="99"/>
      <c r="Y889" s="99"/>
      <c r="Z889" s="99"/>
      <c r="AA889" s="99"/>
      <c r="AB889" s="99"/>
      <c r="AC889" s="99"/>
      <c r="AD889" s="99"/>
      <c r="AE889" s="99"/>
      <c r="AF889" s="99"/>
      <c r="AG889" s="99"/>
      <c r="AH889" s="99"/>
      <c r="AI889" s="99"/>
      <c r="AJ889" s="99"/>
      <c r="AK889" s="99"/>
      <c r="AL889" s="99"/>
      <c r="AM889" s="99"/>
    </row>
    <row r="890" ht="12.75" customHeight="1">
      <c r="A890" s="104"/>
      <c r="B890" s="104"/>
      <c r="C890" s="104"/>
      <c r="D890" s="110" t="s">
        <v>23</v>
      </c>
      <c r="G890" s="104"/>
      <c r="H890" s="104"/>
      <c r="I890" s="104"/>
      <c r="J890" s="111"/>
      <c r="K890" s="111"/>
      <c r="L890" s="105"/>
      <c r="M890" s="106"/>
      <c r="N890" s="105"/>
      <c r="O890" s="111"/>
      <c r="P890" s="111"/>
      <c r="Q890" s="111"/>
      <c r="R890" s="101"/>
      <c r="S890" s="101"/>
      <c r="T890" s="99"/>
      <c r="U890" s="99"/>
      <c r="V890" s="99"/>
      <c r="W890" s="99"/>
      <c r="X890" s="99"/>
      <c r="Y890" s="99"/>
      <c r="Z890" s="99"/>
      <c r="AA890" s="99"/>
      <c r="AB890" s="99"/>
      <c r="AC890" s="99"/>
      <c r="AD890" s="99"/>
      <c r="AE890" s="99"/>
      <c r="AF890" s="99"/>
      <c r="AG890" s="99"/>
      <c r="AH890" s="99"/>
      <c r="AI890" s="99"/>
      <c r="AJ890" s="99"/>
      <c r="AK890" s="99"/>
      <c r="AL890" s="99"/>
      <c r="AM890" s="99"/>
    </row>
    <row r="891" ht="12.75" customHeight="1">
      <c r="A891" s="104"/>
      <c r="B891" s="104"/>
      <c r="C891" s="104"/>
      <c r="D891" s="110" t="s">
        <v>24</v>
      </c>
      <c r="E891" s="110" t="s">
        <v>160</v>
      </c>
      <c r="G891" s="136">
        <v>100.0</v>
      </c>
      <c r="H891" s="136" t="s">
        <v>26</v>
      </c>
      <c r="I891" s="137">
        <v>53000.0</v>
      </c>
      <c r="J891" s="46">
        <f t="shared" ref="J891:J893" si="888">G891*I891</f>
        <v>5300000</v>
      </c>
      <c r="K891" s="46"/>
      <c r="L891" s="105"/>
      <c r="M891" s="106"/>
      <c r="N891" s="105"/>
      <c r="O891" s="46">
        <f t="shared" ref="O891:O893" si="889">J891-K891</f>
        <v>5300000</v>
      </c>
      <c r="P891" s="46">
        <f t="shared" ref="P891:P893" si="890">J891-M891</f>
        <v>5300000</v>
      </c>
      <c r="Q891" s="46">
        <v>5300000.0</v>
      </c>
      <c r="R891" s="101"/>
      <c r="S891" s="101"/>
      <c r="T891" s="99"/>
      <c r="U891" s="99"/>
      <c r="V891" s="99"/>
      <c r="W891" s="99"/>
      <c r="X891" s="99"/>
      <c r="Y891" s="99"/>
      <c r="Z891" s="99"/>
      <c r="AA891" s="99"/>
      <c r="AB891" s="99"/>
      <c r="AC891" s="99"/>
      <c r="AD891" s="99"/>
      <c r="AE891" s="99"/>
      <c r="AF891" s="99"/>
      <c r="AG891" s="99"/>
      <c r="AH891" s="99"/>
      <c r="AI891" s="99"/>
      <c r="AJ891" s="99"/>
      <c r="AK891" s="99"/>
      <c r="AL891" s="99"/>
      <c r="AM891" s="99"/>
    </row>
    <row r="892" ht="12.75" customHeight="1">
      <c r="A892" s="104"/>
      <c r="B892" s="104"/>
      <c r="C892" s="104"/>
      <c r="D892" s="110" t="s">
        <v>24</v>
      </c>
      <c r="E892" s="110" t="s">
        <v>42</v>
      </c>
      <c r="G892" s="136">
        <v>2.0</v>
      </c>
      <c r="H892" s="136" t="s">
        <v>26</v>
      </c>
      <c r="I892" s="137">
        <v>250000.0</v>
      </c>
      <c r="J892" s="46">
        <f t="shared" si="888"/>
        <v>500000</v>
      </c>
      <c r="K892" s="46"/>
      <c r="L892" s="105"/>
      <c r="M892" s="106"/>
      <c r="N892" s="105"/>
      <c r="O892" s="46">
        <f t="shared" si="889"/>
        <v>500000</v>
      </c>
      <c r="P892" s="46">
        <f t="shared" si="890"/>
        <v>500000</v>
      </c>
      <c r="Q892" s="46">
        <v>500000.0</v>
      </c>
      <c r="R892" s="101"/>
      <c r="S892" s="101"/>
      <c r="T892" s="99"/>
      <c r="U892" s="99"/>
      <c r="V892" s="99"/>
      <c r="W892" s="99"/>
      <c r="X892" s="99"/>
      <c r="Y892" s="99"/>
      <c r="Z892" s="99"/>
      <c r="AA892" s="99"/>
      <c r="AB892" s="99"/>
      <c r="AC892" s="99"/>
      <c r="AD892" s="99"/>
      <c r="AE892" s="99"/>
      <c r="AF892" s="99"/>
      <c r="AG892" s="99"/>
      <c r="AH892" s="99"/>
      <c r="AI892" s="99"/>
      <c r="AJ892" s="99"/>
      <c r="AK892" s="99"/>
      <c r="AL892" s="99"/>
      <c r="AM892" s="99"/>
    </row>
    <row r="893" ht="12.75" customHeight="1">
      <c r="A893" s="104"/>
      <c r="B893" s="104"/>
      <c r="C893" s="104"/>
      <c r="D893" s="110" t="s">
        <v>24</v>
      </c>
      <c r="E893" s="110" t="s">
        <v>43</v>
      </c>
      <c r="G893" s="136">
        <v>2.0</v>
      </c>
      <c r="H893" s="136" t="s">
        <v>26</v>
      </c>
      <c r="I893" s="137">
        <v>300000.0</v>
      </c>
      <c r="J893" s="46">
        <f t="shared" si="888"/>
        <v>600000</v>
      </c>
      <c r="K893" s="46"/>
      <c r="L893" s="105"/>
      <c r="M893" s="106"/>
      <c r="N893" s="105"/>
      <c r="O893" s="46">
        <f t="shared" si="889"/>
        <v>600000</v>
      </c>
      <c r="P893" s="46">
        <f t="shared" si="890"/>
        <v>600000</v>
      </c>
      <c r="Q893" s="46">
        <v>600000.0</v>
      </c>
      <c r="R893" s="101"/>
      <c r="S893" s="101"/>
      <c r="T893" s="99"/>
      <c r="U893" s="99"/>
      <c r="V893" s="99"/>
      <c r="W893" s="99"/>
      <c r="X893" s="99"/>
      <c r="Y893" s="99"/>
      <c r="Z893" s="99"/>
      <c r="AA893" s="99"/>
      <c r="AB893" s="99"/>
      <c r="AC893" s="99"/>
      <c r="AD893" s="99"/>
      <c r="AE893" s="99"/>
      <c r="AF893" s="99"/>
      <c r="AG893" s="99"/>
      <c r="AH893" s="99"/>
      <c r="AI893" s="99"/>
      <c r="AJ893" s="99"/>
      <c r="AK893" s="99"/>
      <c r="AL893" s="99"/>
      <c r="AM893" s="99"/>
    </row>
    <row r="894" ht="12.75" customHeight="1">
      <c r="A894" s="110" t="s">
        <v>44</v>
      </c>
      <c r="D894" s="145" t="s">
        <v>45</v>
      </c>
      <c r="G894" s="104"/>
      <c r="H894" s="133"/>
      <c r="I894" s="104"/>
      <c r="J894" s="134">
        <f t="shared" ref="J894:K894" si="891">J896</f>
        <v>2000000</v>
      </c>
      <c r="K894" s="46" t="str">
        <f t="shared" si="891"/>
        <v/>
      </c>
      <c r="L894" s="105"/>
      <c r="M894" s="106"/>
      <c r="N894" s="105"/>
      <c r="O894" s="46">
        <f t="shared" ref="O894:P894" si="892">O896</f>
        <v>2000000</v>
      </c>
      <c r="P894" s="46">
        <f t="shared" si="892"/>
        <v>2000000</v>
      </c>
      <c r="Q894" s="46">
        <v>2000000.0</v>
      </c>
      <c r="R894" s="101"/>
      <c r="S894" s="101"/>
      <c r="T894" s="99"/>
      <c r="U894" s="99"/>
      <c r="V894" s="99"/>
      <c r="W894" s="99"/>
      <c r="X894" s="99"/>
      <c r="Y894" s="99"/>
      <c r="Z894" s="99"/>
      <c r="AA894" s="99"/>
      <c r="AB894" s="99"/>
      <c r="AC894" s="99"/>
      <c r="AD894" s="99"/>
      <c r="AE894" s="99"/>
      <c r="AF894" s="99"/>
      <c r="AG894" s="99"/>
      <c r="AH894" s="99"/>
      <c r="AI894" s="99"/>
      <c r="AJ894" s="99"/>
      <c r="AK894" s="99"/>
      <c r="AL894" s="99"/>
      <c r="AM894" s="99"/>
    </row>
    <row r="895" ht="12.75" customHeight="1">
      <c r="A895" s="104"/>
      <c r="B895" s="104"/>
      <c r="C895" s="104"/>
      <c r="D895" s="110" t="s">
        <v>23</v>
      </c>
      <c r="G895" s="104"/>
      <c r="H895" s="104"/>
      <c r="I895" s="104"/>
      <c r="J895" s="111"/>
      <c r="K895" s="111"/>
      <c r="L895" s="105"/>
      <c r="M895" s="106"/>
      <c r="N895" s="105"/>
      <c r="O895" s="111"/>
      <c r="P895" s="111"/>
      <c r="Q895" s="111"/>
      <c r="R895" s="101"/>
      <c r="S895" s="101"/>
      <c r="T895" s="99"/>
      <c r="U895" s="99"/>
      <c r="V895" s="99"/>
      <c r="W895" s="99"/>
      <c r="X895" s="99"/>
      <c r="Y895" s="99"/>
      <c r="Z895" s="99"/>
      <c r="AA895" s="99"/>
      <c r="AB895" s="99"/>
      <c r="AC895" s="99"/>
      <c r="AD895" s="99"/>
      <c r="AE895" s="99"/>
      <c r="AF895" s="99"/>
      <c r="AG895" s="99"/>
      <c r="AH895" s="99"/>
      <c r="AI895" s="99"/>
      <c r="AJ895" s="99"/>
      <c r="AK895" s="99"/>
      <c r="AL895" s="99"/>
      <c r="AM895" s="99"/>
    </row>
    <row r="896" ht="12.75" customHeight="1">
      <c r="A896" s="104"/>
      <c r="B896" s="104"/>
      <c r="C896" s="104"/>
      <c r="D896" s="110" t="s">
        <v>24</v>
      </c>
      <c r="E896" s="110" t="s">
        <v>161</v>
      </c>
      <c r="G896" s="136">
        <v>4.0</v>
      </c>
      <c r="H896" s="136" t="s">
        <v>26</v>
      </c>
      <c r="I896" s="137">
        <v>500000.0</v>
      </c>
      <c r="J896" s="46">
        <f>G896*I896</f>
        <v>2000000</v>
      </c>
      <c r="K896" s="46"/>
      <c r="L896" s="105"/>
      <c r="M896" s="106"/>
      <c r="N896" s="105"/>
      <c r="O896" s="46">
        <f>J896-K896</f>
        <v>2000000</v>
      </c>
      <c r="P896" s="46">
        <f>J896-M896</f>
        <v>2000000</v>
      </c>
      <c r="Q896" s="46">
        <v>2000000.0</v>
      </c>
      <c r="R896" s="101"/>
      <c r="S896" s="101"/>
      <c r="T896" s="99"/>
      <c r="U896" s="99"/>
      <c r="V896" s="99"/>
      <c r="W896" s="99"/>
      <c r="X896" s="99"/>
      <c r="Y896" s="99"/>
      <c r="Z896" s="99"/>
      <c r="AA896" s="99"/>
      <c r="AB896" s="99"/>
      <c r="AC896" s="99"/>
      <c r="AD896" s="99"/>
      <c r="AE896" s="99"/>
      <c r="AF896" s="99"/>
      <c r="AG896" s="99"/>
      <c r="AH896" s="99"/>
      <c r="AI896" s="99"/>
      <c r="AJ896" s="99"/>
      <c r="AK896" s="99"/>
      <c r="AL896" s="99"/>
      <c r="AM896" s="99"/>
    </row>
    <row r="897" ht="12.75" customHeight="1">
      <c r="A897" s="110" t="s">
        <v>47</v>
      </c>
      <c r="D897" s="145" t="s">
        <v>48</v>
      </c>
      <c r="G897" s="104"/>
      <c r="H897" s="133"/>
      <c r="I897" s="104"/>
      <c r="J897" s="134">
        <f t="shared" ref="J897:K897" si="893">J899</f>
        <v>16000000</v>
      </c>
      <c r="K897" s="46" t="str">
        <f t="shared" si="893"/>
        <v/>
      </c>
      <c r="L897" s="105"/>
      <c r="M897" s="106"/>
      <c r="N897" s="105"/>
      <c r="O897" s="46">
        <f t="shared" ref="O897:P897" si="894">O899</f>
        <v>16000000</v>
      </c>
      <c r="P897" s="46">
        <f t="shared" si="894"/>
        <v>16000000</v>
      </c>
      <c r="Q897" s="46">
        <v>1.6E7</v>
      </c>
      <c r="R897" s="101"/>
      <c r="S897" s="101"/>
      <c r="T897" s="99"/>
      <c r="U897" s="99"/>
      <c r="V897" s="99"/>
      <c r="W897" s="99"/>
      <c r="X897" s="99"/>
      <c r="Y897" s="99"/>
      <c r="Z897" s="99"/>
      <c r="AA897" s="99"/>
      <c r="AB897" s="99"/>
      <c r="AC897" s="99"/>
      <c r="AD897" s="99"/>
      <c r="AE897" s="99"/>
      <c r="AF897" s="99"/>
      <c r="AG897" s="99"/>
      <c r="AH897" s="99"/>
      <c r="AI897" s="99"/>
      <c r="AJ897" s="99"/>
      <c r="AK897" s="99"/>
      <c r="AL897" s="99"/>
      <c r="AM897" s="99"/>
    </row>
    <row r="898" ht="12.75" customHeight="1">
      <c r="A898" s="104"/>
      <c r="B898" s="104"/>
      <c r="C898" s="104"/>
      <c r="D898" s="110" t="s">
        <v>23</v>
      </c>
      <c r="G898" s="104"/>
      <c r="H898" s="104"/>
      <c r="I898" s="104"/>
      <c r="J898" s="111"/>
      <c r="K898" s="111"/>
      <c r="L898" s="105"/>
      <c r="M898" s="106"/>
      <c r="N898" s="105"/>
      <c r="O898" s="111"/>
      <c r="P898" s="111"/>
      <c r="Q898" s="111"/>
      <c r="R898" s="101"/>
      <c r="S898" s="101"/>
      <c r="T898" s="99"/>
      <c r="U898" s="99"/>
      <c r="V898" s="99"/>
      <c r="W898" s="99"/>
      <c r="X898" s="99"/>
      <c r="Y898" s="99"/>
      <c r="Z898" s="99"/>
      <c r="AA898" s="99"/>
      <c r="AB898" s="99"/>
      <c r="AC898" s="99"/>
      <c r="AD898" s="99"/>
      <c r="AE898" s="99"/>
      <c r="AF898" s="99"/>
      <c r="AG898" s="99"/>
      <c r="AH898" s="99"/>
      <c r="AI898" s="99"/>
      <c r="AJ898" s="99"/>
      <c r="AK898" s="99"/>
      <c r="AL898" s="99"/>
      <c r="AM898" s="99"/>
    </row>
    <row r="899" ht="12.75" customHeight="1">
      <c r="A899" s="104"/>
      <c r="B899" s="104"/>
      <c r="C899" s="104"/>
      <c r="D899" s="110" t="s">
        <v>24</v>
      </c>
      <c r="E899" s="110" t="s">
        <v>162</v>
      </c>
      <c r="G899" s="136">
        <v>4.0</v>
      </c>
      <c r="H899" s="136" t="s">
        <v>26</v>
      </c>
      <c r="I899" s="137">
        <v>4000000.0</v>
      </c>
      <c r="J899" s="46">
        <f>G899*I899</f>
        <v>16000000</v>
      </c>
      <c r="K899" s="46"/>
      <c r="L899" s="105"/>
      <c r="M899" s="106"/>
      <c r="N899" s="105"/>
      <c r="O899" s="46">
        <f>J899-K899</f>
        <v>16000000</v>
      </c>
      <c r="P899" s="46">
        <f>J899-M899</f>
        <v>16000000</v>
      </c>
      <c r="Q899" s="46">
        <v>1.6E7</v>
      </c>
      <c r="R899" s="101"/>
      <c r="S899" s="101"/>
      <c r="T899" s="99"/>
      <c r="U899" s="99"/>
      <c r="V899" s="99"/>
      <c r="W899" s="99"/>
      <c r="X899" s="99"/>
      <c r="Y899" s="99"/>
      <c r="Z899" s="99"/>
      <c r="AA899" s="99"/>
      <c r="AB899" s="99"/>
      <c r="AC899" s="99"/>
      <c r="AD899" s="99"/>
      <c r="AE899" s="99"/>
      <c r="AF899" s="99"/>
      <c r="AG899" s="99"/>
      <c r="AH899" s="99"/>
      <c r="AI899" s="99"/>
      <c r="AJ899" s="99"/>
      <c r="AK899" s="99"/>
      <c r="AL899" s="99"/>
      <c r="AM899" s="99"/>
    </row>
    <row r="900" ht="12.75" customHeight="1">
      <c r="A900" s="144" t="s">
        <v>50</v>
      </c>
      <c r="D900" s="144" t="s">
        <v>51</v>
      </c>
      <c r="G900" s="104"/>
      <c r="H900" s="128"/>
      <c r="I900" s="104"/>
      <c r="J900" s="129">
        <f t="shared" ref="J900:K900" si="895">J901+J907+J910</f>
        <v>56050000</v>
      </c>
      <c r="K900" s="43">
        <f t="shared" si="895"/>
        <v>0</v>
      </c>
      <c r="L900" s="105"/>
      <c r="M900" s="106"/>
      <c r="N900" s="105"/>
      <c r="O900" s="43">
        <f t="shared" ref="O900:P900" si="896">O901+O907+O910</f>
        <v>56050000</v>
      </c>
      <c r="P900" s="43">
        <f t="shared" si="896"/>
        <v>56050000</v>
      </c>
      <c r="Q900" s="43">
        <v>5.605E7</v>
      </c>
      <c r="R900" s="101"/>
      <c r="S900" s="101"/>
      <c r="T900" s="99"/>
      <c r="U900" s="99"/>
      <c r="V900" s="99"/>
      <c r="W900" s="99"/>
      <c r="X900" s="99"/>
      <c r="Y900" s="99"/>
      <c r="Z900" s="99"/>
      <c r="AA900" s="99"/>
      <c r="AB900" s="99"/>
      <c r="AC900" s="99"/>
      <c r="AD900" s="99"/>
      <c r="AE900" s="99"/>
      <c r="AF900" s="99"/>
      <c r="AG900" s="99"/>
      <c r="AH900" s="99"/>
      <c r="AI900" s="99"/>
      <c r="AJ900" s="99"/>
      <c r="AK900" s="99"/>
      <c r="AL900" s="99"/>
      <c r="AM900" s="99"/>
    </row>
    <row r="901" ht="12.75" customHeight="1">
      <c r="A901" s="110" t="s">
        <v>40</v>
      </c>
      <c r="D901" s="145" t="s">
        <v>22</v>
      </c>
      <c r="G901" s="104"/>
      <c r="H901" s="133"/>
      <c r="I901" s="104"/>
      <c r="J901" s="134">
        <f t="shared" ref="J901:K901" si="897">SUM(J903:J906)</f>
        <v>38050000</v>
      </c>
      <c r="K901" s="46">
        <f t="shared" si="897"/>
        <v>0</v>
      </c>
      <c r="L901" s="105"/>
      <c r="M901" s="106"/>
      <c r="N901" s="105"/>
      <c r="O901" s="46">
        <f t="shared" ref="O901:P901" si="898">SUM(O903:O906)</f>
        <v>38050000</v>
      </c>
      <c r="P901" s="46">
        <f t="shared" si="898"/>
        <v>38050000</v>
      </c>
      <c r="Q901" s="46">
        <v>3.805E7</v>
      </c>
      <c r="R901" s="101"/>
      <c r="S901" s="101"/>
      <c r="T901" s="99"/>
      <c r="U901" s="99"/>
      <c r="V901" s="99"/>
      <c r="W901" s="99"/>
      <c r="X901" s="99"/>
      <c r="Y901" s="99"/>
      <c r="Z901" s="99"/>
      <c r="AA901" s="99"/>
      <c r="AB901" s="99"/>
      <c r="AC901" s="99"/>
      <c r="AD901" s="99"/>
      <c r="AE901" s="99"/>
      <c r="AF901" s="99"/>
      <c r="AG901" s="99"/>
      <c r="AH901" s="99"/>
      <c r="AI901" s="99"/>
      <c r="AJ901" s="99"/>
      <c r="AK901" s="99"/>
      <c r="AL901" s="99"/>
      <c r="AM901" s="99"/>
    </row>
    <row r="902" ht="12.75" customHeight="1">
      <c r="A902" s="104"/>
      <c r="B902" s="104"/>
      <c r="C902" s="104"/>
      <c r="D902" s="110" t="s">
        <v>23</v>
      </c>
      <c r="G902" s="104"/>
      <c r="H902" s="104"/>
      <c r="I902" s="104"/>
      <c r="J902" s="111"/>
      <c r="K902" s="111"/>
      <c r="L902" s="105"/>
      <c r="M902" s="106"/>
      <c r="N902" s="105"/>
      <c r="O902" s="111"/>
      <c r="P902" s="111"/>
      <c r="Q902" s="111"/>
      <c r="R902" s="101"/>
      <c r="S902" s="101"/>
      <c r="T902" s="99"/>
      <c r="U902" s="99"/>
      <c r="V902" s="99"/>
      <c r="W902" s="99"/>
      <c r="X902" s="99"/>
      <c r="Y902" s="99"/>
      <c r="Z902" s="99"/>
      <c r="AA902" s="99"/>
      <c r="AB902" s="99"/>
      <c r="AC902" s="99"/>
      <c r="AD902" s="99"/>
      <c r="AE902" s="99"/>
      <c r="AF902" s="99"/>
      <c r="AG902" s="99"/>
      <c r="AH902" s="99"/>
      <c r="AI902" s="99"/>
      <c r="AJ902" s="99"/>
      <c r="AK902" s="99"/>
      <c r="AL902" s="99"/>
      <c r="AM902" s="99"/>
    </row>
    <row r="903" ht="12.75" customHeight="1">
      <c r="A903" s="104"/>
      <c r="B903" s="104"/>
      <c r="C903" s="104"/>
      <c r="D903" s="110" t="s">
        <v>24</v>
      </c>
      <c r="E903" s="110" t="s">
        <v>163</v>
      </c>
      <c r="G903" s="136">
        <v>100.0</v>
      </c>
      <c r="H903" s="136" t="s">
        <v>26</v>
      </c>
      <c r="I903" s="137">
        <v>53000.0</v>
      </c>
      <c r="J903" s="46">
        <f t="shared" ref="J903:J906" si="899">G903*I903</f>
        <v>5300000</v>
      </c>
      <c r="K903" s="46"/>
      <c r="L903" s="105"/>
      <c r="M903" s="106"/>
      <c r="N903" s="105"/>
      <c r="O903" s="46">
        <f t="shared" ref="O903:O906" si="900">J903-K903</f>
        <v>5300000</v>
      </c>
      <c r="P903" s="46">
        <f t="shared" ref="P903:P906" si="901">J903-M903</f>
        <v>5300000</v>
      </c>
      <c r="Q903" s="46">
        <v>5300000.0</v>
      </c>
      <c r="R903" s="101"/>
      <c r="S903" s="101"/>
      <c r="T903" s="99"/>
      <c r="U903" s="99"/>
      <c r="V903" s="99"/>
      <c r="W903" s="99"/>
      <c r="X903" s="99"/>
      <c r="Y903" s="99"/>
      <c r="Z903" s="99"/>
      <c r="AA903" s="99"/>
      <c r="AB903" s="99"/>
      <c r="AC903" s="99"/>
      <c r="AD903" s="99"/>
      <c r="AE903" s="99"/>
      <c r="AF903" s="99"/>
      <c r="AG903" s="99"/>
      <c r="AH903" s="99"/>
      <c r="AI903" s="99"/>
      <c r="AJ903" s="99"/>
      <c r="AK903" s="99"/>
      <c r="AL903" s="99"/>
      <c r="AM903" s="99"/>
    </row>
    <row r="904" ht="12.75" customHeight="1">
      <c r="A904" s="104"/>
      <c r="B904" s="104"/>
      <c r="C904" s="104"/>
      <c r="D904" s="110" t="s">
        <v>24</v>
      </c>
      <c r="E904" s="110" t="s">
        <v>53</v>
      </c>
      <c r="G904" s="136">
        <v>5.0</v>
      </c>
      <c r="H904" s="136" t="s">
        <v>26</v>
      </c>
      <c r="I904" s="137">
        <v>500000.0</v>
      </c>
      <c r="J904" s="46">
        <f t="shared" si="899"/>
        <v>2500000</v>
      </c>
      <c r="K904" s="46"/>
      <c r="L904" s="105"/>
      <c r="M904" s="106"/>
      <c r="N904" s="105"/>
      <c r="O904" s="46">
        <f t="shared" si="900"/>
        <v>2500000</v>
      </c>
      <c r="P904" s="46">
        <f t="shared" si="901"/>
        <v>2500000</v>
      </c>
      <c r="Q904" s="46">
        <v>2500000.0</v>
      </c>
      <c r="R904" s="101"/>
      <c r="S904" s="101"/>
      <c r="T904" s="99"/>
      <c r="U904" s="99"/>
      <c r="V904" s="99"/>
      <c r="W904" s="99"/>
      <c r="X904" s="99"/>
      <c r="Y904" s="99"/>
      <c r="Z904" s="99"/>
      <c r="AA904" s="99"/>
      <c r="AB904" s="99"/>
      <c r="AC904" s="99"/>
      <c r="AD904" s="99"/>
      <c r="AE904" s="99"/>
      <c r="AF904" s="99"/>
      <c r="AG904" s="99"/>
      <c r="AH904" s="99"/>
      <c r="AI904" s="99"/>
      <c r="AJ904" s="99"/>
      <c r="AK904" s="99"/>
      <c r="AL904" s="99"/>
      <c r="AM904" s="99"/>
    </row>
    <row r="905" ht="12.75" customHeight="1">
      <c r="A905" s="104"/>
      <c r="B905" s="104"/>
      <c r="C905" s="104"/>
      <c r="D905" s="110" t="s">
        <v>24</v>
      </c>
      <c r="E905" s="110" t="s">
        <v>54</v>
      </c>
      <c r="G905" s="136">
        <v>1.0</v>
      </c>
      <c r="H905" s="136" t="s">
        <v>55</v>
      </c>
      <c r="I905" s="137">
        <v>250000.0</v>
      </c>
      <c r="J905" s="46">
        <f t="shared" si="899"/>
        <v>250000</v>
      </c>
      <c r="K905" s="46"/>
      <c r="L905" s="105"/>
      <c r="M905" s="106"/>
      <c r="N905" s="105"/>
      <c r="O905" s="46">
        <f t="shared" si="900"/>
        <v>250000</v>
      </c>
      <c r="P905" s="46">
        <f t="shared" si="901"/>
        <v>250000</v>
      </c>
      <c r="Q905" s="46">
        <v>250000.0</v>
      </c>
      <c r="R905" s="101"/>
      <c r="S905" s="101"/>
      <c r="T905" s="99"/>
      <c r="U905" s="99"/>
      <c r="V905" s="99"/>
      <c r="W905" s="99"/>
      <c r="X905" s="99"/>
      <c r="Y905" s="99"/>
      <c r="Z905" s="99"/>
      <c r="AA905" s="99"/>
      <c r="AB905" s="99"/>
      <c r="AC905" s="99"/>
      <c r="AD905" s="99"/>
      <c r="AE905" s="99"/>
      <c r="AF905" s="99"/>
      <c r="AG905" s="99"/>
      <c r="AH905" s="99"/>
      <c r="AI905" s="99"/>
      <c r="AJ905" s="99"/>
      <c r="AK905" s="99"/>
      <c r="AL905" s="99"/>
      <c r="AM905" s="99"/>
    </row>
    <row r="906" ht="12.75" customHeight="1">
      <c r="A906" s="104"/>
      <c r="B906" s="104"/>
      <c r="C906" s="104"/>
      <c r="D906" s="110" t="s">
        <v>24</v>
      </c>
      <c r="E906" s="110" t="s">
        <v>164</v>
      </c>
      <c r="G906" s="136">
        <v>100.0</v>
      </c>
      <c r="H906" s="136" t="s">
        <v>26</v>
      </c>
      <c r="I906" s="137">
        <v>300000.0</v>
      </c>
      <c r="J906" s="46">
        <f t="shared" si="899"/>
        <v>30000000</v>
      </c>
      <c r="K906" s="46"/>
      <c r="L906" s="105"/>
      <c r="M906" s="106"/>
      <c r="N906" s="105"/>
      <c r="O906" s="46">
        <f t="shared" si="900"/>
        <v>30000000</v>
      </c>
      <c r="P906" s="46">
        <f t="shared" si="901"/>
        <v>30000000</v>
      </c>
      <c r="Q906" s="46">
        <v>3.0E7</v>
      </c>
      <c r="R906" s="101"/>
      <c r="S906" s="101"/>
      <c r="T906" s="99"/>
      <c r="U906" s="99"/>
      <c r="V906" s="99"/>
      <c r="W906" s="99"/>
      <c r="X906" s="99"/>
      <c r="Y906" s="99"/>
      <c r="Z906" s="99"/>
      <c r="AA906" s="99"/>
      <c r="AB906" s="99"/>
      <c r="AC906" s="99"/>
      <c r="AD906" s="99"/>
      <c r="AE906" s="99"/>
      <c r="AF906" s="99"/>
      <c r="AG906" s="99"/>
      <c r="AH906" s="99"/>
      <c r="AI906" s="99"/>
      <c r="AJ906" s="99"/>
      <c r="AK906" s="99"/>
      <c r="AL906" s="99"/>
      <c r="AM906" s="99"/>
    </row>
    <row r="907" ht="12.75" customHeight="1">
      <c r="A907" s="110" t="s">
        <v>47</v>
      </c>
      <c r="D907" s="145" t="s">
        <v>48</v>
      </c>
      <c r="G907" s="104"/>
      <c r="H907" s="133"/>
      <c r="I907" s="104"/>
      <c r="J907" s="134">
        <f t="shared" ref="J907:K907" si="902">J909</f>
        <v>16000000</v>
      </c>
      <c r="K907" s="46" t="str">
        <f t="shared" si="902"/>
        <v/>
      </c>
      <c r="L907" s="105"/>
      <c r="M907" s="106"/>
      <c r="N907" s="105"/>
      <c r="O907" s="46">
        <f t="shared" ref="O907:P907" si="903">O909</f>
        <v>16000000</v>
      </c>
      <c r="P907" s="46">
        <f t="shared" si="903"/>
        <v>16000000</v>
      </c>
      <c r="Q907" s="46">
        <v>1.6E7</v>
      </c>
      <c r="R907" s="101"/>
      <c r="S907" s="101"/>
      <c r="T907" s="99"/>
      <c r="U907" s="99"/>
      <c r="V907" s="99"/>
      <c r="W907" s="99"/>
      <c r="X907" s="99"/>
      <c r="Y907" s="99"/>
      <c r="Z907" s="99"/>
      <c r="AA907" s="99"/>
      <c r="AB907" s="99"/>
      <c r="AC907" s="99"/>
      <c r="AD907" s="99"/>
      <c r="AE907" s="99"/>
      <c r="AF907" s="99"/>
      <c r="AG907" s="99"/>
      <c r="AH907" s="99"/>
      <c r="AI907" s="99"/>
      <c r="AJ907" s="99"/>
      <c r="AK907" s="99"/>
      <c r="AL907" s="99"/>
      <c r="AM907" s="99"/>
    </row>
    <row r="908" ht="12.75" customHeight="1">
      <c r="A908" s="104"/>
      <c r="B908" s="104"/>
      <c r="C908" s="104"/>
      <c r="D908" s="110" t="s">
        <v>23</v>
      </c>
      <c r="G908" s="104"/>
      <c r="H908" s="104"/>
      <c r="I908" s="104"/>
      <c r="J908" s="111"/>
      <c r="K908" s="111"/>
      <c r="L908" s="105"/>
      <c r="M908" s="106"/>
      <c r="N908" s="105"/>
      <c r="O908" s="111"/>
      <c r="P908" s="111"/>
      <c r="Q908" s="111"/>
      <c r="R908" s="101"/>
      <c r="S908" s="101"/>
      <c r="T908" s="99"/>
      <c r="U908" s="99"/>
      <c r="V908" s="99"/>
      <c r="W908" s="99"/>
      <c r="X908" s="99"/>
      <c r="Y908" s="99"/>
      <c r="Z908" s="99"/>
      <c r="AA908" s="99"/>
      <c r="AB908" s="99"/>
      <c r="AC908" s="99"/>
      <c r="AD908" s="99"/>
      <c r="AE908" s="99"/>
      <c r="AF908" s="99"/>
      <c r="AG908" s="99"/>
      <c r="AH908" s="99"/>
      <c r="AI908" s="99"/>
      <c r="AJ908" s="99"/>
      <c r="AK908" s="99"/>
      <c r="AL908" s="99"/>
      <c r="AM908" s="99"/>
    </row>
    <row r="909" ht="12.75" customHeight="1">
      <c r="A909" s="104"/>
      <c r="B909" s="104"/>
      <c r="C909" s="104"/>
      <c r="D909" s="110" t="s">
        <v>24</v>
      </c>
      <c r="E909" s="110" t="s">
        <v>165</v>
      </c>
      <c r="G909" s="136">
        <v>4.0</v>
      </c>
      <c r="H909" s="136" t="s">
        <v>26</v>
      </c>
      <c r="I909" s="137">
        <v>4000000.0</v>
      </c>
      <c r="J909" s="46">
        <f>G909*I909</f>
        <v>16000000</v>
      </c>
      <c r="K909" s="46"/>
      <c r="L909" s="105"/>
      <c r="M909" s="106"/>
      <c r="N909" s="105"/>
      <c r="O909" s="46">
        <f>J909-K909</f>
        <v>16000000</v>
      </c>
      <c r="P909" s="46">
        <f>J909-M909</f>
        <v>16000000</v>
      </c>
      <c r="Q909" s="46">
        <v>1.6E7</v>
      </c>
      <c r="R909" s="101"/>
      <c r="S909" s="101"/>
      <c r="T909" s="99"/>
      <c r="U909" s="99"/>
      <c r="V909" s="99"/>
      <c r="W909" s="99"/>
      <c r="X909" s="99"/>
      <c r="Y909" s="99"/>
      <c r="Z909" s="99"/>
      <c r="AA909" s="99"/>
      <c r="AB909" s="99"/>
      <c r="AC909" s="99"/>
      <c r="AD909" s="99"/>
      <c r="AE909" s="99"/>
      <c r="AF909" s="99"/>
      <c r="AG909" s="99"/>
      <c r="AH909" s="99"/>
      <c r="AI909" s="99"/>
      <c r="AJ909" s="99"/>
      <c r="AK909" s="99"/>
      <c r="AL909" s="99"/>
      <c r="AM909" s="99"/>
    </row>
    <row r="910" ht="12.75" customHeight="1">
      <c r="A910" s="110" t="s">
        <v>58</v>
      </c>
      <c r="D910" s="145" t="s">
        <v>34</v>
      </c>
      <c r="G910" s="104"/>
      <c r="H910" s="133"/>
      <c r="I910" s="104"/>
      <c r="J910" s="134">
        <f t="shared" ref="J910:K910" si="904">J912</f>
        <v>2000000</v>
      </c>
      <c r="K910" s="46" t="str">
        <f t="shared" si="904"/>
        <v/>
      </c>
      <c r="L910" s="105"/>
      <c r="M910" s="106"/>
      <c r="N910" s="105"/>
      <c r="O910" s="46">
        <f t="shared" ref="O910:P910" si="905">O912</f>
        <v>2000000</v>
      </c>
      <c r="P910" s="46">
        <f t="shared" si="905"/>
        <v>2000000</v>
      </c>
      <c r="Q910" s="46">
        <v>2000000.0</v>
      </c>
      <c r="R910" s="101"/>
      <c r="S910" s="101"/>
      <c r="T910" s="99"/>
      <c r="U910" s="99"/>
      <c r="V910" s="99"/>
      <c r="W910" s="99"/>
      <c r="X910" s="99"/>
      <c r="Y910" s="99"/>
      <c r="Z910" s="99"/>
      <c r="AA910" s="99"/>
      <c r="AB910" s="99"/>
      <c r="AC910" s="99"/>
      <c r="AD910" s="99"/>
      <c r="AE910" s="99"/>
      <c r="AF910" s="99"/>
      <c r="AG910" s="99"/>
      <c r="AH910" s="99"/>
      <c r="AI910" s="99"/>
      <c r="AJ910" s="99"/>
      <c r="AK910" s="99"/>
      <c r="AL910" s="99"/>
      <c r="AM910" s="99"/>
    </row>
    <row r="911" ht="12.75" customHeight="1">
      <c r="A911" s="104"/>
      <c r="B911" s="104"/>
      <c r="C911" s="104"/>
      <c r="D911" s="110" t="s">
        <v>23</v>
      </c>
      <c r="G911" s="104"/>
      <c r="H911" s="104"/>
      <c r="I911" s="104"/>
      <c r="J911" s="111"/>
      <c r="K911" s="111"/>
      <c r="L911" s="105"/>
      <c r="M911" s="106"/>
      <c r="N911" s="105"/>
      <c r="O911" s="111"/>
      <c r="P911" s="111"/>
      <c r="Q911" s="111"/>
      <c r="R911" s="101"/>
      <c r="S911" s="101"/>
      <c r="T911" s="99"/>
      <c r="U911" s="99"/>
      <c r="V911" s="99"/>
      <c r="W911" s="99"/>
      <c r="X911" s="99"/>
      <c r="Y911" s="99"/>
      <c r="Z911" s="99"/>
      <c r="AA911" s="99"/>
      <c r="AB911" s="99"/>
      <c r="AC911" s="99"/>
      <c r="AD911" s="99"/>
      <c r="AE911" s="99"/>
      <c r="AF911" s="99"/>
      <c r="AG911" s="99"/>
      <c r="AH911" s="99"/>
      <c r="AI911" s="99"/>
      <c r="AJ911" s="99"/>
      <c r="AK911" s="99"/>
      <c r="AL911" s="99"/>
      <c r="AM911" s="99"/>
    </row>
    <row r="912" ht="12.75" customHeight="1">
      <c r="A912" s="104"/>
      <c r="B912" s="104"/>
      <c r="C912" s="104"/>
      <c r="D912" s="110" t="s">
        <v>24</v>
      </c>
      <c r="E912" s="110" t="s">
        <v>59</v>
      </c>
      <c r="G912" s="136">
        <v>4.0</v>
      </c>
      <c r="H912" s="136" t="s">
        <v>26</v>
      </c>
      <c r="I912" s="137">
        <v>500000.0</v>
      </c>
      <c r="J912" s="46">
        <f>G912*I912</f>
        <v>2000000</v>
      </c>
      <c r="K912" s="46"/>
      <c r="L912" s="105"/>
      <c r="M912" s="106"/>
      <c r="N912" s="105"/>
      <c r="O912" s="46">
        <f>J912-K912</f>
        <v>2000000</v>
      </c>
      <c r="P912" s="46">
        <f>J912-M912</f>
        <v>2000000</v>
      </c>
      <c r="Q912" s="46">
        <v>2000000.0</v>
      </c>
      <c r="R912" s="101"/>
      <c r="S912" s="101"/>
      <c r="T912" s="99"/>
      <c r="U912" s="99"/>
      <c r="V912" s="99"/>
      <c r="W912" s="99"/>
      <c r="X912" s="99"/>
      <c r="Y912" s="99"/>
      <c r="Z912" s="99"/>
      <c r="AA912" s="99"/>
      <c r="AB912" s="99"/>
      <c r="AC912" s="99"/>
      <c r="AD912" s="99"/>
      <c r="AE912" s="99"/>
      <c r="AF912" s="99"/>
      <c r="AG912" s="99"/>
      <c r="AH912" s="99"/>
      <c r="AI912" s="99"/>
      <c r="AJ912" s="99"/>
      <c r="AK912" s="99"/>
      <c r="AL912" s="99"/>
      <c r="AM912" s="99"/>
    </row>
    <row r="913" ht="12.75" customHeight="1">
      <c r="A913" s="144" t="s">
        <v>60</v>
      </c>
      <c r="D913" s="144" t="s">
        <v>61</v>
      </c>
      <c r="G913" s="104"/>
      <c r="H913" s="128"/>
      <c r="I913" s="104"/>
      <c r="J913" s="129">
        <f t="shared" ref="J913:K913" si="906">J914+J917+J921+J924+J927</f>
        <v>220800000</v>
      </c>
      <c r="K913" s="43">
        <f t="shared" si="906"/>
        <v>0</v>
      </c>
      <c r="L913" s="105"/>
      <c r="M913" s="106"/>
      <c r="N913" s="105"/>
      <c r="O913" s="43">
        <f t="shared" ref="O913:P913" si="907">O914+O917+O921+O924+O927</f>
        <v>220800000</v>
      </c>
      <c r="P913" s="43">
        <f t="shared" si="907"/>
        <v>169829000</v>
      </c>
      <c r="Q913" s="43">
        <v>2.208E8</v>
      </c>
      <c r="R913" s="101"/>
      <c r="S913" s="101"/>
      <c r="T913" s="99"/>
      <c r="U913" s="99"/>
      <c r="V913" s="99"/>
      <c r="W913" s="99"/>
      <c r="X913" s="99"/>
      <c r="Y913" s="99"/>
      <c r="Z913" s="99"/>
      <c r="AA913" s="99"/>
      <c r="AB913" s="99"/>
      <c r="AC913" s="99"/>
      <c r="AD913" s="99"/>
      <c r="AE913" s="99"/>
      <c r="AF913" s="99"/>
      <c r="AG913" s="99"/>
      <c r="AH913" s="99"/>
      <c r="AI913" s="99"/>
      <c r="AJ913" s="99"/>
      <c r="AK913" s="99"/>
      <c r="AL913" s="99"/>
      <c r="AM913" s="99"/>
    </row>
    <row r="914" ht="12.75" customHeight="1">
      <c r="A914" s="110" t="s">
        <v>40</v>
      </c>
      <c r="D914" s="145" t="s">
        <v>22</v>
      </c>
      <c r="G914" s="104"/>
      <c r="H914" s="133"/>
      <c r="I914" s="104"/>
      <c r="J914" s="134">
        <f t="shared" ref="J914:K914" si="908">J916</f>
        <v>31800000</v>
      </c>
      <c r="K914" s="46" t="str">
        <f t="shared" si="908"/>
        <v/>
      </c>
      <c r="L914" s="105"/>
      <c r="M914" s="106"/>
      <c r="N914" s="105"/>
      <c r="O914" s="46">
        <f t="shared" ref="O914:P914" si="909">O916</f>
        <v>31800000</v>
      </c>
      <c r="P914" s="46">
        <f t="shared" si="909"/>
        <v>31800000</v>
      </c>
      <c r="Q914" s="46">
        <v>3.18E7</v>
      </c>
      <c r="R914" s="101"/>
      <c r="S914" s="101"/>
      <c r="T914" s="99"/>
      <c r="U914" s="99"/>
      <c r="V914" s="99"/>
      <c r="W914" s="99"/>
      <c r="X914" s="99"/>
      <c r="Y914" s="99"/>
      <c r="Z914" s="99"/>
      <c r="AA914" s="99"/>
      <c r="AB914" s="99"/>
      <c r="AC914" s="99"/>
      <c r="AD914" s="99"/>
      <c r="AE914" s="99"/>
      <c r="AF914" s="99"/>
      <c r="AG914" s="99"/>
      <c r="AH914" s="99"/>
      <c r="AI914" s="99"/>
      <c r="AJ914" s="99"/>
      <c r="AK914" s="99"/>
      <c r="AL914" s="99"/>
      <c r="AM914" s="99"/>
    </row>
    <row r="915" ht="12.75" customHeight="1">
      <c r="A915" s="104"/>
      <c r="B915" s="104"/>
      <c r="C915" s="104"/>
      <c r="D915" s="110" t="s">
        <v>23</v>
      </c>
      <c r="G915" s="104"/>
      <c r="H915" s="104"/>
      <c r="I915" s="104"/>
      <c r="J915" s="111"/>
      <c r="K915" s="111"/>
      <c r="L915" s="105"/>
      <c r="M915" s="106"/>
      <c r="N915" s="105"/>
      <c r="O915" s="111"/>
      <c r="P915" s="111"/>
      <c r="Q915" s="111"/>
      <c r="R915" s="101"/>
      <c r="S915" s="101"/>
      <c r="T915" s="99"/>
      <c r="U915" s="99"/>
      <c r="V915" s="99"/>
      <c r="W915" s="99"/>
      <c r="X915" s="99"/>
      <c r="Y915" s="99"/>
      <c r="Z915" s="99"/>
      <c r="AA915" s="99"/>
      <c r="AB915" s="99"/>
      <c r="AC915" s="99"/>
      <c r="AD915" s="99"/>
      <c r="AE915" s="99"/>
      <c r="AF915" s="99"/>
      <c r="AG915" s="99"/>
      <c r="AH915" s="99"/>
      <c r="AI915" s="99"/>
      <c r="AJ915" s="99"/>
      <c r="AK915" s="99"/>
      <c r="AL915" s="99"/>
      <c r="AM915" s="99"/>
    </row>
    <row r="916" ht="15.75" customHeight="1">
      <c r="A916" s="104"/>
      <c r="B916" s="104"/>
      <c r="C916" s="104"/>
      <c r="D916" s="110" t="s">
        <v>24</v>
      </c>
      <c r="E916" s="110" t="s">
        <v>166</v>
      </c>
      <c r="G916" s="136">
        <v>600.0</v>
      </c>
      <c r="H916" s="136" t="s">
        <v>26</v>
      </c>
      <c r="I916" s="137">
        <v>53000.0</v>
      </c>
      <c r="J916" s="46">
        <f>G916*I916</f>
        <v>31800000</v>
      </c>
      <c r="K916" s="46"/>
      <c r="L916" s="105"/>
      <c r="M916" s="106"/>
      <c r="N916" s="105"/>
      <c r="O916" s="46">
        <f>J916-K916</f>
        <v>31800000</v>
      </c>
      <c r="P916" s="46">
        <f>J916-M916</f>
        <v>31800000</v>
      </c>
      <c r="Q916" s="46">
        <v>3.18E7</v>
      </c>
      <c r="R916" s="101"/>
      <c r="S916" s="101"/>
      <c r="T916" s="99"/>
      <c r="U916" s="99"/>
      <c r="V916" s="99"/>
      <c r="W916" s="99"/>
      <c r="X916" s="99"/>
      <c r="Y916" s="99"/>
      <c r="Z916" s="99"/>
      <c r="AA916" s="99"/>
      <c r="AB916" s="99"/>
      <c r="AC916" s="99"/>
      <c r="AD916" s="99"/>
      <c r="AE916" s="99"/>
      <c r="AF916" s="99"/>
      <c r="AG916" s="99"/>
      <c r="AH916" s="99"/>
      <c r="AI916" s="99"/>
      <c r="AJ916" s="99"/>
      <c r="AK916" s="99"/>
      <c r="AL916" s="99"/>
      <c r="AM916" s="99"/>
    </row>
    <row r="917" ht="12.75" customHeight="1">
      <c r="A917" s="110" t="s">
        <v>63</v>
      </c>
      <c r="D917" s="145" t="s">
        <v>64</v>
      </c>
      <c r="G917" s="104"/>
      <c r="H917" s="133"/>
      <c r="I917" s="104"/>
      <c r="J917" s="134">
        <f t="shared" ref="J917:K917" si="910">SUM(J919:J920)</f>
        <v>115000000</v>
      </c>
      <c r="K917" s="46">
        <f t="shared" si="910"/>
        <v>0</v>
      </c>
      <c r="L917" s="105"/>
      <c r="M917" s="106"/>
      <c r="N917" s="105"/>
      <c r="O917" s="46">
        <f t="shared" ref="O917:P917" si="911">SUM(O919:O920)</f>
        <v>115000000</v>
      </c>
      <c r="P917" s="46">
        <f t="shared" si="911"/>
        <v>74474000</v>
      </c>
      <c r="Q917" s="46">
        <v>1.15E8</v>
      </c>
      <c r="R917" s="101"/>
      <c r="S917" s="101"/>
      <c r="T917" s="99"/>
      <c r="U917" s="99"/>
      <c r="V917" s="99"/>
      <c r="W917" s="99"/>
      <c r="X917" s="99"/>
      <c r="Y917" s="99"/>
      <c r="Z917" s="99"/>
      <c r="AA917" s="99"/>
      <c r="AB917" s="99"/>
      <c r="AC917" s="99"/>
      <c r="AD917" s="99"/>
      <c r="AE917" s="99"/>
      <c r="AF917" s="99"/>
      <c r="AG917" s="99"/>
      <c r="AH917" s="99"/>
      <c r="AI917" s="99"/>
      <c r="AJ917" s="99"/>
      <c r="AK917" s="99"/>
      <c r="AL917" s="99"/>
      <c r="AM917" s="99"/>
    </row>
    <row r="918" ht="12.75" customHeight="1">
      <c r="A918" s="104"/>
      <c r="B918" s="104"/>
      <c r="C918" s="104"/>
      <c r="D918" s="110" t="s">
        <v>23</v>
      </c>
      <c r="G918" s="104"/>
      <c r="H918" s="104"/>
      <c r="I918" s="104"/>
      <c r="J918" s="111"/>
      <c r="K918" s="111"/>
      <c r="L918" s="105"/>
      <c r="M918" s="106"/>
      <c r="N918" s="105"/>
      <c r="O918" s="111"/>
      <c r="P918" s="111"/>
      <c r="Q918" s="111"/>
      <c r="R918" s="101"/>
      <c r="S918" s="101"/>
      <c r="T918" s="99"/>
      <c r="U918" s="99"/>
      <c r="V918" s="99"/>
      <c r="W918" s="99"/>
      <c r="X918" s="99"/>
      <c r="Y918" s="99"/>
      <c r="Z918" s="99"/>
      <c r="AA918" s="99"/>
      <c r="AB918" s="99"/>
      <c r="AC918" s="99"/>
      <c r="AD918" s="99"/>
      <c r="AE918" s="99"/>
      <c r="AF918" s="99"/>
      <c r="AG918" s="99"/>
      <c r="AH918" s="99"/>
      <c r="AI918" s="99"/>
      <c r="AJ918" s="99"/>
      <c r="AK918" s="99"/>
      <c r="AL918" s="99"/>
      <c r="AM918" s="99"/>
    </row>
    <row r="919" ht="15.75" customHeight="1">
      <c r="A919" s="104"/>
      <c r="B919" s="104"/>
      <c r="C919" s="104"/>
      <c r="D919" s="110" t="s">
        <v>24</v>
      </c>
      <c r="E919" s="110" t="s">
        <v>289</v>
      </c>
      <c r="G919" s="136">
        <v>1.0</v>
      </c>
      <c r="H919" s="136" t="s">
        <v>97</v>
      </c>
      <c r="I919" s="137">
        <v>9.5E7</v>
      </c>
      <c r="J919" s="46">
        <f t="shared" ref="J919:J920" si="912">G919*I919</f>
        <v>95000000</v>
      </c>
      <c r="K919" s="46"/>
      <c r="L919" s="105"/>
      <c r="M919" s="138">
        <v>4.0526E7</v>
      </c>
      <c r="N919" s="105"/>
      <c r="O919" s="46">
        <f t="shared" ref="O919:O920" si="913">J919-K919</f>
        <v>95000000</v>
      </c>
      <c r="P919" s="46">
        <f t="shared" ref="P919:P920" si="914">J919-M919</f>
        <v>54474000</v>
      </c>
      <c r="Q919" s="46">
        <v>9.5E7</v>
      </c>
      <c r="R919" s="101"/>
      <c r="S919" s="101"/>
      <c r="T919" s="99"/>
      <c r="U919" s="99"/>
      <c r="V919" s="99"/>
      <c r="W919" s="99"/>
      <c r="X919" s="99"/>
      <c r="Y919" s="99"/>
      <c r="Z919" s="99"/>
      <c r="AA919" s="99"/>
      <c r="AB919" s="99"/>
      <c r="AC919" s="99"/>
      <c r="AD919" s="99"/>
      <c r="AE919" s="99"/>
      <c r="AF919" s="99"/>
      <c r="AG919" s="99"/>
      <c r="AH919" s="99"/>
      <c r="AI919" s="99"/>
      <c r="AJ919" s="99"/>
      <c r="AK919" s="99"/>
      <c r="AL919" s="99"/>
      <c r="AM919" s="99"/>
    </row>
    <row r="920" ht="12.75" customHeight="1">
      <c r="A920" s="104"/>
      <c r="B920" s="104"/>
      <c r="C920" s="104"/>
      <c r="D920" s="110" t="s">
        <v>24</v>
      </c>
      <c r="E920" s="110" t="s">
        <v>167</v>
      </c>
      <c r="G920" s="136">
        <v>100.0</v>
      </c>
      <c r="H920" s="136" t="s">
        <v>26</v>
      </c>
      <c r="I920" s="137">
        <v>200000.0</v>
      </c>
      <c r="J920" s="46">
        <f t="shared" si="912"/>
        <v>20000000</v>
      </c>
      <c r="K920" s="46"/>
      <c r="L920" s="105"/>
      <c r="M920" s="106"/>
      <c r="N920" s="105"/>
      <c r="O920" s="46">
        <f t="shared" si="913"/>
        <v>20000000</v>
      </c>
      <c r="P920" s="46">
        <f t="shared" si="914"/>
        <v>20000000</v>
      </c>
      <c r="Q920" s="46">
        <v>2.0E7</v>
      </c>
      <c r="R920" s="101"/>
      <c r="S920" s="101"/>
      <c r="T920" s="99"/>
      <c r="U920" s="99"/>
      <c r="V920" s="99"/>
      <c r="W920" s="99"/>
      <c r="X920" s="99"/>
      <c r="Y920" s="99"/>
      <c r="Z920" s="99"/>
      <c r="AA920" s="99"/>
      <c r="AB920" s="99"/>
      <c r="AC920" s="99"/>
      <c r="AD920" s="99"/>
      <c r="AE920" s="99"/>
      <c r="AF920" s="99"/>
      <c r="AG920" s="99"/>
      <c r="AH920" s="99"/>
      <c r="AI920" s="99"/>
      <c r="AJ920" s="99"/>
      <c r="AK920" s="99"/>
      <c r="AL920" s="99"/>
      <c r="AM920" s="99"/>
    </row>
    <row r="921" ht="12.75" customHeight="1">
      <c r="A921" s="110" t="s">
        <v>68</v>
      </c>
      <c r="D921" s="145" t="s">
        <v>69</v>
      </c>
      <c r="G921" s="104"/>
      <c r="H921" s="133"/>
      <c r="I921" s="104"/>
      <c r="J921" s="134">
        <f t="shared" ref="J921:K921" si="915">J923</f>
        <v>10000000</v>
      </c>
      <c r="K921" s="46" t="str">
        <f t="shared" si="915"/>
        <v/>
      </c>
      <c r="L921" s="105"/>
      <c r="M921" s="106"/>
      <c r="N921" s="105"/>
      <c r="O921" s="46">
        <f t="shared" ref="O921:P921" si="916">O923</f>
        <v>10000000</v>
      </c>
      <c r="P921" s="46">
        <f t="shared" si="916"/>
        <v>9265000</v>
      </c>
      <c r="Q921" s="46">
        <v>1.0E7</v>
      </c>
      <c r="R921" s="101"/>
      <c r="S921" s="101"/>
      <c r="T921" s="99"/>
      <c r="U921" s="99"/>
      <c r="V921" s="99"/>
      <c r="W921" s="99"/>
      <c r="X921" s="99"/>
      <c r="Y921" s="99"/>
      <c r="Z921" s="99"/>
      <c r="AA921" s="99"/>
      <c r="AB921" s="99"/>
      <c r="AC921" s="99"/>
      <c r="AD921" s="99"/>
      <c r="AE921" s="99"/>
      <c r="AF921" s="99"/>
      <c r="AG921" s="99"/>
      <c r="AH921" s="99"/>
      <c r="AI921" s="99"/>
      <c r="AJ921" s="99"/>
      <c r="AK921" s="99"/>
      <c r="AL921" s="99"/>
      <c r="AM921" s="99"/>
    </row>
    <row r="922" ht="12.75" customHeight="1">
      <c r="A922" s="104"/>
      <c r="B922" s="104"/>
      <c r="C922" s="104"/>
      <c r="D922" s="110" t="s">
        <v>23</v>
      </c>
      <c r="G922" s="104"/>
      <c r="H922" s="104"/>
      <c r="I922" s="104"/>
      <c r="J922" s="111"/>
      <c r="K922" s="111"/>
      <c r="L922" s="105"/>
      <c r="M922" s="106"/>
      <c r="N922" s="105"/>
      <c r="O922" s="111"/>
      <c r="P922" s="111"/>
      <c r="Q922" s="111"/>
      <c r="R922" s="101"/>
      <c r="S922" s="101"/>
      <c r="T922" s="99"/>
      <c r="U922" s="99"/>
      <c r="V922" s="99"/>
      <c r="W922" s="99"/>
      <c r="X922" s="99"/>
      <c r="Y922" s="99"/>
      <c r="Z922" s="99"/>
      <c r="AA922" s="99"/>
      <c r="AB922" s="99"/>
      <c r="AC922" s="99"/>
      <c r="AD922" s="99"/>
      <c r="AE922" s="99"/>
      <c r="AF922" s="99"/>
      <c r="AG922" s="99"/>
      <c r="AH922" s="99"/>
      <c r="AI922" s="99"/>
      <c r="AJ922" s="99"/>
      <c r="AK922" s="99"/>
      <c r="AL922" s="99"/>
      <c r="AM922" s="99"/>
    </row>
    <row r="923" ht="12.75" customHeight="1">
      <c r="A923" s="104"/>
      <c r="B923" s="104"/>
      <c r="C923" s="104"/>
      <c r="D923" s="110" t="s">
        <v>24</v>
      </c>
      <c r="E923" s="110" t="s">
        <v>70</v>
      </c>
      <c r="G923" s="136">
        <v>20.0</v>
      </c>
      <c r="H923" s="136" t="s">
        <v>26</v>
      </c>
      <c r="I923" s="137">
        <v>500000.0</v>
      </c>
      <c r="J923" s="46">
        <f>G923*I923</f>
        <v>10000000</v>
      </c>
      <c r="K923" s="46"/>
      <c r="L923" s="105"/>
      <c r="M923" s="138">
        <v>735000.0</v>
      </c>
      <c r="N923" s="105"/>
      <c r="O923" s="46">
        <f>J923-K923</f>
        <v>10000000</v>
      </c>
      <c r="P923" s="46">
        <f>J923-M923</f>
        <v>9265000</v>
      </c>
      <c r="Q923" s="46">
        <v>1.0E7</v>
      </c>
      <c r="R923" s="101"/>
      <c r="S923" s="101"/>
      <c r="T923" s="99"/>
      <c r="U923" s="99"/>
      <c r="V923" s="99"/>
      <c r="W923" s="99"/>
      <c r="X923" s="99"/>
      <c r="Y923" s="99"/>
      <c r="Z923" s="99"/>
      <c r="AA923" s="99"/>
      <c r="AB923" s="99"/>
      <c r="AC923" s="99"/>
      <c r="AD923" s="99"/>
      <c r="AE923" s="99"/>
      <c r="AF923" s="99"/>
      <c r="AG923" s="99"/>
      <c r="AH923" s="99"/>
      <c r="AI923" s="99"/>
      <c r="AJ923" s="99"/>
      <c r="AK923" s="99"/>
      <c r="AL923" s="99"/>
      <c r="AM923" s="99"/>
    </row>
    <row r="924" ht="12.75" customHeight="1">
      <c r="A924" s="110" t="s">
        <v>47</v>
      </c>
      <c r="D924" s="145" t="s">
        <v>48</v>
      </c>
      <c r="G924" s="104"/>
      <c r="H924" s="133"/>
      <c r="I924" s="104"/>
      <c r="J924" s="134">
        <f t="shared" ref="J924:K924" si="917">J926</f>
        <v>16000000</v>
      </c>
      <c r="K924" s="46" t="str">
        <f t="shared" si="917"/>
        <v/>
      </c>
      <c r="L924" s="105"/>
      <c r="M924" s="106"/>
      <c r="N924" s="105"/>
      <c r="O924" s="46">
        <f t="shared" ref="O924:P924" si="918">O926</f>
        <v>16000000</v>
      </c>
      <c r="P924" s="46">
        <f t="shared" si="918"/>
        <v>16000000</v>
      </c>
      <c r="Q924" s="46">
        <v>1.6E7</v>
      </c>
      <c r="R924" s="101"/>
      <c r="S924" s="101"/>
      <c r="T924" s="99"/>
      <c r="U924" s="99"/>
      <c r="V924" s="99"/>
      <c r="W924" s="99"/>
      <c r="X924" s="99"/>
      <c r="Y924" s="99"/>
      <c r="Z924" s="99"/>
      <c r="AA924" s="99"/>
      <c r="AB924" s="99"/>
      <c r="AC924" s="99"/>
      <c r="AD924" s="99"/>
      <c r="AE924" s="99"/>
      <c r="AF924" s="99"/>
      <c r="AG924" s="99"/>
      <c r="AH924" s="99"/>
      <c r="AI924" s="99"/>
      <c r="AJ924" s="99"/>
      <c r="AK924" s="99"/>
      <c r="AL924" s="99"/>
      <c r="AM924" s="99"/>
    </row>
    <row r="925" ht="12.75" customHeight="1">
      <c r="A925" s="104"/>
      <c r="B925" s="104"/>
      <c r="C925" s="104"/>
      <c r="D925" s="110" t="s">
        <v>23</v>
      </c>
      <c r="G925" s="104"/>
      <c r="H925" s="104"/>
      <c r="I925" s="104"/>
      <c r="J925" s="111"/>
      <c r="K925" s="111"/>
      <c r="L925" s="105"/>
      <c r="M925" s="106"/>
      <c r="N925" s="105"/>
      <c r="O925" s="111"/>
      <c r="P925" s="111"/>
      <c r="Q925" s="111"/>
      <c r="R925" s="101"/>
      <c r="S925" s="101"/>
      <c r="T925" s="99"/>
      <c r="U925" s="99"/>
      <c r="V925" s="99"/>
      <c r="W925" s="99"/>
      <c r="X925" s="99"/>
      <c r="Y925" s="99"/>
      <c r="Z925" s="99"/>
      <c r="AA925" s="99"/>
      <c r="AB925" s="99"/>
      <c r="AC925" s="99"/>
      <c r="AD925" s="99"/>
      <c r="AE925" s="99"/>
      <c r="AF925" s="99"/>
      <c r="AG925" s="99"/>
      <c r="AH925" s="99"/>
      <c r="AI925" s="99"/>
      <c r="AJ925" s="99"/>
      <c r="AK925" s="99"/>
      <c r="AL925" s="99"/>
      <c r="AM925" s="99"/>
    </row>
    <row r="926" ht="12.75" customHeight="1">
      <c r="A926" s="104"/>
      <c r="B926" s="104"/>
      <c r="C926" s="104"/>
      <c r="D926" s="110" t="s">
        <v>24</v>
      </c>
      <c r="E926" s="110" t="s">
        <v>165</v>
      </c>
      <c r="G926" s="136">
        <v>4.0</v>
      </c>
      <c r="H926" s="136" t="s">
        <v>26</v>
      </c>
      <c r="I926" s="137">
        <v>4000000.0</v>
      </c>
      <c r="J926" s="46">
        <f>G926*I926</f>
        <v>16000000</v>
      </c>
      <c r="K926" s="46"/>
      <c r="L926" s="105"/>
      <c r="M926" s="106"/>
      <c r="N926" s="105"/>
      <c r="O926" s="46">
        <f>J926-K926</f>
        <v>16000000</v>
      </c>
      <c r="P926" s="46">
        <f>J926-M926</f>
        <v>16000000</v>
      </c>
      <c r="Q926" s="46">
        <v>1.6E7</v>
      </c>
      <c r="R926" s="101"/>
      <c r="S926" s="101"/>
      <c r="T926" s="99"/>
      <c r="U926" s="99"/>
      <c r="V926" s="99"/>
      <c r="W926" s="99"/>
      <c r="X926" s="99"/>
      <c r="Y926" s="99"/>
      <c r="Z926" s="99"/>
      <c r="AA926" s="99"/>
      <c r="AB926" s="99"/>
      <c r="AC926" s="99"/>
      <c r="AD926" s="99"/>
      <c r="AE926" s="99"/>
      <c r="AF926" s="99"/>
      <c r="AG926" s="99"/>
      <c r="AH926" s="99"/>
      <c r="AI926" s="99"/>
      <c r="AJ926" s="99"/>
      <c r="AK926" s="99"/>
      <c r="AL926" s="99"/>
      <c r="AM926" s="99"/>
    </row>
    <row r="927" ht="12.75" customHeight="1">
      <c r="A927" s="110" t="s">
        <v>58</v>
      </c>
      <c r="D927" s="145" t="s">
        <v>34</v>
      </c>
      <c r="G927" s="104"/>
      <c r="H927" s="133"/>
      <c r="I927" s="104"/>
      <c r="J927" s="134">
        <f t="shared" ref="J927:K927" si="919">J929</f>
        <v>48000000</v>
      </c>
      <c r="K927" s="46" t="str">
        <f t="shared" si="919"/>
        <v/>
      </c>
      <c r="L927" s="105"/>
      <c r="M927" s="106"/>
      <c r="N927" s="105"/>
      <c r="O927" s="46">
        <f t="shared" ref="O927:P927" si="920">O929</f>
        <v>48000000</v>
      </c>
      <c r="P927" s="46">
        <f t="shared" si="920"/>
        <v>38290000</v>
      </c>
      <c r="Q927" s="46">
        <v>4.8E7</v>
      </c>
      <c r="R927" s="101"/>
      <c r="S927" s="101"/>
      <c r="T927" s="99"/>
      <c r="U927" s="99"/>
      <c r="V927" s="99"/>
      <c r="W927" s="99"/>
      <c r="X927" s="99"/>
      <c r="Y927" s="99"/>
      <c r="Z927" s="99"/>
      <c r="AA927" s="99"/>
      <c r="AB927" s="99"/>
      <c r="AC927" s="99"/>
      <c r="AD927" s="99"/>
      <c r="AE927" s="99"/>
      <c r="AF927" s="99"/>
      <c r="AG927" s="99"/>
      <c r="AH927" s="99"/>
      <c r="AI927" s="99"/>
      <c r="AJ927" s="99"/>
      <c r="AK927" s="99"/>
      <c r="AL927" s="99"/>
      <c r="AM927" s="99"/>
    </row>
    <row r="928" ht="12.75" customHeight="1">
      <c r="A928" s="104"/>
      <c r="B928" s="104"/>
      <c r="C928" s="104"/>
      <c r="D928" s="110" t="s">
        <v>23</v>
      </c>
      <c r="G928" s="104"/>
      <c r="H928" s="104"/>
      <c r="I928" s="104"/>
      <c r="J928" s="111"/>
      <c r="K928" s="111"/>
      <c r="L928" s="105"/>
      <c r="M928" s="106"/>
      <c r="N928" s="105"/>
      <c r="O928" s="111"/>
      <c r="P928" s="111"/>
      <c r="Q928" s="111"/>
      <c r="R928" s="101"/>
      <c r="S928" s="101"/>
      <c r="T928" s="99"/>
      <c r="U928" s="99"/>
      <c r="V928" s="99"/>
      <c r="W928" s="99"/>
      <c r="X928" s="99"/>
      <c r="Y928" s="99"/>
      <c r="Z928" s="99"/>
      <c r="AA928" s="99"/>
      <c r="AB928" s="99"/>
      <c r="AC928" s="99"/>
      <c r="AD928" s="99"/>
      <c r="AE928" s="99"/>
      <c r="AF928" s="99"/>
      <c r="AG928" s="99"/>
      <c r="AH928" s="99"/>
      <c r="AI928" s="99"/>
      <c r="AJ928" s="99"/>
      <c r="AK928" s="99"/>
      <c r="AL928" s="99"/>
      <c r="AM928" s="99"/>
    </row>
    <row r="929" ht="15.75" customHeight="1">
      <c r="A929" s="104"/>
      <c r="B929" s="104"/>
      <c r="C929" s="104"/>
      <c r="D929" s="110" t="s">
        <v>24</v>
      </c>
      <c r="E929" s="110" t="s">
        <v>71</v>
      </c>
      <c r="G929" s="136">
        <v>96.0</v>
      </c>
      <c r="H929" s="136" t="s">
        <v>26</v>
      </c>
      <c r="I929" s="137">
        <v>500000.0</v>
      </c>
      <c r="J929" s="46">
        <f>G929*I929</f>
        <v>48000000</v>
      </c>
      <c r="K929" s="46"/>
      <c r="L929" s="105"/>
      <c r="M929" s="138">
        <v>9710000.0</v>
      </c>
      <c r="N929" s="105"/>
      <c r="O929" s="46">
        <f>J929-K929</f>
        <v>48000000</v>
      </c>
      <c r="P929" s="46">
        <f>J929-M929</f>
        <v>38290000</v>
      </c>
      <c r="Q929" s="46">
        <v>4.8E7</v>
      </c>
      <c r="R929" s="101"/>
      <c r="S929" s="101"/>
      <c r="T929" s="99"/>
      <c r="U929" s="99"/>
      <c r="V929" s="99"/>
      <c r="W929" s="99"/>
      <c r="X929" s="99"/>
      <c r="Y929" s="99"/>
      <c r="Z929" s="99"/>
      <c r="AA929" s="99"/>
      <c r="AB929" s="99"/>
      <c r="AC929" s="99"/>
      <c r="AD929" s="99"/>
      <c r="AE929" s="99"/>
      <c r="AF929" s="99"/>
      <c r="AG929" s="99"/>
      <c r="AH929" s="99"/>
      <c r="AI929" s="99"/>
      <c r="AJ929" s="99"/>
      <c r="AK929" s="99"/>
      <c r="AL929" s="99"/>
      <c r="AM929" s="99"/>
    </row>
    <row r="930" ht="12.75" customHeight="1">
      <c r="A930" s="144" t="s">
        <v>72</v>
      </c>
      <c r="D930" s="144" t="s">
        <v>73</v>
      </c>
      <c r="G930" s="104"/>
      <c r="H930" s="128"/>
      <c r="I930" s="104"/>
      <c r="J930" s="129">
        <f t="shared" ref="J930:K930" si="921">J931+J936</f>
        <v>151200000</v>
      </c>
      <c r="K930" s="43">
        <f t="shared" si="921"/>
        <v>0</v>
      </c>
      <c r="L930" s="105"/>
      <c r="M930" s="106"/>
      <c r="N930" s="105"/>
      <c r="O930" s="43">
        <f t="shared" ref="O930:P930" si="922">O931+O936</f>
        <v>151200000</v>
      </c>
      <c r="P930" s="43">
        <f t="shared" si="922"/>
        <v>151200000</v>
      </c>
      <c r="Q930" s="43">
        <v>1.512E8</v>
      </c>
      <c r="R930" s="101"/>
      <c r="S930" s="101"/>
      <c r="T930" s="99"/>
      <c r="U930" s="99"/>
      <c r="V930" s="99"/>
      <c r="W930" s="99"/>
      <c r="X930" s="99"/>
      <c r="Y930" s="99"/>
      <c r="Z930" s="99"/>
      <c r="AA930" s="99"/>
      <c r="AB930" s="99"/>
      <c r="AC930" s="99"/>
      <c r="AD930" s="99"/>
      <c r="AE930" s="99"/>
      <c r="AF930" s="99"/>
      <c r="AG930" s="99"/>
      <c r="AH930" s="99"/>
      <c r="AI930" s="99"/>
      <c r="AJ930" s="99"/>
      <c r="AK930" s="99"/>
      <c r="AL930" s="99"/>
      <c r="AM930" s="99"/>
    </row>
    <row r="931" ht="12.75" customHeight="1">
      <c r="A931" s="110" t="s">
        <v>74</v>
      </c>
      <c r="D931" s="145" t="s">
        <v>75</v>
      </c>
      <c r="G931" s="104"/>
      <c r="H931" s="133"/>
      <c r="I931" s="104"/>
      <c r="J931" s="134">
        <f t="shared" ref="J931:K931" si="923">SUM(J933:J935)</f>
        <v>142700000</v>
      </c>
      <c r="K931" s="46">
        <f t="shared" si="923"/>
        <v>0</v>
      </c>
      <c r="L931" s="105"/>
      <c r="M931" s="106"/>
      <c r="N931" s="105"/>
      <c r="O931" s="46">
        <f t="shared" ref="O931:P931" si="924">SUM(O933:O935)</f>
        <v>142700000</v>
      </c>
      <c r="P931" s="46">
        <f t="shared" si="924"/>
        <v>142700000</v>
      </c>
      <c r="Q931" s="46">
        <v>1.427E8</v>
      </c>
      <c r="R931" s="101"/>
      <c r="S931" s="101"/>
      <c r="T931" s="99"/>
      <c r="U931" s="99"/>
      <c r="V931" s="99"/>
      <c r="W931" s="99"/>
      <c r="X931" s="99"/>
      <c r="Y931" s="99"/>
      <c r="Z931" s="99"/>
      <c r="AA931" s="99"/>
      <c r="AB931" s="99"/>
      <c r="AC931" s="99"/>
      <c r="AD931" s="99"/>
      <c r="AE931" s="99"/>
      <c r="AF931" s="99"/>
      <c r="AG931" s="99"/>
      <c r="AH931" s="99"/>
      <c r="AI931" s="99"/>
      <c r="AJ931" s="99"/>
      <c r="AK931" s="99"/>
      <c r="AL931" s="99"/>
      <c r="AM931" s="99"/>
    </row>
    <row r="932" ht="12.75" customHeight="1">
      <c r="A932" s="104"/>
      <c r="B932" s="104"/>
      <c r="C932" s="104"/>
      <c r="D932" s="110" t="s">
        <v>23</v>
      </c>
      <c r="G932" s="104"/>
      <c r="H932" s="104"/>
      <c r="I932" s="104"/>
      <c r="J932" s="111"/>
      <c r="K932" s="111"/>
      <c r="L932" s="105"/>
      <c r="M932" s="106"/>
      <c r="N932" s="105"/>
      <c r="O932" s="111"/>
      <c r="P932" s="111"/>
      <c r="Q932" s="111"/>
      <c r="R932" s="101"/>
      <c r="S932" s="101"/>
      <c r="T932" s="99"/>
      <c r="U932" s="99"/>
      <c r="V932" s="99"/>
      <c r="W932" s="99"/>
      <c r="X932" s="99"/>
      <c r="Y932" s="99"/>
      <c r="Z932" s="99"/>
      <c r="AA932" s="99"/>
      <c r="AB932" s="99"/>
      <c r="AC932" s="99"/>
      <c r="AD932" s="99"/>
      <c r="AE932" s="99"/>
      <c r="AF932" s="99"/>
      <c r="AG932" s="99"/>
      <c r="AH932" s="99"/>
      <c r="AI932" s="99"/>
      <c r="AJ932" s="99"/>
      <c r="AK932" s="99"/>
      <c r="AL932" s="99"/>
      <c r="AM932" s="99"/>
    </row>
    <row r="933" ht="12.75" customHeight="1">
      <c r="A933" s="104"/>
      <c r="B933" s="104"/>
      <c r="C933" s="104"/>
      <c r="D933" s="110" t="s">
        <v>24</v>
      </c>
      <c r="E933" s="110" t="s">
        <v>76</v>
      </c>
      <c r="G933" s="136">
        <v>20.0</v>
      </c>
      <c r="H933" s="136" t="s">
        <v>26</v>
      </c>
      <c r="I933" s="137">
        <v>5000000.0</v>
      </c>
      <c r="J933" s="46">
        <f t="shared" ref="J933:J935" si="925">G933*I933</f>
        <v>100000000</v>
      </c>
      <c r="K933" s="46"/>
      <c r="L933" s="105"/>
      <c r="M933" s="106"/>
      <c r="N933" s="105"/>
      <c r="O933" s="46">
        <f t="shared" ref="O933:O935" si="926">J933-K933</f>
        <v>100000000</v>
      </c>
      <c r="P933" s="46">
        <f t="shared" ref="P933:P935" si="927">J933-M933</f>
        <v>100000000</v>
      </c>
      <c r="Q933" s="46">
        <v>1.0E8</v>
      </c>
      <c r="R933" s="101"/>
      <c r="S933" s="101"/>
      <c r="T933" s="99"/>
      <c r="U933" s="99"/>
      <c r="V933" s="99"/>
      <c r="W933" s="99"/>
      <c r="X933" s="99"/>
      <c r="Y933" s="99"/>
      <c r="Z933" s="99"/>
      <c r="AA933" s="99"/>
      <c r="AB933" s="99"/>
      <c r="AC933" s="99"/>
      <c r="AD933" s="99"/>
      <c r="AE933" s="99"/>
      <c r="AF933" s="99"/>
      <c r="AG933" s="99"/>
      <c r="AH933" s="99"/>
      <c r="AI933" s="99"/>
      <c r="AJ933" s="99"/>
      <c r="AK933" s="99"/>
      <c r="AL933" s="99"/>
      <c r="AM933" s="99"/>
    </row>
    <row r="934" ht="15.75" customHeight="1">
      <c r="A934" s="104"/>
      <c r="B934" s="104"/>
      <c r="C934" s="104"/>
      <c r="D934" s="110" t="s">
        <v>24</v>
      </c>
      <c r="E934" s="110" t="s">
        <v>77</v>
      </c>
      <c r="G934" s="136">
        <v>30.0</v>
      </c>
      <c r="H934" s="136" t="s">
        <v>26</v>
      </c>
      <c r="I934" s="137">
        <v>850000.0</v>
      </c>
      <c r="J934" s="46">
        <f t="shared" si="925"/>
        <v>25500000</v>
      </c>
      <c r="K934" s="46"/>
      <c r="L934" s="105"/>
      <c r="M934" s="106"/>
      <c r="N934" s="105"/>
      <c r="O934" s="46">
        <f t="shared" si="926"/>
        <v>25500000</v>
      </c>
      <c r="P934" s="46">
        <f t="shared" si="927"/>
        <v>25500000</v>
      </c>
      <c r="Q934" s="46">
        <v>2.55E7</v>
      </c>
      <c r="R934" s="101"/>
      <c r="S934" s="101"/>
      <c r="T934" s="99"/>
      <c r="U934" s="99"/>
      <c r="V934" s="99"/>
      <c r="W934" s="99"/>
      <c r="X934" s="99"/>
      <c r="Y934" s="99"/>
      <c r="Z934" s="99"/>
      <c r="AA934" s="99"/>
      <c r="AB934" s="99"/>
      <c r="AC934" s="99"/>
      <c r="AD934" s="99"/>
      <c r="AE934" s="99"/>
      <c r="AF934" s="99"/>
      <c r="AG934" s="99"/>
      <c r="AH934" s="99"/>
      <c r="AI934" s="99"/>
      <c r="AJ934" s="99"/>
      <c r="AK934" s="99"/>
      <c r="AL934" s="99"/>
      <c r="AM934" s="99"/>
    </row>
    <row r="935" ht="12.75" customHeight="1">
      <c r="A935" s="104"/>
      <c r="B935" s="104"/>
      <c r="C935" s="104"/>
      <c r="D935" s="110" t="s">
        <v>24</v>
      </c>
      <c r="E935" s="110" t="s">
        <v>78</v>
      </c>
      <c r="G935" s="136">
        <v>40.0</v>
      </c>
      <c r="H935" s="136" t="s">
        <v>26</v>
      </c>
      <c r="I935" s="137">
        <v>430000.0</v>
      </c>
      <c r="J935" s="46">
        <f t="shared" si="925"/>
        <v>17200000</v>
      </c>
      <c r="K935" s="46"/>
      <c r="L935" s="105"/>
      <c r="M935" s="106"/>
      <c r="N935" s="105"/>
      <c r="O935" s="46">
        <f t="shared" si="926"/>
        <v>17200000</v>
      </c>
      <c r="P935" s="46">
        <f t="shared" si="927"/>
        <v>17200000</v>
      </c>
      <c r="Q935" s="46">
        <v>1.72E7</v>
      </c>
      <c r="R935" s="101"/>
      <c r="S935" s="101"/>
      <c r="T935" s="99"/>
      <c r="U935" s="99"/>
      <c r="V935" s="99"/>
      <c r="W935" s="99"/>
      <c r="X935" s="99"/>
      <c r="Y935" s="99"/>
      <c r="Z935" s="99"/>
      <c r="AA935" s="99"/>
      <c r="AB935" s="99"/>
      <c r="AC935" s="99"/>
      <c r="AD935" s="99"/>
      <c r="AE935" s="99"/>
      <c r="AF935" s="99"/>
      <c r="AG935" s="99"/>
      <c r="AH935" s="99"/>
      <c r="AI935" s="99"/>
      <c r="AJ935" s="99"/>
      <c r="AK935" s="99"/>
      <c r="AL935" s="99"/>
      <c r="AM935" s="99"/>
    </row>
    <row r="936" ht="12.75" customHeight="1">
      <c r="A936" s="110" t="s">
        <v>79</v>
      </c>
      <c r="D936" s="145" t="s">
        <v>80</v>
      </c>
      <c r="G936" s="104"/>
      <c r="H936" s="133"/>
      <c r="I936" s="104"/>
      <c r="J936" s="134">
        <f t="shared" ref="J936:K936" si="928">J938</f>
        <v>8500000</v>
      </c>
      <c r="K936" s="46" t="str">
        <f t="shared" si="928"/>
        <v/>
      </c>
      <c r="L936" s="105"/>
      <c r="M936" s="106"/>
      <c r="N936" s="105"/>
      <c r="O936" s="46">
        <f t="shared" ref="O936:P936" si="929">O938</f>
        <v>8500000</v>
      </c>
      <c r="P936" s="46">
        <f t="shared" si="929"/>
        <v>8500000</v>
      </c>
      <c r="Q936" s="46">
        <v>8500000.0</v>
      </c>
      <c r="R936" s="101"/>
      <c r="S936" s="101"/>
      <c r="T936" s="99"/>
      <c r="U936" s="99"/>
      <c r="V936" s="99"/>
      <c r="W936" s="99"/>
      <c r="X936" s="99"/>
      <c r="Y936" s="99"/>
      <c r="Z936" s="99"/>
      <c r="AA936" s="99"/>
      <c r="AB936" s="99"/>
      <c r="AC936" s="99"/>
      <c r="AD936" s="99"/>
      <c r="AE936" s="99"/>
      <c r="AF936" s="99"/>
      <c r="AG936" s="99"/>
      <c r="AH936" s="99"/>
      <c r="AI936" s="99"/>
      <c r="AJ936" s="99"/>
      <c r="AK936" s="99"/>
      <c r="AL936" s="99"/>
      <c r="AM936" s="99"/>
    </row>
    <row r="937" ht="12.75" customHeight="1">
      <c r="A937" s="104"/>
      <c r="B937" s="104"/>
      <c r="C937" s="104"/>
      <c r="D937" s="110" t="s">
        <v>23</v>
      </c>
      <c r="G937" s="104"/>
      <c r="H937" s="104"/>
      <c r="I937" s="104"/>
      <c r="J937" s="111"/>
      <c r="K937" s="111"/>
      <c r="L937" s="105"/>
      <c r="M937" s="106"/>
      <c r="N937" s="105"/>
      <c r="O937" s="111"/>
      <c r="P937" s="111"/>
      <c r="Q937" s="111"/>
      <c r="R937" s="101"/>
      <c r="S937" s="101"/>
      <c r="T937" s="99"/>
      <c r="U937" s="99"/>
      <c r="V937" s="99"/>
      <c r="W937" s="99"/>
      <c r="X937" s="99"/>
      <c r="Y937" s="99"/>
      <c r="Z937" s="99"/>
      <c r="AA937" s="99"/>
      <c r="AB937" s="99"/>
      <c r="AC937" s="99"/>
      <c r="AD937" s="99"/>
      <c r="AE937" s="99"/>
      <c r="AF937" s="99"/>
      <c r="AG937" s="99"/>
      <c r="AH937" s="99"/>
      <c r="AI937" s="99"/>
      <c r="AJ937" s="99"/>
      <c r="AK937" s="99"/>
      <c r="AL937" s="99"/>
      <c r="AM937" s="99"/>
    </row>
    <row r="938" ht="12.75" customHeight="1">
      <c r="A938" s="104"/>
      <c r="B938" s="104"/>
      <c r="C938" s="104"/>
      <c r="D938" s="110" t="s">
        <v>24</v>
      </c>
      <c r="E938" s="110" t="s">
        <v>81</v>
      </c>
      <c r="G938" s="136">
        <v>50.0</v>
      </c>
      <c r="H938" s="136" t="s">
        <v>26</v>
      </c>
      <c r="I938" s="137">
        <v>170000.0</v>
      </c>
      <c r="J938" s="46">
        <f>G938*I938</f>
        <v>8500000</v>
      </c>
      <c r="K938" s="46"/>
      <c r="L938" s="105"/>
      <c r="M938" s="106"/>
      <c r="N938" s="105"/>
      <c r="O938" s="46">
        <f>J938-K938</f>
        <v>8500000</v>
      </c>
      <c r="P938" s="46">
        <f>J938-M938</f>
        <v>8500000</v>
      </c>
      <c r="Q938" s="46">
        <v>8500000.0</v>
      </c>
      <c r="R938" s="101"/>
      <c r="S938" s="101"/>
      <c r="T938" s="99"/>
      <c r="U938" s="99"/>
      <c r="V938" s="99"/>
      <c r="W938" s="99"/>
      <c r="X938" s="99"/>
      <c r="Y938" s="99"/>
      <c r="Z938" s="99"/>
      <c r="AA938" s="99"/>
      <c r="AB938" s="99"/>
      <c r="AC938" s="99"/>
      <c r="AD938" s="99"/>
      <c r="AE938" s="99"/>
      <c r="AF938" s="99"/>
      <c r="AG938" s="99"/>
      <c r="AH938" s="99"/>
      <c r="AI938" s="99"/>
      <c r="AJ938" s="99"/>
      <c r="AK938" s="99"/>
      <c r="AL938" s="99"/>
      <c r="AM938" s="99"/>
    </row>
    <row r="939" ht="12.75" customHeight="1">
      <c r="A939" s="144" t="s">
        <v>82</v>
      </c>
      <c r="D939" s="144" t="s">
        <v>83</v>
      </c>
      <c r="G939" s="104"/>
      <c r="H939" s="128"/>
      <c r="I939" s="104"/>
      <c r="J939" s="129">
        <f t="shared" ref="J939:K939" si="930">J940+J945</f>
        <v>1434000000</v>
      </c>
      <c r="K939" s="43">
        <f t="shared" si="930"/>
        <v>0</v>
      </c>
      <c r="L939" s="105"/>
      <c r="M939" s="106"/>
      <c r="N939" s="105"/>
      <c r="O939" s="43">
        <f t="shared" ref="O939:P939" si="931">O940+O945</f>
        <v>1434000000</v>
      </c>
      <c r="P939" s="43">
        <f t="shared" si="931"/>
        <v>1426401990</v>
      </c>
      <c r="Q939" s="43">
        <v>1.434E9</v>
      </c>
      <c r="R939" s="101"/>
      <c r="S939" s="101"/>
      <c r="T939" s="99"/>
      <c r="U939" s="99"/>
      <c r="V939" s="99"/>
      <c r="W939" s="99"/>
      <c r="X939" s="99"/>
      <c r="Y939" s="99"/>
      <c r="Z939" s="99"/>
      <c r="AA939" s="99"/>
      <c r="AB939" s="99"/>
      <c r="AC939" s="99"/>
      <c r="AD939" s="99"/>
      <c r="AE939" s="99"/>
      <c r="AF939" s="99"/>
      <c r="AG939" s="99"/>
      <c r="AH939" s="99"/>
      <c r="AI939" s="99"/>
      <c r="AJ939" s="99"/>
      <c r="AK939" s="99"/>
      <c r="AL939" s="99"/>
      <c r="AM939" s="99"/>
    </row>
    <row r="940" ht="12.75" customHeight="1">
      <c r="A940" s="110" t="s">
        <v>84</v>
      </c>
      <c r="D940" s="145" t="s">
        <v>85</v>
      </c>
      <c r="G940" s="104"/>
      <c r="H940" s="133"/>
      <c r="I940" s="104"/>
      <c r="J940" s="134">
        <f t="shared" ref="J940:K940" si="932">SUM(J942:J944)</f>
        <v>1320000000</v>
      </c>
      <c r="K940" s="46">
        <f t="shared" si="932"/>
        <v>0</v>
      </c>
      <c r="L940" s="105"/>
      <c r="M940" s="106"/>
      <c r="N940" s="105"/>
      <c r="O940" s="46">
        <f t="shared" ref="O940:P940" si="933">SUM(O942:O944)</f>
        <v>1320000000</v>
      </c>
      <c r="P940" s="46">
        <f t="shared" si="933"/>
        <v>1314349990</v>
      </c>
      <c r="Q940" s="46">
        <v>1.32E9</v>
      </c>
      <c r="R940" s="101"/>
      <c r="S940" s="101"/>
      <c r="T940" s="99"/>
      <c r="U940" s="99"/>
      <c r="V940" s="99"/>
      <c r="W940" s="99"/>
      <c r="X940" s="99"/>
      <c r="Y940" s="99"/>
      <c r="Z940" s="99"/>
      <c r="AA940" s="99"/>
      <c r="AB940" s="99"/>
      <c r="AC940" s="99"/>
      <c r="AD940" s="99"/>
      <c r="AE940" s="99"/>
      <c r="AF940" s="99"/>
      <c r="AG940" s="99"/>
      <c r="AH940" s="99"/>
      <c r="AI940" s="99"/>
      <c r="AJ940" s="99"/>
      <c r="AK940" s="99"/>
      <c r="AL940" s="99"/>
      <c r="AM940" s="99"/>
    </row>
    <row r="941" ht="12.75" customHeight="1">
      <c r="A941" s="104"/>
      <c r="B941" s="104"/>
      <c r="C941" s="104"/>
      <c r="D941" s="110" t="s">
        <v>23</v>
      </c>
      <c r="G941" s="104"/>
      <c r="H941" s="104"/>
      <c r="I941" s="104"/>
      <c r="J941" s="111"/>
      <c r="K941" s="111"/>
      <c r="L941" s="105"/>
      <c r="M941" s="106"/>
      <c r="N941" s="105"/>
      <c r="O941" s="111"/>
      <c r="P941" s="111"/>
      <c r="Q941" s="111"/>
      <c r="R941" s="101"/>
      <c r="S941" s="101"/>
      <c r="T941" s="99"/>
      <c r="U941" s="99"/>
      <c r="V941" s="99"/>
      <c r="W941" s="99"/>
      <c r="X941" s="99"/>
      <c r="Y941" s="99"/>
      <c r="Z941" s="99"/>
      <c r="AA941" s="99"/>
      <c r="AB941" s="99"/>
      <c r="AC941" s="99"/>
      <c r="AD941" s="99"/>
      <c r="AE941" s="99"/>
      <c r="AF941" s="99"/>
      <c r="AG941" s="99"/>
      <c r="AH941" s="99"/>
      <c r="AI941" s="99"/>
      <c r="AJ941" s="99"/>
      <c r="AK941" s="99"/>
      <c r="AL941" s="99"/>
      <c r="AM941" s="99"/>
    </row>
    <row r="942" ht="12.75" customHeight="1">
      <c r="A942" s="104"/>
      <c r="B942" s="104"/>
      <c r="C942" s="104"/>
      <c r="D942" s="110" t="s">
        <v>24</v>
      </c>
      <c r="E942" s="110" t="s">
        <v>168</v>
      </c>
      <c r="G942" s="136">
        <v>54750.0</v>
      </c>
      <c r="H942" s="136" t="s">
        <v>87</v>
      </c>
      <c r="I942" s="137">
        <v>15000.0</v>
      </c>
      <c r="J942" s="46">
        <f t="shared" ref="J942:J944" si="934">G942*I942</f>
        <v>821250000</v>
      </c>
      <c r="K942" s="46"/>
      <c r="L942" s="105"/>
      <c r="M942" s="106"/>
      <c r="N942" s="105"/>
      <c r="O942" s="46">
        <f t="shared" ref="O942:O944" si="935">J942-K942</f>
        <v>821250000</v>
      </c>
      <c r="P942" s="46">
        <f t="shared" ref="P942:P944" si="936">J942-M942</f>
        <v>821250000</v>
      </c>
      <c r="Q942" s="46">
        <v>8.2125E8</v>
      </c>
      <c r="R942" s="101"/>
      <c r="S942" s="101"/>
      <c r="T942" s="99"/>
      <c r="U942" s="99"/>
      <c r="V942" s="99"/>
      <c r="W942" s="99"/>
      <c r="X942" s="99"/>
      <c r="Y942" s="99"/>
      <c r="Z942" s="99"/>
      <c r="AA942" s="99"/>
      <c r="AB942" s="99"/>
      <c r="AC942" s="99"/>
      <c r="AD942" s="99"/>
      <c r="AE942" s="99"/>
      <c r="AF942" s="99"/>
      <c r="AG942" s="99"/>
      <c r="AH942" s="99"/>
      <c r="AI942" s="99"/>
      <c r="AJ942" s="99"/>
      <c r="AK942" s="99"/>
      <c r="AL942" s="99"/>
      <c r="AM942" s="99"/>
    </row>
    <row r="943" ht="12.75" customHeight="1">
      <c r="A943" s="104"/>
      <c r="B943" s="104"/>
      <c r="C943" s="104"/>
      <c r="D943" s="110" t="s">
        <v>24</v>
      </c>
      <c r="E943" s="110" t="s">
        <v>88</v>
      </c>
      <c r="G943" s="136">
        <v>9000.0</v>
      </c>
      <c r="H943" s="136" t="s">
        <v>87</v>
      </c>
      <c r="I943" s="137">
        <v>25000.0</v>
      </c>
      <c r="J943" s="46">
        <f t="shared" si="934"/>
        <v>225000000</v>
      </c>
      <c r="K943" s="46"/>
      <c r="L943" s="105"/>
      <c r="M943" s="138">
        <v>5650010.0</v>
      </c>
      <c r="N943" s="105"/>
      <c r="O943" s="46">
        <f t="shared" si="935"/>
        <v>225000000</v>
      </c>
      <c r="P943" s="46">
        <f t="shared" si="936"/>
        <v>219349990</v>
      </c>
      <c r="Q943" s="46">
        <v>2.25E8</v>
      </c>
      <c r="R943" s="101"/>
      <c r="S943" s="101"/>
      <c r="T943" s="99"/>
      <c r="U943" s="99"/>
      <c r="V943" s="99"/>
      <c r="W943" s="99"/>
      <c r="X943" s="99"/>
      <c r="Y943" s="99"/>
      <c r="Z943" s="99"/>
      <c r="AA943" s="99"/>
      <c r="AB943" s="99"/>
      <c r="AC943" s="99"/>
      <c r="AD943" s="99"/>
      <c r="AE943" s="99"/>
      <c r="AF943" s="99"/>
      <c r="AG943" s="99"/>
      <c r="AH943" s="99"/>
      <c r="AI943" s="99"/>
      <c r="AJ943" s="99"/>
      <c r="AK943" s="99"/>
      <c r="AL943" s="99"/>
      <c r="AM943" s="99"/>
    </row>
    <row r="944" ht="12.75" customHeight="1">
      <c r="A944" s="104"/>
      <c r="B944" s="104"/>
      <c r="C944" s="104"/>
      <c r="D944" s="110" t="s">
        <v>24</v>
      </c>
      <c r="E944" s="110" t="s">
        <v>169</v>
      </c>
      <c r="G944" s="136">
        <v>36500.0</v>
      </c>
      <c r="H944" s="136" t="s">
        <v>87</v>
      </c>
      <c r="I944" s="137">
        <v>7500.0</v>
      </c>
      <c r="J944" s="46">
        <f t="shared" si="934"/>
        <v>273750000</v>
      </c>
      <c r="K944" s="46"/>
      <c r="L944" s="105"/>
      <c r="M944" s="106"/>
      <c r="N944" s="105"/>
      <c r="O944" s="46">
        <f t="shared" si="935"/>
        <v>273750000</v>
      </c>
      <c r="P944" s="46">
        <f t="shared" si="936"/>
        <v>273750000</v>
      </c>
      <c r="Q944" s="46">
        <v>2.7375E8</v>
      </c>
      <c r="R944" s="101"/>
      <c r="S944" s="101"/>
      <c r="T944" s="99"/>
      <c r="U944" s="99"/>
      <c r="V944" s="99"/>
      <c r="W944" s="99"/>
      <c r="X944" s="99"/>
      <c r="Y944" s="99"/>
      <c r="Z944" s="99"/>
      <c r="AA944" s="99"/>
      <c r="AB944" s="99"/>
      <c r="AC944" s="99"/>
      <c r="AD944" s="99"/>
      <c r="AE944" s="99"/>
      <c r="AF944" s="99"/>
      <c r="AG944" s="99"/>
      <c r="AH944" s="99"/>
      <c r="AI944" s="99"/>
      <c r="AJ944" s="99"/>
      <c r="AK944" s="99"/>
      <c r="AL944" s="99"/>
      <c r="AM944" s="99"/>
    </row>
    <row r="945" ht="12.75" customHeight="1">
      <c r="A945" s="110" t="s">
        <v>63</v>
      </c>
      <c r="D945" s="145" t="s">
        <v>64</v>
      </c>
      <c r="G945" s="104"/>
      <c r="H945" s="133"/>
      <c r="I945" s="104"/>
      <c r="J945" s="134">
        <f>SUM(J947:J948)</f>
        <v>114000000</v>
      </c>
      <c r="K945" s="46">
        <f t="shared" ref="K945:P945" si="937">K947+K948</f>
        <v>0</v>
      </c>
      <c r="L945" s="46">
        <f t="shared" si="937"/>
        <v>0</v>
      </c>
      <c r="M945" s="146">
        <f t="shared" si="937"/>
        <v>1948000</v>
      </c>
      <c r="N945" s="46">
        <f t="shared" si="937"/>
        <v>0</v>
      </c>
      <c r="O945" s="46">
        <f t="shared" si="937"/>
        <v>114000000</v>
      </c>
      <c r="P945" s="46">
        <f t="shared" si="937"/>
        <v>112052000</v>
      </c>
      <c r="Q945" s="46">
        <v>1.14E8</v>
      </c>
      <c r="R945" s="101"/>
      <c r="S945" s="101"/>
      <c r="T945" s="99"/>
      <c r="U945" s="99"/>
      <c r="V945" s="99"/>
      <c r="W945" s="99"/>
      <c r="X945" s="99"/>
      <c r="Y945" s="99"/>
      <c r="Z945" s="99"/>
      <c r="AA945" s="99"/>
      <c r="AB945" s="99"/>
      <c r="AC945" s="99"/>
      <c r="AD945" s="99"/>
      <c r="AE945" s="99"/>
      <c r="AF945" s="99"/>
      <c r="AG945" s="99"/>
      <c r="AH945" s="99"/>
      <c r="AI945" s="99"/>
      <c r="AJ945" s="99"/>
      <c r="AK945" s="99"/>
      <c r="AL945" s="99"/>
      <c r="AM945" s="99"/>
    </row>
    <row r="946" ht="12.75" customHeight="1">
      <c r="A946" s="104"/>
      <c r="B946" s="104"/>
      <c r="C946" s="104"/>
      <c r="D946" s="110" t="s">
        <v>23</v>
      </c>
      <c r="G946" s="104"/>
      <c r="H946" s="104"/>
      <c r="I946" s="104"/>
      <c r="J946" s="111"/>
      <c r="K946" s="111"/>
      <c r="L946" s="105"/>
      <c r="M946" s="106"/>
      <c r="N946" s="105"/>
      <c r="O946" s="111"/>
      <c r="P946" s="111"/>
      <c r="Q946" s="111"/>
      <c r="R946" s="101"/>
      <c r="S946" s="101"/>
      <c r="T946" s="99"/>
      <c r="U946" s="99"/>
      <c r="V946" s="99"/>
      <c r="W946" s="99"/>
      <c r="X946" s="99"/>
      <c r="Y946" s="99"/>
      <c r="Z946" s="99"/>
      <c r="AA946" s="99"/>
      <c r="AB946" s="99"/>
      <c r="AC946" s="99"/>
      <c r="AD946" s="99"/>
      <c r="AE946" s="99"/>
      <c r="AF946" s="99"/>
      <c r="AG946" s="99"/>
      <c r="AH946" s="99"/>
      <c r="AI946" s="99"/>
      <c r="AJ946" s="99"/>
      <c r="AK946" s="99"/>
      <c r="AL946" s="99"/>
      <c r="AM946" s="99"/>
    </row>
    <row r="947" ht="12.75" customHeight="1">
      <c r="A947" s="104"/>
      <c r="B947" s="104"/>
      <c r="C947" s="104"/>
      <c r="D947" s="110" t="s">
        <v>24</v>
      </c>
      <c r="E947" s="110" t="s">
        <v>90</v>
      </c>
      <c r="G947" s="136">
        <v>180.0</v>
      </c>
      <c r="H947" s="136" t="s">
        <v>87</v>
      </c>
      <c r="I947" s="137">
        <v>500000.0</v>
      </c>
      <c r="J947" s="46">
        <f t="shared" ref="J947:J948" si="938">G947*I947</f>
        <v>90000000</v>
      </c>
      <c r="K947" s="46"/>
      <c r="L947" s="105"/>
      <c r="M947" s="138">
        <v>763000.0</v>
      </c>
      <c r="N947" s="105"/>
      <c r="O947" s="46">
        <f t="shared" ref="O947:O948" si="939">J947-K947</f>
        <v>90000000</v>
      </c>
      <c r="P947" s="46">
        <f t="shared" ref="P947:P948" si="940">J947-M947</f>
        <v>89237000</v>
      </c>
      <c r="Q947" s="46">
        <v>9.0E7</v>
      </c>
      <c r="R947" s="101"/>
      <c r="S947" s="101"/>
      <c r="T947" s="99"/>
      <c r="U947" s="99"/>
      <c r="V947" s="99"/>
      <c r="W947" s="99"/>
      <c r="X947" s="99"/>
      <c r="Y947" s="99"/>
      <c r="Z947" s="99"/>
      <c r="AA947" s="99"/>
      <c r="AB947" s="99"/>
      <c r="AC947" s="99"/>
      <c r="AD947" s="99"/>
      <c r="AE947" s="99"/>
      <c r="AF947" s="99"/>
      <c r="AG947" s="99"/>
      <c r="AH947" s="99"/>
      <c r="AI947" s="99"/>
      <c r="AJ947" s="99"/>
      <c r="AK947" s="99"/>
      <c r="AL947" s="99"/>
      <c r="AM947" s="99"/>
    </row>
    <row r="948" ht="12.75" customHeight="1">
      <c r="A948" s="104"/>
      <c r="B948" s="104"/>
      <c r="C948" s="104"/>
      <c r="D948" s="110" t="s">
        <v>24</v>
      </c>
      <c r="E948" s="110" t="s">
        <v>170</v>
      </c>
      <c r="G948" s="136">
        <v>600.0</v>
      </c>
      <c r="H948" s="136" t="s">
        <v>87</v>
      </c>
      <c r="I948" s="137">
        <v>40000.0</v>
      </c>
      <c r="J948" s="46">
        <f t="shared" si="938"/>
        <v>24000000</v>
      </c>
      <c r="K948" s="46"/>
      <c r="L948" s="105"/>
      <c r="M948" s="138">
        <v>1185000.0</v>
      </c>
      <c r="N948" s="105"/>
      <c r="O948" s="46">
        <f t="shared" si="939"/>
        <v>24000000</v>
      </c>
      <c r="P948" s="46">
        <f t="shared" si="940"/>
        <v>22815000</v>
      </c>
      <c r="Q948" s="46">
        <v>2.4E7</v>
      </c>
      <c r="R948" s="101"/>
      <c r="S948" s="101"/>
      <c r="T948" s="99"/>
      <c r="U948" s="99"/>
      <c r="V948" s="99"/>
      <c r="W948" s="99"/>
      <c r="X948" s="99"/>
      <c r="Y948" s="99"/>
      <c r="Z948" s="99"/>
      <c r="AA948" s="99"/>
      <c r="AB948" s="99"/>
      <c r="AC948" s="99"/>
      <c r="AD948" s="99"/>
      <c r="AE948" s="99"/>
      <c r="AF948" s="99"/>
      <c r="AG948" s="99"/>
      <c r="AH948" s="99"/>
      <c r="AI948" s="99"/>
      <c r="AJ948" s="99"/>
      <c r="AK948" s="99"/>
      <c r="AL948" s="99"/>
      <c r="AM948" s="99"/>
    </row>
    <row r="949" ht="12.75" customHeight="1">
      <c r="A949" s="144" t="s">
        <v>92</v>
      </c>
      <c r="D949" s="144" t="s">
        <v>93</v>
      </c>
      <c r="G949" s="104"/>
      <c r="H949" s="128"/>
      <c r="I949" s="104"/>
      <c r="J949" s="129">
        <f t="shared" ref="J949:K949" si="941">J950</f>
        <v>41836000</v>
      </c>
      <c r="K949" s="43">
        <f t="shared" si="941"/>
        <v>0</v>
      </c>
      <c r="L949" s="105"/>
      <c r="M949" s="106"/>
      <c r="N949" s="105"/>
      <c r="O949" s="43">
        <f t="shared" ref="O949:P949" si="942">O950</f>
        <v>41836000</v>
      </c>
      <c r="P949" s="43">
        <f t="shared" si="942"/>
        <v>41472500</v>
      </c>
      <c r="Q949" s="43">
        <v>4.1836E7</v>
      </c>
      <c r="R949" s="101"/>
      <c r="S949" s="101"/>
      <c r="T949" s="99"/>
      <c r="U949" s="99"/>
      <c r="V949" s="99"/>
      <c r="W949" s="99"/>
      <c r="X949" s="99"/>
      <c r="Y949" s="99"/>
      <c r="Z949" s="99"/>
      <c r="AA949" s="99"/>
      <c r="AB949" s="99"/>
      <c r="AC949" s="99"/>
      <c r="AD949" s="99"/>
      <c r="AE949" s="99"/>
      <c r="AF949" s="99"/>
      <c r="AG949" s="99"/>
      <c r="AH949" s="99"/>
      <c r="AI949" s="99"/>
      <c r="AJ949" s="99"/>
      <c r="AK949" s="99"/>
      <c r="AL949" s="99"/>
      <c r="AM949" s="99"/>
    </row>
    <row r="950" ht="12.75" customHeight="1">
      <c r="A950" s="110" t="s">
        <v>68</v>
      </c>
      <c r="D950" s="145" t="s">
        <v>69</v>
      </c>
      <c r="G950" s="104"/>
      <c r="H950" s="133"/>
      <c r="I950" s="104"/>
      <c r="J950" s="134">
        <f t="shared" ref="J950:K950" si="943">SUM(J952:J953)</f>
        <v>41836000</v>
      </c>
      <c r="K950" s="46">
        <f t="shared" si="943"/>
        <v>0</v>
      </c>
      <c r="L950" s="105"/>
      <c r="M950" s="106"/>
      <c r="N950" s="105"/>
      <c r="O950" s="46">
        <f t="shared" ref="O950:P950" si="944">SUM(O952:O953)</f>
        <v>41836000</v>
      </c>
      <c r="P950" s="46">
        <f t="shared" si="944"/>
        <v>41472500</v>
      </c>
      <c r="Q950" s="46">
        <v>4.1836E7</v>
      </c>
      <c r="R950" s="101"/>
      <c r="S950" s="101"/>
      <c r="T950" s="99"/>
      <c r="U950" s="99"/>
      <c r="V950" s="99"/>
      <c r="W950" s="99"/>
      <c r="X950" s="99"/>
      <c r="Y950" s="99"/>
      <c r="Z950" s="99"/>
      <c r="AA950" s="99"/>
      <c r="AB950" s="99"/>
      <c r="AC950" s="99"/>
      <c r="AD950" s="99"/>
      <c r="AE950" s="99"/>
      <c r="AF950" s="99"/>
      <c r="AG950" s="99"/>
      <c r="AH950" s="99"/>
      <c r="AI950" s="99"/>
      <c r="AJ950" s="99"/>
      <c r="AK950" s="99"/>
      <c r="AL950" s="99"/>
      <c r="AM950" s="99"/>
    </row>
    <row r="951" ht="12.75" customHeight="1">
      <c r="A951" s="104"/>
      <c r="B951" s="104"/>
      <c r="C951" s="104"/>
      <c r="D951" s="110" t="s">
        <v>23</v>
      </c>
      <c r="G951" s="104"/>
      <c r="H951" s="104"/>
      <c r="I951" s="104"/>
      <c r="J951" s="111"/>
      <c r="K951" s="111"/>
      <c r="L951" s="105"/>
      <c r="M951" s="106"/>
      <c r="N951" s="105"/>
      <c r="O951" s="111"/>
      <c r="P951" s="111"/>
      <c r="Q951" s="111"/>
      <c r="R951" s="101"/>
      <c r="S951" s="101"/>
      <c r="T951" s="99"/>
      <c r="U951" s="99"/>
      <c r="V951" s="99"/>
      <c r="W951" s="99"/>
      <c r="X951" s="99"/>
      <c r="Y951" s="99"/>
      <c r="Z951" s="99"/>
      <c r="AA951" s="99"/>
      <c r="AB951" s="99"/>
      <c r="AC951" s="99"/>
      <c r="AD951" s="99"/>
      <c r="AE951" s="99"/>
      <c r="AF951" s="99"/>
      <c r="AG951" s="99"/>
      <c r="AH951" s="99"/>
      <c r="AI951" s="99"/>
      <c r="AJ951" s="99"/>
      <c r="AK951" s="99"/>
      <c r="AL951" s="99"/>
      <c r="AM951" s="99"/>
    </row>
    <row r="952" ht="12.75" customHeight="1">
      <c r="A952" s="104"/>
      <c r="B952" s="104"/>
      <c r="C952" s="104"/>
      <c r="D952" s="110" t="s">
        <v>24</v>
      </c>
      <c r="E952" s="110" t="s">
        <v>94</v>
      </c>
      <c r="G952" s="136">
        <v>12.0</v>
      </c>
      <c r="H952" s="136" t="s">
        <v>95</v>
      </c>
      <c r="I952" s="137">
        <v>2500000.0</v>
      </c>
      <c r="J952" s="46">
        <f t="shared" ref="J952:J953" si="945">G952*I952</f>
        <v>30000000</v>
      </c>
      <c r="K952" s="46"/>
      <c r="L952" s="105"/>
      <c r="M952" s="138">
        <v>363500.0</v>
      </c>
      <c r="N952" s="105"/>
      <c r="O952" s="46">
        <f t="shared" ref="O952:O953" si="946">J952-K952</f>
        <v>30000000</v>
      </c>
      <c r="P952" s="46">
        <f t="shared" ref="P952:P953" si="947">J952-M952</f>
        <v>29636500</v>
      </c>
      <c r="Q952" s="46">
        <v>3.0E7</v>
      </c>
      <c r="R952" s="101"/>
      <c r="S952" s="101"/>
      <c r="T952" s="99"/>
      <c r="U952" s="99"/>
      <c r="V952" s="99"/>
      <c r="W952" s="99"/>
      <c r="X952" s="99"/>
      <c r="Y952" s="99"/>
      <c r="Z952" s="99"/>
      <c r="AA952" s="99"/>
      <c r="AB952" s="99"/>
      <c r="AC952" s="99"/>
      <c r="AD952" s="99"/>
      <c r="AE952" s="99"/>
      <c r="AF952" s="99"/>
      <c r="AG952" s="99"/>
      <c r="AH952" s="99"/>
      <c r="AI952" s="99"/>
      <c r="AJ952" s="99"/>
      <c r="AK952" s="99"/>
      <c r="AL952" s="99"/>
      <c r="AM952" s="99"/>
    </row>
    <row r="953" ht="12.75" customHeight="1">
      <c r="A953" s="104"/>
      <c r="B953" s="104"/>
      <c r="C953" s="104"/>
      <c r="D953" s="110" t="s">
        <v>24</v>
      </c>
      <c r="E953" s="110" t="s">
        <v>290</v>
      </c>
      <c r="G953" s="136">
        <v>1.0</v>
      </c>
      <c r="H953" s="136" t="s">
        <v>97</v>
      </c>
      <c r="I953" s="137">
        <v>1.1836E7</v>
      </c>
      <c r="J953" s="46">
        <f t="shared" si="945"/>
        <v>11836000</v>
      </c>
      <c r="K953" s="46"/>
      <c r="L953" s="105"/>
      <c r="M953" s="106"/>
      <c r="N953" s="105"/>
      <c r="O953" s="46">
        <f t="shared" si="946"/>
        <v>11836000</v>
      </c>
      <c r="P953" s="46">
        <f t="shared" si="947"/>
        <v>11836000</v>
      </c>
      <c r="Q953" s="46">
        <v>1.1836E7</v>
      </c>
      <c r="R953" s="101"/>
      <c r="S953" s="101"/>
      <c r="T953" s="99"/>
      <c r="U953" s="99"/>
      <c r="V953" s="99"/>
      <c r="W953" s="99"/>
      <c r="X953" s="99"/>
      <c r="Y953" s="99"/>
      <c r="Z953" s="99"/>
      <c r="AA953" s="99"/>
      <c r="AB953" s="99"/>
      <c r="AC953" s="99"/>
      <c r="AD953" s="99"/>
      <c r="AE953" s="99"/>
      <c r="AF953" s="99"/>
      <c r="AG953" s="99"/>
      <c r="AH953" s="99"/>
      <c r="AI953" s="99"/>
      <c r="AJ953" s="99"/>
      <c r="AK953" s="99"/>
      <c r="AL953" s="99"/>
      <c r="AM953" s="99"/>
    </row>
    <row r="954" ht="12.75" customHeight="1">
      <c r="A954" s="144" t="s">
        <v>98</v>
      </c>
      <c r="D954" s="144" t="s">
        <v>99</v>
      </c>
      <c r="G954" s="104"/>
      <c r="H954" s="128"/>
      <c r="I954" s="104"/>
      <c r="J954" s="129">
        <f t="shared" ref="J954:K954" si="948">J955+J964</f>
        <v>6760000</v>
      </c>
      <c r="K954" s="43">
        <f t="shared" si="948"/>
        <v>0</v>
      </c>
      <c r="L954" s="105"/>
      <c r="M954" s="106"/>
      <c r="N954" s="105"/>
      <c r="O954" s="43">
        <f t="shared" ref="O954:P954" si="949">O955+O964</f>
        <v>6760000</v>
      </c>
      <c r="P954" s="43">
        <f t="shared" si="949"/>
        <v>4475000</v>
      </c>
      <c r="Q954" s="43">
        <v>6760000.0</v>
      </c>
      <c r="R954" s="101"/>
      <c r="S954" s="101"/>
      <c r="T954" s="99"/>
      <c r="U954" s="99"/>
      <c r="V954" s="99"/>
      <c r="W954" s="99"/>
      <c r="X954" s="99"/>
      <c r="Y954" s="99"/>
      <c r="Z954" s="99"/>
      <c r="AA954" s="99"/>
      <c r="AB954" s="99"/>
      <c r="AC954" s="99"/>
      <c r="AD954" s="99"/>
      <c r="AE954" s="99"/>
      <c r="AF954" s="99"/>
      <c r="AG954" s="99"/>
      <c r="AH954" s="99"/>
      <c r="AI954" s="99"/>
      <c r="AJ954" s="99"/>
      <c r="AK954" s="99"/>
      <c r="AL954" s="99"/>
      <c r="AM954" s="99"/>
    </row>
    <row r="955" ht="12.75" customHeight="1">
      <c r="A955" s="110" t="s">
        <v>100</v>
      </c>
      <c r="D955" s="145" t="s">
        <v>101</v>
      </c>
      <c r="G955" s="104"/>
      <c r="H955" s="133"/>
      <c r="I955" s="104"/>
      <c r="J955" s="134">
        <f t="shared" ref="J955:K955" si="950">SUM(J957:J963)</f>
        <v>5600000</v>
      </c>
      <c r="K955" s="46">
        <f t="shared" si="950"/>
        <v>0</v>
      </c>
      <c r="L955" s="105"/>
      <c r="M955" s="106"/>
      <c r="N955" s="105"/>
      <c r="O955" s="46">
        <f t="shared" ref="O955:P955" si="951">SUM(O957:O963)</f>
        <v>5600000</v>
      </c>
      <c r="P955" s="46">
        <f t="shared" si="951"/>
        <v>5600000</v>
      </c>
      <c r="Q955" s="46">
        <v>5600000.0</v>
      </c>
      <c r="R955" s="101"/>
      <c r="S955" s="101"/>
      <c r="T955" s="99"/>
      <c r="U955" s="99"/>
      <c r="V955" s="99"/>
      <c r="W955" s="99"/>
      <c r="X955" s="99"/>
      <c r="Y955" s="99"/>
      <c r="Z955" s="99"/>
      <c r="AA955" s="99"/>
      <c r="AB955" s="99"/>
      <c r="AC955" s="99"/>
      <c r="AD955" s="99"/>
      <c r="AE955" s="99"/>
      <c r="AF955" s="99"/>
      <c r="AG955" s="99"/>
      <c r="AH955" s="99"/>
      <c r="AI955" s="99"/>
      <c r="AJ955" s="99"/>
      <c r="AK955" s="99"/>
      <c r="AL955" s="99"/>
      <c r="AM955" s="99"/>
    </row>
    <row r="956" ht="12.75" customHeight="1">
      <c r="A956" s="104"/>
      <c r="B956" s="104"/>
      <c r="C956" s="104"/>
      <c r="D956" s="110" t="s">
        <v>23</v>
      </c>
      <c r="G956" s="104"/>
      <c r="H956" s="104"/>
      <c r="I956" s="104"/>
      <c r="J956" s="111"/>
      <c r="K956" s="111"/>
      <c r="L956" s="105"/>
      <c r="M956" s="106"/>
      <c r="N956" s="105"/>
      <c r="O956" s="111"/>
      <c r="P956" s="111"/>
      <c r="Q956" s="111"/>
      <c r="R956" s="101"/>
      <c r="S956" s="101"/>
      <c r="T956" s="99"/>
      <c r="U956" s="99"/>
      <c r="V956" s="99"/>
      <c r="W956" s="99"/>
      <c r="X956" s="99"/>
      <c r="Y956" s="99"/>
      <c r="Z956" s="99"/>
      <c r="AA956" s="99"/>
      <c r="AB956" s="99"/>
      <c r="AC956" s="99"/>
      <c r="AD956" s="99"/>
      <c r="AE956" s="99"/>
      <c r="AF956" s="99"/>
      <c r="AG956" s="99"/>
      <c r="AH956" s="99"/>
      <c r="AI956" s="99"/>
      <c r="AJ956" s="99"/>
      <c r="AK956" s="99"/>
      <c r="AL956" s="99"/>
      <c r="AM956" s="99"/>
    </row>
    <row r="957" ht="12.75" customHeight="1">
      <c r="A957" s="104"/>
      <c r="B957" s="104"/>
      <c r="C957" s="104"/>
      <c r="D957" s="110" t="s">
        <v>24</v>
      </c>
      <c r="E957" s="110" t="s">
        <v>102</v>
      </c>
      <c r="G957" s="136">
        <v>2.0</v>
      </c>
      <c r="H957" s="136" t="s">
        <v>95</v>
      </c>
      <c r="I957" s="137">
        <v>350000.0</v>
      </c>
      <c r="J957" s="46">
        <f t="shared" ref="J957:J963" si="952">G957*I957</f>
        <v>700000</v>
      </c>
      <c r="K957" s="46"/>
      <c r="L957" s="105"/>
      <c r="M957" s="106"/>
      <c r="N957" s="105"/>
      <c r="O957" s="46">
        <f t="shared" ref="O957:O963" si="953">J957-K957</f>
        <v>700000</v>
      </c>
      <c r="P957" s="46">
        <f t="shared" ref="P957:P963" si="954">J957-M957</f>
        <v>700000</v>
      </c>
      <c r="Q957" s="46">
        <v>700000.0</v>
      </c>
      <c r="R957" s="101"/>
      <c r="S957" s="101"/>
      <c r="T957" s="99"/>
      <c r="U957" s="99"/>
      <c r="V957" s="99"/>
      <c r="W957" s="99"/>
      <c r="X957" s="99"/>
      <c r="Y957" s="99"/>
      <c r="Z957" s="99"/>
      <c r="AA957" s="99"/>
      <c r="AB957" s="99"/>
      <c r="AC957" s="99"/>
      <c r="AD957" s="99"/>
      <c r="AE957" s="99"/>
      <c r="AF957" s="99"/>
      <c r="AG957" s="99"/>
      <c r="AH957" s="99"/>
      <c r="AI957" s="99"/>
      <c r="AJ957" s="99"/>
      <c r="AK957" s="99"/>
      <c r="AL957" s="99"/>
      <c r="AM957" s="99"/>
    </row>
    <row r="958" ht="12.75" customHeight="1">
      <c r="A958" s="104"/>
      <c r="B958" s="104"/>
      <c r="C958" s="104"/>
      <c r="D958" s="110" t="s">
        <v>24</v>
      </c>
      <c r="E958" s="110" t="s">
        <v>103</v>
      </c>
      <c r="G958" s="136">
        <v>2.0</v>
      </c>
      <c r="H958" s="136" t="s">
        <v>95</v>
      </c>
      <c r="I958" s="137">
        <v>225000.0</v>
      </c>
      <c r="J958" s="46">
        <f t="shared" si="952"/>
        <v>450000</v>
      </c>
      <c r="K958" s="46"/>
      <c r="L958" s="105"/>
      <c r="M958" s="106"/>
      <c r="N958" s="105"/>
      <c r="O958" s="46">
        <f t="shared" si="953"/>
        <v>450000</v>
      </c>
      <c r="P958" s="46">
        <f t="shared" si="954"/>
        <v>450000</v>
      </c>
      <c r="Q958" s="46">
        <v>450000.0</v>
      </c>
      <c r="R958" s="101"/>
      <c r="S958" s="101"/>
      <c r="T958" s="99"/>
      <c r="U958" s="99"/>
      <c r="V958" s="99"/>
      <c r="W958" s="99"/>
      <c r="X958" s="99"/>
      <c r="Y958" s="99"/>
      <c r="Z958" s="99"/>
      <c r="AA958" s="99"/>
      <c r="AB958" s="99"/>
      <c r="AC958" s="99"/>
      <c r="AD958" s="99"/>
      <c r="AE958" s="99"/>
      <c r="AF958" s="99"/>
      <c r="AG958" s="99"/>
      <c r="AH958" s="99"/>
      <c r="AI958" s="99"/>
      <c r="AJ958" s="99"/>
      <c r="AK958" s="99"/>
      <c r="AL958" s="99"/>
      <c r="AM958" s="99"/>
    </row>
    <row r="959" ht="15.75" customHeight="1">
      <c r="A959" s="104"/>
      <c r="B959" s="104"/>
      <c r="C959" s="104"/>
      <c r="D959" s="110" t="s">
        <v>24</v>
      </c>
      <c r="E959" s="110" t="s">
        <v>104</v>
      </c>
      <c r="G959" s="136">
        <v>2.0</v>
      </c>
      <c r="H959" s="136" t="s">
        <v>95</v>
      </c>
      <c r="I959" s="137">
        <v>450000.0</v>
      </c>
      <c r="J959" s="46">
        <f t="shared" si="952"/>
        <v>900000</v>
      </c>
      <c r="K959" s="46"/>
      <c r="L959" s="105"/>
      <c r="M959" s="106"/>
      <c r="N959" s="105"/>
      <c r="O959" s="46">
        <f t="shared" si="953"/>
        <v>900000</v>
      </c>
      <c r="P959" s="46">
        <f t="shared" si="954"/>
        <v>900000</v>
      </c>
      <c r="Q959" s="46">
        <v>900000.0</v>
      </c>
      <c r="R959" s="101"/>
      <c r="S959" s="101"/>
      <c r="T959" s="99"/>
      <c r="U959" s="99"/>
      <c r="V959" s="99"/>
      <c r="W959" s="99"/>
      <c r="X959" s="99"/>
      <c r="Y959" s="99"/>
      <c r="Z959" s="99"/>
      <c r="AA959" s="99"/>
      <c r="AB959" s="99"/>
      <c r="AC959" s="99"/>
      <c r="AD959" s="99"/>
      <c r="AE959" s="99"/>
      <c r="AF959" s="99"/>
      <c r="AG959" s="99"/>
      <c r="AH959" s="99"/>
      <c r="AI959" s="99"/>
      <c r="AJ959" s="99"/>
      <c r="AK959" s="99"/>
      <c r="AL959" s="99"/>
      <c r="AM959" s="99"/>
    </row>
    <row r="960" ht="12.75" customHeight="1">
      <c r="A960" s="104"/>
      <c r="B960" s="104"/>
      <c r="C960" s="104"/>
      <c r="D960" s="110" t="s">
        <v>24</v>
      </c>
      <c r="E960" s="110" t="s">
        <v>105</v>
      </c>
      <c r="G960" s="136">
        <v>2.0</v>
      </c>
      <c r="H960" s="136" t="s">
        <v>95</v>
      </c>
      <c r="I960" s="137">
        <v>250000.0</v>
      </c>
      <c r="J960" s="46">
        <f t="shared" si="952"/>
        <v>500000</v>
      </c>
      <c r="K960" s="46"/>
      <c r="L960" s="105"/>
      <c r="M960" s="106"/>
      <c r="N960" s="105"/>
      <c r="O960" s="46">
        <f t="shared" si="953"/>
        <v>500000</v>
      </c>
      <c r="P960" s="46">
        <f t="shared" si="954"/>
        <v>500000</v>
      </c>
      <c r="Q960" s="46">
        <v>500000.0</v>
      </c>
      <c r="R960" s="101"/>
      <c r="S960" s="101"/>
      <c r="T960" s="99"/>
      <c r="U960" s="99"/>
      <c r="V960" s="99"/>
      <c r="W960" s="99"/>
      <c r="X960" s="99"/>
      <c r="Y960" s="99"/>
      <c r="Z960" s="99"/>
      <c r="AA960" s="99"/>
      <c r="AB960" s="99"/>
      <c r="AC960" s="99"/>
      <c r="AD960" s="99"/>
      <c r="AE960" s="99"/>
      <c r="AF960" s="99"/>
      <c r="AG960" s="99"/>
      <c r="AH960" s="99"/>
      <c r="AI960" s="99"/>
      <c r="AJ960" s="99"/>
      <c r="AK960" s="99"/>
      <c r="AL960" s="99"/>
      <c r="AM960" s="99"/>
    </row>
    <row r="961" ht="12.75" customHeight="1">
      <c r="A961" s="104"/>
      <c r="B961" s="104"/>
      <c r="C961" s="104"/>
      <c r="D961" s="110" t="s">
        <v>24</v>
      </c>
      <c r="E961" s="110" t="s">
        <v>106</v>
      </c>
      <c r="G961" s="136">
        <v>2.0</v>
      </c>
      <c r="H961" s="136" t="s">
        <v>95</v>
      </c>
      <c r="I961" s="137">
        <v>100000.0</v>
      </c>
      <c r="J961" s="46">
        <f t="shared" si="952"/>
        <v>200000</v>
      </c>
      <c r="K961" s="46"/>
      <c r="L961" s="105"/>
      <c r="M961" s="106"/>
      <c r="N961" s="105"/>
      <c r="O961" s="46">
        <f t="shared" si="953"/>
        <v>200000</v>
      </c>
      <c r="P961" s="46">
        <f t="shared" si="954"/>
        <v>200000</v>
      </c>
      <c r="Q961" s="46">
        <v>200000.0</v>
      </c>
      <c r="R961" s="101"/>
      <c r="S961" s="101"/>
      <c r="T961" s="99"/>
      <c r="U961" s="99"/>
      <c r="V961" s="99"/>
      <c r="W961" s="99"/>
      <c r="X961" s="99"/>
      <c r="Y961" s="99"/>
      <c r="Z961" s="99"/>
      <c r="AA961" s="99"/>
      <c r="AB961" s="99"/>
      <c r="AC961" s="99"/>
      <c r="AD961" s="99"/>
      <c r="AE961" s="99"/>
      <c r="AF961" s="99"/>
      <c r="AG961" s="99"/>
      <c r="AH961" s="99"/>
      <c r="AI961" s="99"/>
      <c r="AJ961" s="99"/>
      <c r="AK961" s="99"/>
      <c r="AL961" s="99"/>
      <c r="AM961" s="99"/>
    </row>
    <row r="962" ht="12.75" customHeight="1">
      <c r="A962" s="104"/>
      <c r="B962" s="104"/>
      <c r="C962" s="104"/>
      <c r="D962" s="110" t="s">
        <v>24</v>
      </c>
      <c r="E962" s="110" t="s">
        <v>107</v>
      </c>
      <c r="G962" s="136">
        <v>2.0</v>
      </c>
      <c r="H962" s="136" t="s">
        <v>95</v>
      </c>
      <c r="I962" s="137">
        <v>725000.0</v>
      </c>
      <c r="J962" s="46">
        <f t="shared" si="952"/>
        <v>1450000</v>
      </c>
      <c r="K962" s="46"/>
      <c r="L962" s="105"/>
      <c r="M962" s="106"/>
      <c r="N962" s="105"/>
      <c r="O962" s="46">
        <f t="shared" si="953"/>
        <v>1450000</v>
      </c>
      <c r="P962" s="46">
        <f t="shared" si="954"/>
        <v>1450000</v>
      </c>
      <c r="Q962" s="46">
        <v>1450000.0</v>
      </c>
      <c r="R962" s="101"/>
      <c r="S962" s="101"/>
      <c r="T962" s="99"/>
      <c r="U962" s="99"/>
      <c r="V962" s="99"/>
      <c r="W962" s="99"/>
      <c r="X962" s="99"/>
      <c r="Y962" s="99"/>
      <c r="Z962" s="99"/>
      <c r="AA962" s="99"/>
      <c r="AB962" s="99"/>
      <c r="AC962" s="99"/>
      <c r="AD962" s="99"/>
      <c r="AE962" s="99"/>
      <c r="AF962" s="99"/>
      <c r="AG962" s="99"/>
      <c r="AH962" s="99"/>
      <c r="AI962" s="99"/>
      <c r="AJ962" s="99"/>
      <c r="AK962" s="99"/>
      <c r="AL962" s="99"/>
      <c r="AM962" s="99"/>
    </row>
    <row r="963" ht="15.75" customHeight="1">
      <c r="A963" s="104"/>
      <c r="B963" s="104"/>
      <c r="C963" s="104"/>
      <c r="D963" s="110" t="s">
        <v>24</v>
      </c>
      <c r="E963" s="110" t="s">
        <v>108</v>
      </c>
      <c r="G963" s="136">
        <v>2.0</v>
      </c>
      <c r="H963" s="136" t="s">
        <v>95</v>
      </c>
      <c r="I963" s="137">
        <v>700000.0</v>
      </c>
      <c r="J963" s="46">
        <f t="shared" si="952"/>
        <v>1400000</v>
      </c>
      <c r="K963" s="46"/>
      <c r="L963" s="105"/>
      <c r="M963" s="106"/>
      <c r="N963" s="105"/>
      <c r="O963" s="46">
        <f t="shared" si="953"/>
        <v>1400000</v>
      </c>
      <c r="P963" s="46">
        <f t="shared" si="954"/>
        <v>1400000</v>
      </c>
      <c r="Q963" s="46">
        <v>1400000.0</v>
      </c>
      <c r="R963" s="101"/>
      <c r="S963" s="101"/>
      <c r="T963" s="99"/>
      <c r="U963" s="99"/>
      <c r="V963" s="99"/>
      <c r="W963" s="99"/>
      <c r="X963" s="99"/>
      <c r="Y963" s="99"/>
      <c r="Z963" s="99"/>
      <c r="AA963" s="99"/>
      <c r="AB963" s="99"/>
      <c r="AC963" s="99"/>
      <c r="AD963" s="99"/>
      <c r="AE963" s="99"/>
      <c r="AF963" s="99"/>
      <c r="AG963" s="99"/>
      <c r="AH963" s="99"/>
      <c r="AI963" s="99"/>
      <c r="AJ963" s="99"/>
      <c r="AK963" s="99"/>
      <c r="AL963" s="99"/>
      <c r="AM963" s="99"/>
    </row>
    <row r="964" ht="12.75" customHeight="1">
      <c r="A964" s="110" t="s">
        <v>68</v>
      </c>
      <c r="D964" s="145" t="s">
        <v>69</v>
      </c>
      <c r="G964" s="104"/>
      <c r="H964" s="133"/>
      <c r="I964" s="104"/>
      <c r="J964" s="134">
        <f t="shared" ref="J964:K964" si="955">SUM(J966:J969)</f>
        <v>1160000</v>
      </c>
      <c r="K964" s="46">
        <f t="shared" si="955"/>
        <v>0</v>
      </c>
      <c r="L964" s="105"/>
      <c r="M964" s="106"/>
      <c r="N964" s="105"/>
      <c r="O964" s="46">
        <f t="shared" ref="O964:P964" si="956">SUM(O966:O969)</f>
        <v>1160000</v>
      </c>
      <c r="P964" s="46">
        <f t="shared" si="956"/>
        <v>-1125000</v>
      </c>
      <c r="Q964" s="46">
        <v>1160000.0</v>
      </c>
      <c r="R964" s="101"/>
      <c r="S964" s="101"/>
      <c r="T964" s="99"/>
      <c r="U964" s="99"/>
      <c r="V964" s="99"/>
      <c r="W964" s="99"/>
      <c r="X964" s="99"/>
      <c r="Y964" s="99"/>
      <c r="Z964" s="99"/>
      <c r="AA964" s="99"/>
      <c r="AB964" s="99"/>
      <c r="AC964" s="99"/>
      <c r="AD964" s="99"/>
      <c r="AE964" s="99"/>
      <c r="AF964" s="99"/>
      <c r="AG964" s="99"/>
      <c r="AH964" s="99"/>
      <c r="AI964" s="99"/>
      <c r="AJ964" s="99"/>
      <c r="AK964" s="99"/>
      <c r="AL964" s="99"/>
      <c r="AM964" s="99"/>
    </row>
    <row r="965" ht="12.75" customHeight="1">
      <c r="A965" s="104"/>
      <c r="B965" s="104"/>
      <c r="C965" s="104"/>
      <c r="D965" s="110" t="s">
        <v>23</v>
      </c>
      <c r="G965" s="104"/>
      <c r="H965" s="104"/>
      <c r="I965" s="104"/>
      <c r="J965" s="111"/>
      <c r="K965" s="111"/>
      <c r="L965" s="105"/>
      <c r="M965" s="106"/>
      <c r="N965" s="105"/>
      <c r="O965" s="111"/>
      <c r="P965" s="111"/>
      <c r="Q965" s="111"/>
      <c r="R965" s="101"/>
      <c r="S965" s="101"/>
      <c r="T965" s="99"/>
      <c r="U965" s="99"/>
      <c r="V965" s="99"/>
      <c r="W965" s="99"/>
      <c r="X965" s="99"/>
      <c r="Y965" s="99"/>
      <c r="Z965" s="99"/>
      <c r="AA965" s="99"/>
      <c r="AB965" s="99"/>
      <c r="AC965" s="99"/>
      <c r="AD965" s="99"/>
      <c r="AE965" s="99"/>
      <c r="AF965" s="99"/>
      <c r="AG965" s="99"/>
      <c r="AH965" s="99"/>
      <c r="AI965" s="99"/>
      <c r="AJ965" s="99"/>
      <c r="AK965" s="99"/>
      <c r="AL965" s="99"/>
      <c r="AM965" s="99"/>
    </row>
    <row r="966" ht="12.75" customHeight="1">
      <c r="A966" s="104"/>
      <c r="B966" s="104"/>
      <c r="C966" s="104"/>
      <c r="D966" s="110" t="s">
        <v>24</v>
      </c>
      <c r="E966" s="110" t="s">
        <v>109</v>
      </c>
      <c r="G966" s="136">
        <v>10.0</v>
      </c>
      <c r="H966" s="136" t="s">
        <v>95</v>
      </c>
      <c r="I966" s="137">
        <v>50000.0</v>
      </c>
      <c r="J966" s="46">
        <f t="shared" ref="J966:J969" si="957">G966*I966</f>
        <v>500000</v>
      </c>
      <c r="K966" s="46"/>
      <c r="L966" s="105"/>
      <c r="M966" s="138">
        <v>2285000.0</v>
      </c>
      <c r="N966" s="105"/>
      <c r="O966" s="46">
        <f t="shared" ref="O966:O969" si="958">J966-K966</f>
        <v>500000</v>
      </c>
      <c r="P966" s="46">
        <f t="shared" ref="P966:P969" si="959">J966-M966</f>
        <v>-1785000</v>
      </c>
      <c r="Q966" s="46">
        <v>500000.0</v>
      </c>
      <c r="R966" s="101"/>
      <c r="S966" s="101"/>
      <c r="T966" s="99"/>
      <c r="U966" s="99"/>
      <c r="V966" s="99"/>
      <c r="W966" s="99"/>
      <c r="X966" s="99"/>
      <c r="Y966" s="99"/>
      <c r="Z966" s="99"/>
      <c r="AA966" s="99"/>
      <c r="AB966" s="99"/>
      <c r="AC966" s="99"/>
      <c r="AD966" s="99"/>
      <c r="AE966" s="99"/>
      <c r="AF966" s="99"/>
      <c r="AG966" s="99"/>
      <c r="AH966" s="99"/>
      <c r="AI966" s="99"/>
      <c r="AJ966" s="99"/>
      <c r="AK966" s="99"/>
      <c r="AL966" s="99"/>
      <c r="AM966" s="99"/>
    </row>
    <row r="967" ht="12.75" customHeight="1">
      <c r="A967" s="104"/>
      <c r="B967" s="104"/>
      <c r="C967" s="104"/>
      <c r="D967" s="110" t="s">
        <v>24</v>
      </c>
      <c r="E967" s="110" t="s">
        <v>110</v>
      </c>
      <c r="G967" s="136">
        <v>2.0</v>
      </c>
      <c r="H967" s="136" t="s">
        <v>95</v>
      </c>
      <c r="I967" s="137">
        <v>100000.0</v>
      </c>
      <c r="J967" s="46">
        <f t="shared" si="957"/>
        <v>200000</v>
      </c>
      <c r="K967" s="46"/>
      <c r="L967" s="105"/>
      <c r="M967" s="106"/>
      <c r="N967" s="105"/>
      <c r="O967" s="46">
        <f t="shared" si="958"/>
        <v>200000</v>
      </c>
      <c r="P967" s="46">
        <f t="shared" si="959"/>
        <v>200000</v>
      </c>
      <c r="Q967" s="46">
        <v>200000.0</v>
      </c>
      <c r="R967" s="101"/>
      <c r="S967" s="101"/>
      <c r="T967" s="99"/>
      <c r="U967" s="99"/>
      <c r="V967" s="99"/>
      <c r="W967" s="99"/>
      <c r="X967" s="99"/>
      <c r="Y967" s="99"/>
      <c r="Z967" s="99"/>
      <c r="AA967" s="99"/>
      <c r="AB967" s="99"/>
      <c r="AC967" s="99"/>
      <c r="AD967" s="99"/>
      <c r="AE967" s="99"/>
      <c r="AF967" s="99"/>
      <c r="AG967" s="99"/>
      <c r="AH967" s="99"/>
      <c r="AI967" s="99"/>
      <c r="AJ967" s="99"/>
      <c r="AK967" s="99"/>
      <c r="AL967" s="99"/>
      <c r="AM967" s="99"/>
    </row>
    <row r="968" ht="12.75" customHeight="1">
      <c r="A968" s="104"/>
      <c r="B968" s="104"/>
      <c r="C968" s="104"/>
      <c r="D968" s="110" t="s">
        <v>24</v>
      </c>
      <c r="E968" s="110" t="s">
        <v>111</v>
      </c>
      <c r="G968" s="136">
        <v>2.0</v>
      </c>
      <c r="H968" s="136" t="s">
        <v>95</v>
      </c>
      <c r="I968" s="137">
        <v>200000.0</v>
      </c>
      <c r="J968" s="46">
        <f t="shared" si="957"/>
        <v>400000</v>
      </c>
      <c r="K968" s="46"/>
      <c r="L968" s="105"/>
      <c r="M968" s="106"/>
      <c r="N968" s="105"/>
      <c r="O968" s="46">
        <f t="shared" si="958"/>
        <v>400000</v>
      </c>
      <c r="P968" s="46">
        <f t="shared" si="959"/>
        <v>400000</v>
      </c>
      <c r="Q968" s="46">
        <v>400000.0</v>
      </c>
      <c r="R968" s="101"/>
      <c r="S968" s="101"/>
      <c r="T968" s="99"/>
      <c r="U968" s="99"/>
      <c r="V968" s="99"/>
      <c r="W968" s="99"/>
      <c r="X968" s="99"/>
      <c r="Y968" s="99"/>
      <c r="Z968" s="99"/>
      <c r="AA968" s="99"/>
      <c r="AB968" s="99"/>
      <c r="AC968" s="99"/>
      <c r="AD968" s="99"/>
      <c r="AE968" s="99"/>
      <c r="AF968" s="99"/>
      <c r="AG968" s="99"/>
      <c r="AH968" s="99"/>
      <c r="AI968" s="99"/>
      <c r="AJ968" s="99"/>
      <c r="AK968" s="99"/>
      <c r="AL968" s="99"/>
      <c r="AM968" s="99"/>
    </row>
    <row r="969" ht="12.75" customHeight="1">
      <c r="A969" s="104"/>
      <c r="B969" s="104"/>
      <c r="C969" s="104"/>
      <c r="D969" s="110" t="s">
        <v>24</v>
      </c>
      <c r="E969" s="110" t="s">
        <v>112</v>
      </c>
      <c r="G969" s="136">
        <v>2.0</v>
      </c>
      <c r="H969" s="136" t="s">
        <v>95</v>
      </c>
      <c r="I969" s="137">
        <v>30000.0</v>
      </c>
      <c r="J969" s="46">
        <f t="shared" si="957"/>
        <v>60000</v>
      </c>
      <c r="K969" s="46"/>
      <c r="L969" s="105"/>
      <c r="M969" s="106"/>
      <c r="N969" s="105"/>
      <c r="O969" s="46">
        <f t="shared" si="958"/>
        <v>60000</v>
      </c>
      <c r="P969" s="46">
        <f t="shared" si="959"/>
        <v>60000</v>
      </c>
      <c r="Q969" s="46">
        <v>60000.0</v>
      </c>
      <c r="R969" s="101"/>
      <c r="S969" s="101"/>
      <c r="T969" s="99"/>
      <c r="U969" s="99"/>
      <c r="V969" s="99"/>
      <c r="W969" s="99"/>
      <c r="X969" s="99"/>
      <c r="Y969" s="99"/>
      <c r="Z969" s="99"/>
      <c r="AA969" s="99"/>
      <c r="AB969" s="99"/>
      <c r="AC969" s="99"/>
      <c r="AD969" s="99"/>
      <c r="AE969" s="99"/>
      <c r="AF969" s="99"/>
      <c r="AG969" s="99"/>
      <c r="AH969" s="99"/>
      <c r="AI969" s="99"/>
      <c r="AJ969" s="99"/>
      <c r="AK969" s="99"/>
      <c r="AL969" s="99"/>
      <c r="AM969" s="99"/>
    </row>
    <row r="970" ht="12.75" customHeight="1">
      <c r="A970" s="144" t="s">
        <v>113</v>
      </c>
      <c r="D970" s="144" t="s">
        <v>114</v>
      </c>
      <c r="G970" s="104"/>
      <c r="H970" s="128"/>
      <c r="I970" s="104"/>
      <c r="J970" s="129">
        <f t="shared" ref="J970:K970" si="960">J971</f>
        <v>410750000</v>
      </c>
      <c r="K970" s="43">
        <f t="shared" si="960"/>
        <v>0</v>
      </c>
      <c r="L970" s="105"/>
      <c r="M970" s="106"/>
      <c r="N970" s="105"/>
      <c r="O970" s="43">
        <f t="shared" ref="O970:P970" si="961">O971</f>
        <v>410750000</v>
      </c>
      <c r="P970" s="43">
        <f t="shared" si="961"/>
        <v>410750000</v>
      </c>
      <c r="Q970" s="43">
        <v>4.1075E8</v>
      </c>
      <c r="R970" s="101"/>
      <c r="S970" s="101"/>
      <c r="T970" s="99"/>
      <c r="U970" s="99"/>
      <c r="V970" s="99"/>
      <c r="W970" s="99"/>
      <c r="X970" s="99"/>
      <c r="Y970" s="99"/>
      <c r="Z970" s="99"/>
      <c r="AA970" s="99"/>
      <c r="AB970" s="99"/>
      <c r="AC970" s="99"/>
      <c r="AD970" s="99"/>
      <c r="AE970" s="99"/>
      <c r="AF970" s="99"/>
      <c r="AG970" s="99"/>
      <c r="AH970" s="99"/>
      <c r="AI970" s="99"/>
      <c r="AJ970" s="99"/>
      <c r="AK970" s="99"/>
      <c r="AL970" s="99"/>
      <c r="AM970" s="99"/>
    </row>
    <row r="971" ht="12.75" customHeight="1">
      <c r="A971" s="110" t="s">
        <v>68</v>
      </c>
      <c r="D971" s="145" t="s">
        <v>69</v>
      </c>
      <c r="G971" s="104"/>
      <c r="H971" s="133"/>
      <c r="I971" s="104"/>
      <c r="J971" s="134">
        <f t="shared" ref="J971:K971" si="962">SUM(J973:J983)</f>
        <v>410750000</v>
      </c>
      <c r="K971" s="46">
        <f t="shared" si="962"/>
        <v>0</v>
      </c>
      <c r="L971" s="105"/>
      <c r="M971" s="106"/>
      <c r="N971" s="105"/>
      <c r="O971" s="46">
        <f t="shared" ref="O971:P971" si="963">SUM(O973:O983)</f>
        <v>410750000</v>
      </c>
      <c r="P971" s="46">
        <f t="shared" si="963"/>
        <v>410750000</v>
      </c>
      <c r="Q971" s="46">
        <v>4.1075E8</v>
      </c>
      <c r="R971" s="101"/>
      <c r="S971" s="101"/>
      <c r="T971" s="99"/>
      <c r="U971" s="99"/>
      <c r="V971" s="99"/>
      <c r="W971" s="99"/>
      <c r="X971" s="99"/>
      <c r="Y971" s="99"/>
      <c r="Z971" s="99"/>
      <c r="AA971" s="99"/>
      <c r="AB971" s="99"/>
      <c r="AC971" s="99"/>
      <c r="AD971" s="99"/>
      <c r="AE971" s="99"/>
      <c r="AF971" s="99"/>
      <c r="AG971" s="99"/>
      <c r="AH971" s="99"/>
      <c r="AI971" s="99"/>
      <c r="AJ971" s="99"/>
      <c r="AK971" s="99"/>
      <c r="AL971" s="99"/>
      <c r="AM971" s="99"/>
    </row>
    <row r="972" ht="12.75" customHeight="1">
      <c r="A972" s="104"/>
      <c r="B972" s="104"/>
      <c r="C972" s="104"/>
      <c r="D972" s="110" t="s">
        <v>23</v>
      </c>
      <c r="G972" s="104"/>
      <c r="H972" s="104"/>
      <c r="I972" s="104"/>
      <c r="J972" s="111"/>
      <c r="K972" s="111"/>
      <c r="L972" s="105"/>
      <c r="M972" s="106"/>
      <c r="N972" s="105"/>
      <c r="O972" s="111"/>
      <c r="P972" s="111"/>
      <c r="Q972" s="111"/>
      <c r="R972" s="101"/>
      <c r="S972" s="101"/>
      <c r="T972" s="99"/>
      <c r="U972" s="99"/>
      <c r="V972" s="99"/>
      <c r="W972" s="99"/>
      <c r="X972" s="99"/>
      <c r="Y972" s="99"/>
      <c r="Z972" s="99"/>
      <c r="AA972" s="99"/>
      <c r="AB972" s="99"/>
      <c r="AC972" s="99"/>
      <c r="AD972" s="99"/>
      <c r="AE972" s="99"/>
      <c r="AF972" s="99"/>
      <c r="AG972" s="99"/>
      <c r="AH972" s="99"/>
      <c r="AI972" s="99"/>
      <c r="AJ972" s="99"/>
      <c r="AK972" s="99"/>
      <c r="AL972" s="99"/>
      <c r="AM972" s="99"/>
    </row>
    <row r="973" ht="12.75" customHeight="1">
      <c r="A973" s="104"/>
      <c r="B973" s="104"/>
      <c r="C973" s="104"/>
      <c r="D973" s="110" t="s">
        <v>24</v>
      </c>
      <c r="E973" s="110" t="s">
        <v>172</v>
      </c>
      <c r="G973" s="136">
        <v>100.0</v>
      </c>
      <c r="H973" s="136" t="s">
        <v>95</v>
      </c>
      <c r="I973" s="137">
        <v>110000.0</v>
      </c>
      <c r="J973" s="46">
        <f t="shared" ref="J973:J983" si="964">G973*I973</f>
        <v>11000000</v>
      </c>
      <c r="K973" s="46"/>
      <c r="L973" s="105"/>
      <c r="M973" s="106"/>
      <c r="N973" s="105"/>
      <c r="O973" s="46">
        <f t="shared" ref="O973:O983" si="965">J973-K973</f>
        <v>11000000</v>
      </c>
      <c r="P973" s="46">
        <f t="shared" ref="P973:P983" si="966">J973-M973</f>
        <v>11000000</v>
      </c>
      <c r="Q973" s="46">
        <v>1.1E7</v>
      </c>
      <c r="R973" s="101"/>
      <c r="S973" s="101"/>
      <c r="T973" s="99"/>
      <c r="U973" s="99"/>
      <c r="V973" s="99"/>
      <c r="W973" s="99"/>
      <c r="X973" s="99"/>
      <c r="Y973" s="99"/>
      <c r="Z973" s="99"/>
      <c r="AA973" s="99"/>
      <c r="AB973" s="99"/>
      <c r="AC973" s="99"/>
      <c r="AD973" s="99"/>
      <c r="AE973" s="99"/>
      <c r="AF973" s="99"/>
      <c r="AG973" s="99"/>
      <c r="AH973" s="99"/>
      <c r="AI973" s="99"/>
      <c r="AJ973" s="99"/>
      <c r="AK973" s="99"/>
      <c r="AL973" s="99"/>
      <c r="AM973" s="99"/>
    </row>
    <row r="974" ht="12.75" customHeight="1">
      <c r="A974" s="104"/>
      <c r="B974" s="104"/>
      <c r="C974" s="104"/>
      <c r="D974" s="110" t="s">
        <v>24</v>
      </c>
      <c r="E974" s="110" t="s">
        <v>173</v>
      </c>
      <c r="G974" s="136">
        <v>100.0</v>
      </c>
      <c r="H974" s="136" t="s">
        <v>95</v>
      </c>
      <c r="I974" s="137">
        <v>120000.0</v>
      </c>
      <c r="J974" s="46">
        <f t="shared" si="964"/>
        <v>12000000</v>
      </c>
      <c r="K974" s="46"/>
      <c r="L974" s="105"/>
      <c r="M974" s="106"/>
      <c r="N974" s="105"/>
      <c r="O974" s="46">
        <f t="shared" si="965"/>
        <v>12000000</v>
      </c>
      <c r="P974" s="46">
        <f t="shared" si="966"/>
        <v>12000000</v>
      </c>
      <c r="Q974" s="46">
        <v>1.2E7</v>
      </c>
      <c r="R974" s="101"/>
      <c r="S974" s="101"/>
      <c r="T974" s="99"/>
      <c r="U974" s="99"/>
      <c r="V974" s="99"/>
      <c r="W974" s="99"/>
      <c r="X974" s="99"/>
      <c r="Y974" s="99"/>
      <c r="Z974" s="99"/>
      <c r="AA974" s="99"/>
      <c r="AB974" s="99"/>
      <c r="AC974" s="99"/>
      <c r="AD974" s="99"/>
      <c r="AE974" s="99"/>
      <c r="AF974" s="99"/>
      <c r="AG974" s="99"/>
      <c r="AH974" s="99"/>
      <c r="AI974" s="99"/>
      <c r="AJ974" s="99"/>
      <c r="AK974" s="99"/>
      <c r="AL974" s="99"/>
      <c r="AM974" s="99"/>
    </row>
    <row r="975" ht="12.75" customHeight="1">
      <c r="A975" s="104"/>
      <c r="B975" s="104"/>
      <c r="C975" s="104"/>
      <c r="D975" s="110" t="s">
        <v>24</v>
      </c>
      <c r="E975" s="110" t="s">
        <v>174</v>
      </c>
      <c r="G975" s="136">
        <v>100.0</v>
      </c>
      <c r="H975" s="136" t="s">
        <v>95</v>
      </c>
      <c r="I975" s="137">
        <v>150000.0</v>
      </c>
      <c r="J975" s="46">
        <f t="shared" si="964"/>
        <v>15000000</v>
      </c>
      <c r="K975" s="46"/>
      <c r="L975" s="105"/>
      <c r="M975" s="106"/>
      <c r="N975" s="105"/>
      <c r="O975" s="46">
        <f t="shared" si="965"/>
        <v>15000000</v>
      </c>
      <c r="P975" s="46">
        <f t="shared" si="966"/>
        <v>15000000</v>
      </c>
      <c r="Q975" s="46">
        <v>1.5E7</v>
      </c>
      <c r="R975" s="101"/>
      <c r="S975" s="101"/>
      <c r="T975" s="99"/>
      <c r="U975" s="99"/>
      <c r="V975" s="99"/>
      <c r="W975" s="99"/>
      <c r="X975" s="99"/>
      <c r="Y975" s="99"/>
      <c r="Z975" s="99"/>
      <c r="AA975" s="99"/>
      <c r="AB975" s="99"/>
      <c r="AC975" s="99"/>
      <c r="AD975" s="99"/>
      <c r="AE975" s="99"/>
      <c r="AF975" s="99"/>
      <c r="AG975" s="99"/>
      <c r="AH975" s="99"/>
      <c r="AI975" s="99"/>
      <c r="AJ975" s="99"/>
      <c r="AK975" s="99"/>
      <c r="AL975" s="99"/>
      <c r="AM975" s="99"/>
    </row>
    <row r="976" ht="12.75" customHeight="1">
      <c r="A976" s="104"/>
      <c r="B976" s="104"/>
      <c r="C976" s="104"/>
      <c r="D976" s="110" t="s">
        <v>24</v>
      </c>
      <c r="E976" s="110" t="s">
        <v>175</v>
      </c>
      <c r="G976" s="136">
        <v>100.0</v>
      </c>
      <c r="H976" s="136" t="s">
        <v>95</v>
      </c>
      <c r="I976" s="137">
        <v>100000.0</v>
      </c>
      <c r="J976" s="46">
        <f t="shared" si="964"/>
        <v>10000000</v>
      </c>
      <c r="K976" s="46"/>
      <c r="L976" s="105"/>
      <c r="M976" s="106"/>
      <c r="N976" s="105"/>
      <c r="O976" s="46">
        <f t="shared" si="965"/>
        <v>10000000</v>
      </c>
      <c r="P976" s="46">
        <f t="shared" si="966"/>
        <v>10000000</v>
      </c>
      <c r="Q976" s="46">
        <v>1.0E7</v>
      </c>
      <c r="R976" s="101"/>
      <c r="S976" s="101"/>
      <c r="T976" s="99"/>
      <c r="U976" s="99"/>
      <c r="V976" s="99"/>
      <c r="W976" s="99"/>
      <c r="X976" s="99"/>
      <c r="Y976" s="99"/>
      <c r="Z976" s="99"/>
      <c r="AA976" s="99"/>
      <c r="AB976" s="99"/>
      <c r="AC976" s="99"/>
      <c r="AD976" s="99"/>
      <c r="AE976" s="99"/>
      <c r="AF976" s="99"/>
      <c r="AG976" s="99"/>
      <c r="AH976" s="99"/>
      <c r="AI976" s="99"/>
      <c r="AJ976" s="99"/>
      <c r="AK976" s="99"/>
      <c r="AL976" s="99"/>
      <c r="AM976" s="99"/>
    </row>
    <row r="977" ht="12.75" customHeight="1">
      <c r="A977" s="104"/>
      <c r="B977" s="104"/>
      <c r="C977" s="104"/>
      <c r="D977" s="110" t="s">
        <v>24</v>
      </c>
      <c r="E977" s="110" t="s">
        <v>176</v>
      </c>
      <c r="G977" s="136">
        <v>100.0</v>
      </c>
      <c r="H977" s="136" t="s">
        <v>95</v>
      </c>
      <c r="I977" s="137">
        <v>350000.0</v>
      </c>
      <c r="J977" s="46">
        <f t="shared" si="964"/>
        <v>35000000</v>
      </c>
      <c r="K977" s="46"/>
      <c r="L977" s="105"/>
      <c r="M977" s="106"/>
      <c r="N977" s="105"/>
      <c r="O977" s="46">
        <f t="shared" si="965"/>
        <v>35000000</v>
      </c>
      <c r="P977" s="46">
        <f t="shared" si="966"/>
        <v>35000000</v>
      </c>
      <c r="Q977" s="46">
        <v>3.5E7</v>
      </c>
      <c r="R977" s="101"/>
      <c r="S977" s="101"/>
      <c r="T977" s="99"/>
      <c r="U977" s="99"/>
      <c r="V977" s="99"/>
      <c r="W977" s="99"/>
      <c r="X977" s="99"/>
      <c r="Y977" s="99"/>
      <c r="Z977" s="99"/>
      <c r="AA977" s="99"/>
      <c r="AB977" s="99"/>
      <c r="AC977" s="99"/>
      <c r="AD977" s="99"/>
      <c r="AE977" s="99"/>
      <c r="AF977" s="99"/>
      <c r="AG977" s="99"/>
      <c r="AH977" s="99"/>
      <c r="AI977" s="99"/>
      <c r="AJ977" s="99"/>
      <c r="AK977" s="99"/>
      <c r="AL977" s="99"/>
      <c r="AM977" s="99"/>
    </row>
    <row r="978" ht="12.75" customHeight="1">
      <c r="A978" s="104"/>
      <c r="B978" s="104"/>
      <c r="C978" s="104"/>
      <c r="D978" s="110" t="s">
        <v>24</v>
      </c>
      <c r="E978" s="110" t="s">
        <v>177</v>
      </c>
      <c r="G978" s="136">
        <v>50.0</v>
      </c>
      <c r="H978" s="136" t="s">
        <v>95</v>
      </c>
      <c r="I978" s="137">
        <v>175000.0</v>
      </c>
      <c r="J978" s="46">
        <f t="shared" si="964"/>
        <v>8750000</v>
      </c>
      <c r="K978" s="46"/>
      <c r="L978" s="105"/>
      <c r="M978" s="106"/>
      <c r="N978" s="105"/>
      <c r="O978" s="46">
        <f t="shared" si="965"/>
        <v>8750000</v>
      </c>
      <c r="P978" s="46">
        <f t="shared" si="966"/>
        <v>8750000</v>
      </c>
      <c r="Q978" s="46">
        <v>8750000.0</v>
      </c>
      <c r="R978" s="101"/>
      <c r="S978" s="101"/>
      <c r="T978" s="99"/>
      <c r="U978" s="99"/>
      <c r="V978" s="99"/>
      <c r="W978" s="99"/>
      <c r="X978" s="99"/>
      <c r="Y978" s="99"/>
      <c r="Z978" s="99"/>
      <c r="AA978" s="99"/>
      <c r="AB978" s="99"/>
      <c r="AC978" s="99"/>
      <c r="AD978" s="99"/>
      <c r="AE978" s="99"/>
      <c r="AF978" s="99"/>
      <c r="AG978" s="99"/>
      <c r="AH978" s="99"/>
      <c r="AI978" s="99"/>
      <c r="AJ978" s="99"/>
      <c r="AK978" s="99"/>
      <c r="AL978" s="99"/>
      <c r="AM978" s="99"/>
    </row>
    <row r="979" ht="12.75" customHeight="1">
      <c r="A979" s="104"/>
      <c r="B979" s="104"/>
      <c r="C979" s="104"/>
      <c r="D979" s="110" t="s">
        <v>24</v>
      </c>
      <c r="E979" s="110" t="s">
        <v>178</v>
      </c>
      <c r="G979" s="136">
        <v>350.0</v>
      </c>
      <c r="H979" s="136" t="s">
        <v>95</v>
      </c>
      <c r="I979" s="137">
        <v>150000.0</v>
      </c>
      <c r="J979" s="46">
        <f t="shared" si="964"/>
        <v>52500000</v>
      </c>
      <c r="K979" s="46"/>
      <c r="L979" s="105"/>
      <c r="M979" s="106"/>
      <c r="N979" s="105"/>
      <c r="O979" s="46">
        <f t="shared" si="965"/>
        <v>52500000</v>
      </c>
      <c r="P979" s="46">
        <f t="shared" si="966"/>
        <v>52500000</v>
      </c>
      <c r="Q979" s="46">
        <v>5.25E7</v>
      </c>
      <c r="R979" s="101"/>
      <c r="S979" s="101"/>
      <c r="T979" s="99"/>
      <c r="U979" s="99"/>
      <c r="V979" s="99"/>
      <c r="W979" s="99"/>
      <c r="X979" s="99"/>
      <c r="Y979" s="99"/>
      <c r="Z979" s="99"/>
      <c r="AA979" s="99"/>
      <c r="AB979" s="99"/>
      <c r="AC979" s="99"/>
      <c r="AD979" s="99"/>
      <c r="AE979" s="99"/>
      <c r="AF979" s="99"/>
      <c r="AG979" s="99"/>
      <c r="AH979" s="99"/>
      <c r="AI979" s="99"/>
      <c r="AJ979" s="99"/>
      <c r="AK979" s="99"/>
      <c r="AL979" s="99"/>
      <c r="AM979" s="99"/>
    </row>
    <row r="980" ht="12.75" customHeight="1">
      <c r="A980" s="104"/>
      <c r="B980" s="104"/>
      <c r="C980" s="104"/>
      <c r="D980" s="110" t="s">
        <v>24</v>
      </c>
      <c r="E980" s="110" t="s">
        <v>179</v>
      </c>
      <c r="G980" s="136">
        <v>350.0</v>
      </c>
      <c r="H980" s="136" t="s">
        <v>95</v>
      </c>
      <c r="I980" s="137">
        <v>200000.0</v>
      </c>
      <c r="J980" s="46">
        <f t="shared" si="964"/>
        <v>70000000</v>
      </c>
      <c r="K980" s="46"/>
      <c r="L980" s="105"/>
      <c r="M980" s="106"/>
      <c r="N980" s="105"/>
      <c r="O980" s="46">
        <f t="shared" si="965"/>
        <v>70000000</v>
      </c>
      <c r="P980" s="46">
        <f t="shared" si="966"/>
        <v>70000000</v>
      </c>
      <c r="Q980" s="46">
        <v>7.0E7</v>
      </c>
      <c r="R980" s="101"/>
      <c r="S980" s="101"/>
      <c r="T980" s="99"/>
      <c r="U980" s="99"/>
      <c r="V980" s="99"/>
      <c r="W980" s="99"/>
      <c r="X980" s="99"/>
      <c r="Y980" s="99"/>
      <c r="Z980" s="99"/>
      <c r="AA980" s="99"/>
      <c r="AB980" s="99"/>
      <c r="AC980" s="99"/>
      <c r="AD980" s="99"/>
      <c r="AE980" s="99"/>
      <c r="AF980" s="99"/>
      <c r="AG980" s="99"/>
      <c r="AH980" s="99"/>
      <c r="AI980" s="99"/>
      <c r="AJ980" s="99"/>
      <c r="AK980" s="99"/>
      <c r="AL980" s="99"/>
      <c r="AM980" s="99"/>
    </row>
    <row r="981" ht="15.75" customHeight="1">
      <c r="A981" s="104"/>
      <c r="B981" s="104"/>
      <c r="C981" s="104"/>
      <c r="D981" s="110" t="s">
        <v>24</v>
      </c>
      <c r="E981" s="110" t="s">
        <v>180</v>
      </c>
      <c r="G981" s="136">
        <v>600.0</v>
      </c>
      <c r="H981" s="136" t="s">
        <v>95</v>
      </c>
      <c r="I981" s="137">
        <v>250000.0</v>
      </c>
      <c r="J981" s="46">
        <f t="shared" si="964"/>
        <v>150000000</v>
      </c>
      <c r="K981" s="46"/>
      <c r="L981" s="105"/>
      <c r="M981" s="106"/>
      <c r="N981" s="105"/>
      <c r="O981" s="46">
        <f t="shared" si="965"/>
        <v>150000000</v>
      </c>
      <c r="P981" s="46">
        <f t="shared" si="966"/>
        <v>150000000</v>
      </c>
      <c r="Q981" s="46">
        <v>1.5E8</v>
      </c>
      <c r="R981" s="101"/>
      <c r="S981" s="101"/>
      <c r="T981" s="99"/>
      <c r="U981" s="99"/>
      <c r="V981" s="99"/>
      <c r="W981" s="99"/>
      <c r="X981" s="99"/>
      <c r="Y981" s="99"/>
      <c r="Z981" s="99"/>
      <c r="AA981" s="99"/>
      <c r="AB981" s="99"/>
      <c r="AC981" s="99"/>
      <c r="AD981" s="99"/>
      <c r="AE981" s="99"/>
      <c r="AF981" s="99"/>
      <c r="AG981" s="99"/>
      <c r="AH981" s="99"/>
      <c r="AI981" s="99"/>
      <c r="AJ981" s="99"/>
      <c r="AK981" s="99"/>
      <c r="AL981" s="99"/>
      <c r="AM981" s="99"/>
    </row>
    <row r="982" ht="12.75" customHeight="1">
      <c r="A982" s="104"/>
      <c r="B982" s="104"/>
      <c r="C982" s="104"/>
      <c r="D982" s="110" t="s">
        <v>24</v>
      </c>
      <c r="E982" s="110" t="s">
        <v>181</v>
      </c>
      <c r="G982" s="136">
        <v>360.0</v>
      </c>
      <c r="H982" s="136" t="s">
        <v>95</v>
      </c>
      <c r="I982" s="137">
        <v>100000.0</v>
      </c>
      <c r="J982" s="46">
        <f t="shared" si="964"/>
        <v>36000000</v>
      </c>
      <c r="K982" s="46"/>
      <c r="L982" s="105"/>
      <c r="M982" s="106"/>
      <c r="N982" s="105"/>
      <c r="O982" s="46">
        <f t="shared" si="965"/>
        <v>36000000</v>
      </c>
      <c r="P982" s="46">
        <f t="shared" si="966"/>
        <v>36000000</v>
      </c>
      <c r="Q982" s="46">
        <v>3.6E7</v>
      </c>
      <c r="R982" s="101"/>
      <c r="S982" s="101"/>
      <c r="T982" s="99"/>
      <c r="U982" s="99"/>
      <c r="V982" s="99"/>
      <c r="W982" s="99"/>
      <c r="X982" s="99"/>
      <c r="Y982" s="99"/>
      <c r="Z982" s="99"/>
      <c r="AA982" s="99"/>
      <c r="AB982" s="99"/>
      <c r="AC982" s="99"/>
      <c r="AD982" s="99"/>
      <c r="AE982" s="99"/>
      <c r="AF982" s="99"/>
      <c r="AG982" s="99"/>
      <c r="AH982" s="99"/>
      <c r="AI982" s="99"/>
      <c r="AJ982" s="99"/>
      <c r="AK982" s="99"/>
      <c r="AL982" s="99"/>
      <c r="AM982" s="99"/>
    </row>
    <row r="983" ht="12.75" customHeight="1">
      <c r="A983" s="104"/>
      <c r="B983" s="104"/>
      <c r="C983" s="104"/>
      <c r="D983" s="110" t="s">
        <v>24</v>
      </c>
      <c r="E983" s="110" t="s">
        <v>182</v>
      </c>
      <c r="G983" s="136">
        <v>210.0</v>
      </c>
      <c r="H983" s="136" t="s">
        <v>95</v>
      </c>
      <c r="I983" s="137">
        <v>50000.0</v>
      </c>
      <c r="J983" s="46">
        <f t="shared" si="964"/>
        <v>10500000</v>
      </c>
      <c r="K983" s="46"/>
      <c r="L983" s="105"/>
      <c r="M983" s="106"/>
      <c r="N983" s="105"/>
      <c r="O983" s="46">
        <f t="shared" si="965"/>
        <v>10500000</v>
      </c>
      <c r="P983" s="46">
        <f t="shared" si="966"/>
        <v>10500000</v>
      </c>
      <c r="Q983" s="46">
        <v>1.05E7</v>
      </c>
      <c r="R983" s="101"/>
      <c r="S983" s="101"/>
      <c r="T983" s="99"/>
      <c r="U983" s="99"/>
      <c r="V983" s="99"/>
      <c r="W983" s="99"/>
      <c r="X983" s="99"/>
      <c r="Y983" s="99"/>
      <c r="Z983" s="99"/>
      <c r="AA983" s="99"/>
      <c r="AB983" s="99"/>
      <c r="AC983" s="99"/>
      <c r="AD983" s="99"/>
      <c r="AE983" s="99"/>
      <c r="AF983" s="99"/>
      <c r="AG983" s="99"/>
      <c r="AH983" s="99"/>
      <c r="AI983" s="99"/>
      <c r="AJ983" s="99"/>
      <c r="AK983" s="99"/>
      <c r="AL983" s="99"/>
      <c r="AM983" s="99"/>
    </row>
    <row r="984" ht="12.75" customHeight="1">
      <c r="A984" s="144" t="s">
        <v>126</v>
      </c>
      <c r="D984" s="144" t="s">
        <v>127</v>
      </c>
      <c r="G984" s="104"/>
      <c r="H984" s="128"/>
      <c r="I984" s="104"/>
      <c r="J984" s="129">
        <f t="shared" ref="J984:K984" si="967">J985</f>
        <v>190740000</v>
      </c>
      <c r="K984" s="43">
        <f t="shared" si="967"/>
        <v>0</v>
      </c>
      <c r="L984" s="105"/>
      <c r="M984" s="106"/>
      <c r="N984" s="105"/>
      <c r="O984" s="43">
        <f t="shared" ref="O984:P984" si="968">O985</f>
        <v>190740000</v>
      </c>
      <c r="P984" s="43">
        <f t="shared" si="968"/>
        <v>190740000</v>
      </c>
      <c r="Q984" s="43">
        <v>1.9074E8</v>
      </c>
      <c r="R984" s="101"/>
      <c r="S984" s="101"/>
      <c r="T984" s="99"/>
      <c r="U984" s="99"/>
      <c r="V984" s="99"/>
      <c r="W984" s="99"/>
      <c r="X984" s="99"/>
      <c r="Y984" s="99"/>
      <c r="Z984" s="99"/>
      <c r="AA984" s="99"/>
      <c r="AB984" s="99"/>
      <c r="AC984" s="99"/>
      <c r="AD984" s="99"/>
      <c r="AE984" s="99"/>
      <c r="AF984" s="99"/>
      <c r="AG984" s="99"/>
      <c r="AH984" s="99"/>
      <c r="AI984" s="99"/>
      <c r="AJ984" s="99"/>
      <c r="AK984" s="99"/>
      <c r="AL984" s="99"/>
      <c r="AM984" s="99"/>
    </row>
    <row r="985" ht="12.75" customHeight="1">
      <c r="A985" s="110" t="s">
        <v>68</v>
      </c>
      <c r="D985" s="145" t="s">
        <v>69</v>
      </c>
      <c r="G985" s="104"/>
      <c r="H985" s="133"/>
      <c r="I985" s="104"/>
      <c r="J985" s="134">
        <f t="shared" ref="J985:K985" si="969">SUM(J987:J991)</f>
        <v>190740000</v>
      </c>
      <c r="K985" s="46">
        <f t="shared" si="969"/>
        <v>0</v>
      </c>
      <c r="L985" s="105"/>
      <c r="M985" s="106"/>
      <c r="N985" s="105"/>
      <c r="O985" s="46">
        <f t="shared" ref="O985:P985" si="970">SUM(O987:O991)</f>
        <v>190740000</v>
      </c>
      <c r="P985" s="46">
        <f t="shared" si="970"/>
        <v>190740000</v>
      </c>
      <c r="Q985" s="46">
        <v>1.9074E8</v>
      </c>
      <c r="R985" s="101"/>
      <c r="S985" s="101"/>
      <c r="T985" s="99"/>
      <c r="U985" s="99"/>
      <c r="V985" s="99"/>
      <c r="W985" s="99"/>
      <c r="X985" s="99"/>
      <c r="Y985" s="99"/>
      <c r="Z985" s="99"/>
      <c r="AA985" s="99"/>
      <c r="AB985" s="99"/>
      <c r="AC985" s="99"/>
      <c r="AD985" s="99"/>
      <c r="AE985" s="99"/>
      <c r="AF985" s="99"/>
      <c r="AG985" s="99"/>
      <c r="AH985" s="99"/>
      <c r="AI985" s="99"/>
      <c r="AJ985" s="99"/>
      <c r="AK985" s="99"/>
      <c r="AL985" s="99"/>
      <c r="AM985" s="99"/>
    </row>
    <row r="986" ht="12.75" customHeight="1">
      <c r="A986" s="104"/>
      <c r="B986" s="104"/>
      <c r="C986" s="104"/>
      <c r="D986" s="110" t="s">
        <v>23</v>
      </c>
      <c r="G986" s="104"/>
      <c r="H986" s="104"/>
      <c r="I986" s="104"/>
      <c r="J986" s="111"/>
      <c r="K986" s="111"/>
      <c r="L986" s="105"/>
      <c r="M986" s="106"/>
      <c r="N986" s="105"/>
      <c r="O986" s="111"/>
      <c r="P986" s="111"/>
      <c r="Q986" s="111"/>
      <c r="R986" s="101"/>
      <c r="S986" s="101"/>
      <c r="T986" s="99"/>
      <c r="U986" s="99"/>
      <c r="V986" s="99"/>
      <c r="W986" s="99"/>
      <c r="X986" s="99"/>
      <c r="Y986" s="99"/>
      <c r="Z986" s="99"/>
      <c r="AA986" s="99"/>
      <c r="AB986" s="99"/>
      <c r="AC986" s="99"/>
      <c r="AD986" s="99"/>
      <c r="AE986" s="99"/>
      <c r="AF986" s="99"/>
      <c r="AG986" s="99"/>
      <c r="AH986" s="99"/>
      <c r="AI986" s="99"/>
      <c r="AJ986" s="99"/>
      <c r="AK986" s="99"/>
      <c r="AL986" s="99"/>
      <c r="AM986" s="99"/>
    </row>
    <row r="987" ht="12.75" customHeight="1">
      <c r="A987" s="104"/>
      <c r="B987" s="104"/>
      <c r="C987" s="104"/>
      <c r="D987" s="110" t="s">
        <v>24</v>
      </c>
      <c r="E987" s="110" t="s">
        <v>128</v>
      </c>
      <c r="G987" s="136">
        <v>88.0</v>
      </c>
      <c r="H987" s="136" t="s">
        <v>233</v>
      </c>
      <c r="I987" s="137">
        <v>110000.0</v>
      </c>
      <c r="J987" s="46">
        <f t="shared" ref="J987:J991" si="971">G987*I987</f>
        <v>9680000</v>
      </c>
      <c r="K987" s="46"/>
      <c r="L987" s="105"/>
      <c r="M987" s="106"/>
      <c r="N987" s="105"/>
      <c r="O987" s="46">
        <f t="shared" ref="O987:O991" si="972">J987-K987</f>
        <v>9680000</v>
      </c>
      <c r="P987" s="46">
        <f t="shared" ref="P987:P991" si="973">J987-M987</f>
        <v>9680000</v>
      </c>
      <c r="Q987" s="46">
        <v>9680000.0</v>
      </c>
      <c r="R987" s="101"/>
      <c r="S987" s="101"/>
      <c r="T987" s="99"/>
      <c r="U987" s="99"/>
      <c r="V987" s="99"/>
      <c r="W987" s="99"/>
      <c r="X987" s="99"/>
      <c r="Y987" s="99"/>
      <c r="Z987" s="99"/>
      <c r="AA987" s="99"/>
      <c r="AB987" s="99"/>
      <c r="AC987" s="99"/>
      <c r="AD987" s="99"/>
      <c r="AE987" s="99"/>
      <c r="AF987" s="99"/>
      <c r="AG987" s="99"/>
      <c r="AH987" s="99"/>
      <c r="AI987" s="99"/>
      <c r="AJ987" s="99"/>
      <c r="AK987" s="99"/>
      <c r="AL987" s="99"/>
      <c r="AM987" s="99"/>
    </row>
    <row r="988" ht="12.75" customHeight="1">
      <c r="A988" s="104"/>
      <c r="B988" s="104"/>
      <c r="C988" s="104"/>
      <c r="D988" s="110" t="s">
        <v>24</v>
      </c>
      <c r="E988" s="110" t="s">
        <v>130</v>
      </c>
      <c r="G988" s="136">
        <v>88.0</v>
      </c>
      <c r="H988" s="136" t="s">
        <v>233</v>
      </c>
      <c r="I988" s="137">
        <v>120000.0</v>
      </c>
      <c r="J988" s="46">
        <f t="shared" si="971"/>
        <v>10560000</v>
      </c>
      <c r="K988" s="46"/>
      <c r="L988" s="105"/>
      <c r="M988" s="106"/>
      <c r="N988" s="105"/>
      <c r="O988" s="46">
        <f t="shared" si="972"/>
        <v>10560000</v>
      </c>
      <c r="P988" s="46">
        <f t="shared" si="973"/>
        <v>10560000</v>
      </c>
      <c r="Q988" s="46">
        <v>1.056E7</v>
      </c>
      <c r="R988" s="101"/>
      <c r="S988" s="101"/>
      <c r="T988" s="99"/>
      <c r="U988" s="99"/>
      <c r="V988" s="99"/>
      <c r="W988" s="99"/>
      <c r="X988" s="99"/>
      <c r="Y988" s="99"/>
      <c r="Z988" s="99"/>
      <c r="AA988" s="99"/>
      <c r="AB988" s="99"/>
      <c r="AC988" s="99"/>
      <c r="AD988" s="99"/>
      <c r="AE988" s="99"/>
      <c r="AF988" s="99"/>
      <c r="AG988" s="99"/>
      <c r="AH988" s="99"/>
      <c r="AI988" s="99"/>
      <c r="AJ988" s="99"/>
      <c r="AK988" s="99"/>
      <c r="AL988" s="99"/>
      <c r="AM988" s="99"/>
    </row>
    <row r="989" ht="12.75" customHeight="1">
      <c r="A989" s="104"/>
      <c r="B989" s="104"/>
      <c r="C989" s="104"/>
      <c r="D989" s="110" t="s">
        <v>24</v>
      </c>
      <c r="E989" s="110" t="s">
        <v>131</v>
      </c>
      <c r="G989" s="136">
        <v>88.0</v>
      </c>
      <c r="H989" s="136" t="s">
        <v>233</v>
      </c>
      <c r="I989" s="137">
        <v>350000.0</v>
      </c>
      <c r="J989" s="46">
        <f t="shared" si="971"/>
        <v>30800000</v>
      </c>
      <c r="K989" s="46"/>
      <c r="L989" s="105"/>
      <c r="M989" s="106"/>
      <c r="N989" s="105"/>
      <c r="O989" s="46">
        <f t="shared" si="972"/>
        <v>30800000</v>
      </c>
      <c r="P989" s="46">
        <f t="shared" si="973"/>
        <v>30800000</v>
      </c>
      <c r="Q989" s="46">
        <v>3.08E7</v>
      </c>
      <c r="R989" s="101"/>
      <c r="S989" s="101"/>
      <c r="T989" s="99"/>
      <c r="U989" s="99"/>
      <c r="V989" s="99"/>
      <c r="W989" s="99"/>
      <c r="X989" s="99"/>
      <c r="Y989" s="99"/>
      <c r="Z989" s="99"/>
      <c r="AA989" s="99"/>
      <c r="AB989" s="99"/>
      <c r="AC989" s="99"/>
      <c r="AD989" s="99"/>
      <c r="AE989" s="99"/>
      <c r="AF989" s="99"/>
      <c r="AG989" s="99"/>
      <c r="AH989" s="99"/>
      <c r="AI989" s="99"/>
      <c r="AJ989" s="99"/>
      <c r="AK989" s="99"/>
      <c r="AL989" s="99"/>
      <c r="AM989" s="99"/>
    </row>
    <row r="990" ht="12.75" customHeight="1">
      <c r="A990" s="104"/>
      <c r="B990" s="104"/>
      <c r="C990" s="104"/>
      <c r="D990" s="110" t="s">
        <v>24</v>
      </c>
      <c r="E990" s="110" t="s">
        <v>132</v>
      </c>
      <c r="G990" s="136">
        <v>44.0</v>
      </c>
      <c r="H990" s="136" t="s">
        <v>233</v>
      </c>
      <c r="I990" s="137">
        <v>175000.0</v>
      </c>
      <c r="J990" s="46">
        <f t="shared" si="971"/>
        <v>7700000</v>
      </c>
      <c r="K990" s="46"/>
      <c r="L990" s="105"/>
      <c r="M990" s="106"/>
      <c r="N990" s="105"/>
      <c r="O990" s="46">
        <f t="shared" si="972"/>
        <v>7700000</v>
      </c>
      <c r="P990" s="46">
        <f t="shared" si="973"/>
        <v>7700000</v>
      </c>
      <c r="Q990" s="46">
        <v>7700000.0</v>
      </c>
      <c r="R990" s="101"/>
      <c r="S990" s="101"/>
      <c r="T990" s="99"/>
      <c r="U990" s="99"/>
      <c r="V990" s="99"/>
      <c r="W990" s="99"/>
      <c r="X990" s="99"/>
      <c r="Y990" s="99"/>
      <c r="Z990" s="99"/>
      <c r="AA990" s="99"/>
      <c r="AB990" s="99"/>
      <c r="AC990" s="99"/>
      <c r="AD990" s="99"/>
      <c r="AE990" s="99"/>
      <c r="AF990" s="99"/>
      <c r="AG990" s="99"/>
      <c r="AH990" s="99"/>
      <c r="AI990" s="99"/>
      <c r="AJ990" s="99"/>
      <c r="AK990" s="99"/>
      <c r="AL990" s="99"/>
      <c r="AM990" s="99"/>
    </row>
    <row r="991" ht="15.75" customHeight="1">
      <c r="A991" s="104"/>
      <c r="B991" s="104"/>
      <c r="C991" s="104"/>
      <c r="D991" s="110" t="s">
        <v>24</v>
      </c>
      <c r="E991" s="110" t="s">
        <v>133</v>
      </c>
      <c r="G991" s="136">
        <v>528.0</v>
      </c>
      <c r="H991" s="136" t="s">
        <v>233</v>
      </c>
      <c r="I991" s="137">
        <v>250000.0</v>
      </c>
      <c r="J991" s="46">
        <f t="shared" si="971"/>
        <v>132000000</v>
      </c>
      <c r="K991" s="46"/>
      <c r="L991" s="105"/>
      <c r="M991" s="106"/>
      <c r="N991" s="105"/>
      <c r="O991" s="46">
        <f t="shared" si="972"/>
        <v>132000000</v>
      </c>
      <c r="P991" s="46">
        <f t="shared" si="973"/>
        <v>132000000</v>
      </c>
      <c r="Q991" s="46">
        <v>1.32E8</v>
      </c>
      <c r="R991" s="101"/>
      <c r="S991" s="101"/>
      <c r="T991" s="99"/>
      <c r="U991" s="99"/>
      <c r="V991" s="99"/>
      <c r="W991" s="99"/>
      <c r="X991" s="99"/>
      <c r="Y991" s="99"/>
      <c r="Z991" s="99"/>
      <c r="AA991" s="99"/>
      <c r="AB991" s="99"/>
      <c r="AC991" s="99"/>
      <c r="AD991" s="99"/>
      <c r="AE991" s="99"/>
      <c r="AF991" s="99"/>
      <c r="AG991" s="99"/>
      <c r="AH991" s="99"/>
      <c r="AI991" s="99"/>
      <c r="AJ991" s="99"/>
      <c r="AK991" s="99"/>
      <c r="AL991" s="99"/>
      <c r="AM991" s="99"/>
    </row>
    <row r="992" ht="12.75" customHeight="1">
      <c r="A992" s="144" t="s">
        <v>134</v>
      </c>
      <c r="D992" s="144" t="s">
        <v>135</v>
      </c>
      <c r="G992" s="104"/>
      <c r="H992" s="128"/>
      <c r="I992" s="104"/>
      <c r="J992" s="129">
        <f t="shared" ref="J992:K992" si="974">J993</f>
        <v>20020000</v>
      </c>
      <c r="K992" s="43">
        <f t="shared" si="974"/>
        <v>0</v>
      </c>
      <c r="L992" s="105"/>
      <c r="M992" s="106"/>
      <c r="N992" s="105"/>
      <c r="O992" s="43">
        <f t="shared" ref="O992:P992" si="975">O993</f>
        <v>20020000</v>
      </c>
      <c r="P992" s="43">
        <f t="shared" si="975"/>
        <v>20020000</v>
      </c>
      <c r="Q992" s="43">
        <v>2.002E7</v>
      </c>
      <c r="R992" s="101"/>
      <c r="S992" s="101"/>
      <c r="T992" s="99"/>
      <c r="U992" s="99"/>
      <c r="V992" s="99"/>
      <c r="W992" s="99"/>
      <c r="X992" s="99"/>
      <c r="Y992" s="99"/>
      <c r="Z992" s="99"/>
      <c r="AA992" s="99"/>
      <c r="AB992" s="99"/>
      <c r="AC992" s="99"/>
      <c r="AD992" s="99"/>
      <c r="AE992" s="99"/>
      <c r="AF992" s="99"/>
      <c r="AG992" s="99"/>
      <c r="AH992" s="99"/>
      <c r="AI992" s="99"/>
      <c r="AJ992" s="99"/>
      <c r="AK992" s="99"/>
      <c r="AL992" s="99"/>
      <c r="AM992" s="99"/>
    </row>
    <row r="993" ht="12.75" customHeight="1">
      <c r="A993" s="110" t="s">
        <v>68</v>
      </c>
      <c r="D993" s="145" t="s">
        <v>69</v>
      </c>
      <c r="G993" s="104"/>
      <c r="H993" s="133"/>
      <c r="I993" s="104"/>
      <c r="J993" s="134">
        <f t="shared" ref="J993:K993" si="976">SUM(J995:J999)</f>
        <v>20020000</v>
      </c>
      <c r="K993" s="46">
        <f t="shared" si="976"/>
        <v>0</v>
      </c>
      <c r="L993" s="105"/>
      <c r="M993" s="106"/>
      <c r="N993" s="105"/>
      <c r="O993" s="46">
        <f t="shared" ref="O993:P993" si="977">SUM(O995:O999)</f>
        <v>20020000</v>
      </c>
      <c r="P993" s="46">
        <f t="shared" si="977"/>
        <v>20020000</v>
      </c>
      <c r="Q993" s="46">
        <v>2.002E7</v>
      </c>
      <c r="R993" s="101"/>
      <c r="S993" s="101"/>
      <c r="T993" s="99"/>
      <c r="U993" s="99"/>
      <c r="V993" s="99"/>
      <c r="W993" s="99"/>
      <c r="X993" s="99"/>
      <c r="Y993" s="99"/>
      <c r="Z993" s="99"/>
      <c r="AA993" s="99"/>
      <c r="AB993" s="99"/>
      <c r="AC993" s="99"/>
      <c r="AD993" s="99"/>
      <c r="AE993" s="99"/>
      <c r="AF993" s="99"/>
      <c r="AG993" s="99"/>
      <c r="AH993" s="99"/>
      <c r="AI993" s="99"/>
      <c r="AJ993" s="99"/>
      <c r="AK993" s="99"/>
      <c r="AL993" s="99"/>
      <c r="AM993" s="99"/>
    </row>
    <row r="994" ht="12.75" customHeight="1">
      <c r="A994" s="104"/>
      <c r="B994" s="104"/>
      <c r="C994" s="104"/>
      <c r="D994" s="110" t="s">
        <v>23</v>
      </c>
      <c r="G994" s="104"/>
      <c r="H994" s="104"/>
      <c r="I994" s="104"/>
      <c r="J994" s="111"/>
      <c r="K994" s="111"/>
      <c r="L994" s="105"/>
      <c r="M994" s="106"/>
      <c r="N994" s="105"/>
      <c r="O994" s="111"/>
      <c r="P994" s="111"/>
      <c r="Q994" s="111"/>
      <c r="R994" s="101"/>
      <c r="S994" s="101"/>
      <c r="T994" s="99"/>
      <c r="U994" s="99"/>
      <c r="V994" s="99"/>
      <c r="W994" s="99"/>
      <c r="X994" s="99"/>
      <c r="Y994" s="99"/>
      <c r="Z994" s="99"/>
      <c r="AA994" s="99"/>
      <c r="AB994" s="99"/>
      <c r="AC994" s="99"/>
      <c r="AD994" s="99"/>
      <c r="AE994" s="99"/>
      <c r="AF994" s="99"/>
      <c r="AG994" s="99"/>
      <c r="AH994" s="99"/>
      <c r="AI994" s="99"/>
      <c r="AJ994" s="99"/>
      <c r="AK994" s="99"/>
      <c r="AL994" s="99"/>
      <c r="AM994" s="99"/>
    </row>
    <row r="995" ht="12.75" customHeight="1">
      <c r="A995" s="104"/>
      <c r="B995" s="104"/>
      <c r="C995" s="104"/>
      <c r="D995" s="110" t="s">
        <v>24</v>
      </c>
      <c r="E995" s="110" t="s">
        <v>183</v>
      </c>
      <c r="G995" s="136">
        <v>150.0</v>
      </c>
      <c r="H995" s="136" t="s">
        <v>95</v>
      </c>
      <c r="I995" s="137">
        <v>75000.0</v>
      </c>
      <c r="J995" s="46">
        <f t="shared" ref="J995:J999" si="978">G995*I995</f>
        <v>11250000</v>
      </c>
      <c r="K995" s="46"/>
      <c r="L995" s="105"/>
      <c r="M995" s="106"/>
      <c r="N995" s="105"/>
      <c r="O995" s="46">
        <f t="shared" ref="O995:O999" si="979">J995-K995</f>
        <v>11250000</v>
      </c>
      <c r="P995" s="46">
        <f t="shared" ref="P995:P999" si="980">J995-M995</f>
        <v>11250000</v>
      </c>
      <c r="Q995" s="46">
        <v>1.125E7</v>
      </c>
      <c r="R995" s="101"/>
      <c r="S995" s="101"/>
      <c r="T995" s="99"/>
      <c r="U995" s="99"/>
      <c r="V995" s="99"/>
      <c r="W995" s="99"/>
      <c r="X995" s="99"/>
      <c r="Y995" s="99"/>
      <c r="Z995" s="99"/>
      <c r="AA995" s="99"/>
      <c r="AB995" s="99"/>
      <c r="AC995" s="99"/>
      <c r="AD995" s="99"/>
      <c r="AE995" s="99"/>
      <c r="AF995" s="99"/>
      <c r="AG995" s="99"/>
      <c r="AH995" s="99"/>
      <c r="AI995" s="99"/>
      <c r="AJ995" s="99"/>
      <c r="AK995" s="99"/>
      <c r="AL995" s="99"/>
      <c r="AM995" s="99"/>
    </row>
    <row r="996" ht="12.75" customHeight="1">
      <c r="A996" s="104"/>
      <c r="B996" s="104"/>
      <c r="C996" s="104"/>
      <c r="D996" s="110" t="s">
        <v>24</v>
      </c>
      <c r="E996" s="110" t="s">
        <v>137</v>
      </c>
      <c r="G996" s="136">
        <v>2.0</v>
      </c>
      <c r="H996" s="136" t="s">
        <v>95</v>
      </c>
      <c r="I996" s="137">
        <v>360000.0</v>
      </c>
      <c r="J996" s="46">
        <f t="shared" si="978"/>
        <v>720000</v>
      </c>
      <c r="K996" s="46"/>
      <c r="L996" s="105"/>
      <c r="M996" s="106"/>
      <c r="N996" s="105"/>
      <c r="O996" s="46">
        <f t="shared" si="979"/>
        <v>720000</v>
      </c>
      <c r="P996" s="46">
        <f t="shared" si="980"/>
        <v>720000</v>
      </c>
      <c r="Q996" s="46">
        <v>720000.0</v>
      </c>
      <c r="R996" s="101"/>
      <c r="S996" s="101"/>
      <c r="T996" s="99"/>
      <c r="U996" s="99"/>
      <c r="V996" s="99"/>
      <c r="W996" s="99"/>
      <c r="X996" s="99"/>
      <c r="Y996" s="99"/>
      <c r="Z996" s="99"/>
      <c r="AA996" s="99"/>
      <c r="AB996" s="99"/>
      <c r="AC996" s="99"/>
      <c r="AD996" s="99"/>
      <c r="AE996" s="99"/>
      <c r="AF996" s="99"/>
      <c r="AG996" s="99"/>
      <c r="AH996" s="99"/>
      <c r="AI996" s="99"/>
      <c r="AJ996" s="99"/>
      <c r="AK996" s="99"/>
      <c r="AL996" s="99"/>
      <c r="AM996" s="99"/>
    </row>
    <row r="997" ht="15.75" customHeight="1">
      <c r="A997" s="104"/>
      <c r="B997" s="104"/>
      <c r="C997" s="104"/>
      <c r="D997" s="110" t="s">
        <v>24</v>
      </c>
      <c r="E997" s="110" t="s">
        <v>184</v>
      </c>
      <c r="G997" s="136">
        <v>50.0</v>
      </c>
      <c r="H997" s="136" t="s">
        <v>95</v>
      </c>
      <c r="I997" s="137">
        <v>93000.0</v>
      </c>
      <c r="J997" s="46">
        <f t="shared" si="978"/>
        <v>4650000</v>
      </c>
      <c r="K997" s="46"/>
      <c r="L997" s="105"/>
      <c r="M997" s="106"/>
      <c r="N997" s="105"/>
      <c r="O997" s="46">
        <f t="shared" si="979"/>
        <v>4650000</v>
      </c>
      <c r="P997" s="46">
        <f t="shared" si="980"/>
        <v>4650000</v>
      </c>
      <c r="Q997" s="46">
        <v>4650000.0</v>
      </c>
      <c r="R997" s="101"/>
      <c r="S997" s="101"/>
      <c r="T997" s="99"/>
      <c r="U997" s="99"/>
      <c r="V997" s="99"/>
      <c r="W997" s="99"/>
      <c r="X997" s="99"/>
      <c r="Y997" s="99"/>
      <c r="Z997" s="99"/>
      <c r="AA997" s="99"/>
      <c r="AB997" s="99"/>
      <c r="AC997" s="99"/>
      <c r="AD997" s="99"/>
      <c r="AE997" s="99"/>
      <c r="AF997" s="99"/>
      <c r="AG997" s="99"/>
      <c r="AH997" s="99"/>
      <c r="AI997" s="99"/>
      <c r="AJ997" s="99"/>
      <c r="AK997" s="99"/>
      <c r="AL997" s="99"/>
      <c r="AM997" s="99"/>
    </row>
    <row r="998" ht="12.75" customHeight="1">
      <c r="A998" s="104"/>
      <c r="B998" s="104"/>
      <c r="C998" s="104"/>
      <c r="D998" s="110" t="s">
        <v>24</v>
      </c>
      <c r="E998" s="110" t="s">
        <v>185</v>
      </c>
      <c r="G998" s="136">
        <v>50.0</v>
      </c>
      <c r="H998" s="136" t="s">
        <v>95</v>
      </c>
      <c r="I998" s="137">
        <v>53000.0</v>
      </c>
      <c r="J998" s="46">
        <f t="shared" si="978"/>
        <v>2650000</v>
      </c>
      <c r="K998" s="46"/>
      <c r="L998" s="105"/>
      <c r="M998" s="106"/>
      <c r="N998" s="105"/>
      <c r="O998" s="46">
        <f t="shared" si="979"/>
        <v>2650000</v>
      </c>
      <c r="P998" s="46">
        <f t="shared" si="980"/>
        <v>2650000</v>
      </c>
      <c r="Q998" s="46">
        <v>2650000.0</v>
      </c>
      <c r="R998" s="101"/>
      <c r="S998" s="101"/>
      <c r="T998" s="99"/>
      <c r="U998" s="99"/>
      <c r="V998" s="99"/>
      <c r="W998" s="99"/>
      <c r="X998" s="99"/>
      <c r="Y998" s="99"/>
      <c r="Z998" s="99"/>
      <c r="AA998" s="99"/>
      <c r="AB998" s="99"/>
      <c r="AC998" s="99"/>
      <c r="AD998" s="99"/>
      <c r="AE998" s="99"/>
      <c r="AF998" s="99"/>
      <c r="AG998" s="99"/>
      <c r="AH998" s="99"/>
      <c r="AI998" s="99"/>
      <c r="AJ998" s="99"/>
      <c r="AK998" s="99"/>
      <c r="AL998" s="99"/>
      <c r="AM998" s="99"/>
    </row>
    <row r="999" ht="12.75" customHeight="1">
      <c r="A999" s="104"/>
      <c r="B999" s="104"/>
      <c r="C999" s="104"/>
      <c r="D999" s="110" t="s">
        <v>24</v>
      </c>
      <c r="E999" s="110" t="s">
        <v>186</v>
      </c>
      <c r="G999" s="136">
        <v>50.0</v>
      </c>
      <c r="H999" s="136" t="s">
        <v>95</v>
      </c>
      <c r="I999" s="137">
        <v>15000.0</v>
      </c>
      <c r="J999" s="46">
        <f t="shared" si="978"/>
        <v>750000</v>
      </c>
      <c r="K999" s="46"/>
      <c r="L999" s="105"/>
      <c r="M999" s="106"/>
      <c r="N999" s="105"/>
      <c r="O999" s="46">
        <f t="shared" si="979"/>
        <v>750000</v>
      </c>
      <c r="P999" s="46">
        <f t="shared" si="980"/>
        <v>750000</v>
      </c>
      <c r="Q999" s="46">
        <v>750000.0</v>
      </c>
      <c r="R999" s="101"/>
      <c r="S999" s="101"/>
      <c r="T999" s="99"/>
      <c r="U999" s="99"/>
      <c r="V999" s="99"/>
      <c r="W999" s="99"/>
      <c r="X999" s="99"/>
      <c r="Y999" s="99"/>
      <c r="Z999" s="99"/>
      <c r="AA999" s="99"/>
      <c r="AB999" s="99"/>
      <c r="AC999" s="99"/>
      <c r="AD999" s="99"/>
      <c r="AE999" s="99"/>
      <c r="AF999" s="99"/>
      <c r="AG999" s="99"/>
      <c r="AH999" s="99"/>
      <c r="AI999" s="99"/>
      <c r="AJ999" s="99"/>
      <c r="AK999" s="99"/>
      <c r="AL999" s="99"/>
      <c r="AM999" s="99"/>
    </row>
    <row r="1000" ht="12.75" customHeight="1">
      <c r="A1000" s="144" t="s">
        <v>141</v>
      </c>
      <c r="D1000" s="144" t="s">
        <v>142</v>
      </c>
      <c r="G1000" s="104"/>
      <c r="H1000" s="128"/>
      <c r="I1000" s="104"/>
      <c r="J1000" s="129">
        <f t="shared" ref="J1000:K1000" si="981">J1001</f>
        <v>145500000</v>
      </c>
      <c r="K1000" s="43">
        <f t="shared" si="981"/>
        <v>0</v>
      </c>
      <c r="L1000" s="105"/>
      <c r="M1000" s="106"/>
      <c r="N1000" s="105"/>
      <c r="O1000" s="43">
        <f t="shared" ref="O1000:P1000" si="982">O1001</f>
        <v>145500000</v>
      </c>
      <c r="P1000" s="43">
        <f t="shared" si="982"/>
        <v>145500000</v>
      </c>
      <c r="Q1000" s="43">
        <v>1.455E8</v>
      </c>
      <c r="R1000" s="101"/>
      <c r="S1000" s="101"/>
      <c r="T1000" s="99"/>
      <c r="U1000" s="99"/>
      <c r="V1000" s="99"/>
      <c r="W1000" s="99"/>
      <c r="X1000" s="99"/>
      <c r="Y1000" s="99"/>
      <c r="Z1000" s="99"/>
      <c r="AA1000" s="99"/>
      <c r="AB1000" s="99"/>
      <c r="AC1000" s="99"/>
      <c r="AD1000" s="99"/>
      <c r="AE1000" s="99"/>
      <c r="AF1000" s="99"/>
      <c r="AG1000" s="99"/>
      <c r="AH1000" s="99"/>
      <c r="AI1000" s="99"/>
      <c r="AJ1000" s="99"/>
      <c r="AK1000" s="99"/>
      <c r="AL1000" s="99"/>
      <c r="AM1000" s="99"/>
    </row>
    <row r="1001" ht="12.75" customHeight="1">
      <c r="A1001" s="110" t="s">
        <v>68</v>
      </c>
      <c r="D1001" s="145" t="s">
        <v>69</v>
      </c>
      <c r="G1001" s="104"/>
      <c r="H1001" s="133"/>
      <c r="I1001" s="104"/>
      <c r="J1001" s="134">
        <f t="shared" ref="J1001:K1001" si="983">SUM(J1003:J1005)</f>
        <v>145500000</v>
      </c>
      <c r="K1001" s="46">
        <f t="shared" si="983"/>
        <v>0</v>
      </c>
      <c r="L1001" s="105"/>
      <c r="M1001" s="106"/>
      <c r="N1001" s="105"/>
      <c r="O1001" s="46">
        <f t="shared" ref="O1001:P1001" si="984">SUM(O1003:O1005)</f>
        <v>145500000</v>
      </c>
      <c r="P1001" s="46">
        <f t="shared" si="984"/>
        <v>145500000</v>
      </c>
      <c r="Q1001" s="46">
        <v>1.455E8</v>
      </c>
      <c r="R1001" s="101"/>
      <c r="S1001" s="101"/>
      <c r="T1001" s="99"/>
      <c r="U1001" s="99"/>
      <c r="V1001" s="99"/>
      <c r="W1001" s="99"/>
      <c r="X1001" s="99"/>
      <c r="Y1001" s="99"/>
      <c r="Z1001" s="99"/>
      <c r="AA1001" s="99"/>
      <c r="AB1001" s="99"/>
      <c r="AC1001" s="99"/>
      <c r="AD1001" s="99"/>
      <c r="AE1001" s="99"/>
      <c r="AF1001" s="99"/>
      <c r="AG1001" s="99"/>
      <c r="AH1001" s="99"/>
      <c r="AI1001" s="99"/>
      <c r="AJ1001" s="99"/>
      <c r="AK1001" s="99"/>
      <c r="AL1001" s="99"/>
      <c r="AM1001" s="99"/>
    </row>
    <row r="1002" ht="12.75" customHeight="1">
      <c r="A1002" s="104"/>
      <c r="B1002" s="104"/>
      <c r="C1002" s="104"/>
      <c r="D1002" s="110" t="s">
        <v>23</v>
      </c>
      <c r="G1002" s="104"/>
      <c r="H1002" s="104"/>
      <c r="I1002" s="104"/>
      <c r="J1002" s="111"/>
      <c r="K1002" s="111"/>
      <c r="L1002" s="105"/>
      <c r="M1002" s="106"/>
      <c r="N1002" s="105"/>
      <c r="O1002" s="111"/>
      <c r="P1002" s="111"/>
      <c r="Q1002" s="111"/>
      <c r="R1002" s="101"/>
      <c r="S1002" s="101"/>
      <c r="T1002" s="99"/>
      <c r="U1002" s="99"/>
      <c r="V1002" s="99"/>
      <c r="W1002" s="99"/>
      <c r="X1002" s="99"/>
      <c r="Y1002" s="99"/>
      <c r="Z1002" s="99"/>
      <c r="AA1002" s="99"/>
      <c r="AB1002" s="99"/>
      <c r="AC1002" s="99"/>
      <c r="AD1002" s="99"/>
      <c r="AE1002" s="99"/>
      <c r="AF1002" s="99"/>
      <c r="AG1002" s="99"/>
      <c r="AH1002" s="99"/>
      <c r="AI1002" s="99"/>
      <c r="AJ1002" s="99"/>
      <c r="AK1002" s="99"/>
      <c r="AL1002" s="99"/>
      <c r="AM1002" s="99"/>
    </row>
    <row r="1003" ht="15.75" customHeight="1">
      <c r="A1003" s="104"/>
      <c r="B1003" s="104"/>
      <c r="C1003" s="104"/>
      <c r="D1003" s="110" t="s">
        <v>24</v>
      </c>
      <c r="E1003" s="110" t="s">
        <v>187</v>
      </c>
      <c r="G1003" s="136">
        <v>50.0</v>
      </c>
      <c r="H1003" s="136" t="s">
        <v>95</v>
      </c>
      <c r="I1003" s="137">
        <v>2000000.0</v>
      </c>
      <c r="J1003" s="46">
        <f t="shared" ref="J1003:J1005" si="985">G1003*I1003</f>
        <v>100000000</v>
      </c>
      <c r="K1003" s="46"/>
      <c r="L1003" s="105"/>
      <c r="M1003" s="106"/>
      <c r="N1003" s="105"/>
      <c r="O1003" s="46">
        <f t="shared" ref="O1003:O1005" si="986">J1003-K1003</f>
        <v>100000000</v>
      </c>
      <c r="P1003" s="46">
        <f t="shared" ref="P1003:P1005" si="987">J1003-M1003</f>
        <v>100000000</v>
      </c>
      <c r="Q1003" s="46">
        <v>1.0E8</v>
      </c>
      <c r="R1003" s="101"/>
      <c r="S1003" s="101"/>
      <c r="T1003" s="99"/>
      <c r="U1003" s="99"/>
      <c r="V1003" s="99"/>
      <c r="W1003" s="99"/>
      <c r="X1003" s="99"/>
      <c r="Y1003" s="99"/>
      <c r="Z1003" s="99"/>
      <c r="AA1003" s="99"/>
      <c r="AB1003" s="99"/>
      <c r="AC1003" s="99"/>
      <c r="AD1003" s="99"/>
      <c r="AE1003" s="99"/>
      <c r="AF1003" s="99"/>
      <c r="AG1003" s="99"/>
      <c r="AH1003" s="99"/>
      <c r="AI1003" s="99"/>
      <c r="AJ1003" s="99"/>
      <c r="AK1003" s="99"/>
      <c r="AL1003" s="99"/>
      <c r="AM1003" s="99"/>
    </row>
    <row r="1004" ht="15.75" customHeight="1">
      <c r="A1004" s="104"/>
      <c r="B1004" s="104"/>
      <c r="C1004" s="104"/>
      <c r="D1004" s="110" t="s">
        <v>24</v>
      </c>
      <c r="E1004" s="110" t="s">
        <v>188</v>
      </c>
      <c r="G1004" s="136">
        <v>50.0</v>
      </c>
      <c r="H1004" s="136" t="s">
        <v>95</v>
      </c>
      <c r="I1004" s="137">
        <v>750000.0</v>
      </c>
      <c r="J1004" s="46">
        <f t="shared" si="985"/>
        <v>37500000</v>
      </c>
      <c r="K1004" s="46"/>
      <c r="L1004" s="105"/>
      <c r="M1004" s="106"/>
      <c r="N1004" s="105"/>
      <c r="O1004" s="46">
        <f t="shared" si="986"/>
        <v>37500000</v>
      </c>
      <c r="P1004" s="46">
        <f t="shared" si="987"/>
        <v>37500000</v>
      </c>
      <c r="Q1004" s="46">
        <v>3.75E7</v>
      </c>
      <c r="R1004" s="101"/>
      <c r="S1004" s="101"/>
      <c r="T1004" s="99"/>
      <c r="U1004" s="99"/>
      <c r="V1004" s="99"/>
      <c r="W1004" s="99"/>
      <c r="X1004" s="99"/>
      <c r="Y1004" s="99"/>
      <c r="Z1004" s="99"/>
      <c r="AA1004" s="99"/>
      <c r="AB1004" s="99"/>
      <c r="AC1004" s="99"/>
      <c r="AD1004" s="99"/>
      <c r="AE1004" s="99"/>
      <c r="AF1004" s="99"/>
      <c r="AG1004" s="99"/>
      <c r="AH1004" s="99"/>
      <c r="AI1004" s="99"/>
      <c r="AJ1004" s="99"/>
      <c r="AK1004" s="99"/>
      <c r="AL1004" s="99"/>
      <c r="AM1004" s="99"/>
    </row>
    <row r="1005" ht="15.75" customHeight="1">
      <c r="A1005" s="104"/>
      <c r="B1005" s="104"/>
      <c r="C1005" s="104"/>
      <c r="D1005" s="110" t="s">
        <v>24</v>
      </c>
      <c r="E1005" s="110" t="s">
        <v>145</v>
      </c>
      <c r="G1005" s="136">
        <v>4.0</v>
      </c>
      <c r="H1005" s="136" t="s">
        <v>95</v>
      </c>
      <c r="I1005" s="137">
        <v>2000000.0</v>
      </c>
      <c r="J1005" s="46">
        <f t="shared" si="985"/>
        <v>8000000</v>
      </c>
      <c r="K1005" s="46"/>
      <c r="L1005" s="105"/>
      <c r="M1005" s="106"/>
      <c r="N1005" s="105"/>
      <c r="O1005" s="46">
        <f t="shared" si="986"/>
        <v>8000000</v>
      </c>
      <c r="P1005" s="46">
        <f t="shared" si="987"/>
        <v>8000000</v>
      </c>
      <c r="Q1005" s="46">
        <v>8000000.0</v>
      </c>
      <c r="R1005" s="101"/>
      <c r="S1005" s="101"/>
      <c r="T1005" s="99"/>
      <c r="U1005" s="99"/>
      <c r="V1005" s="99"/>
      <c r="W1005" s="99"/>
      <c r="X1005" s="99"/>
      <c r="Y1005" s="99"/>
      <c r="Z1005" s="99"/>
      <c r="AA1005" s="99"/>
      <c r="AB1005" s="99"/>
      <c r="AC1005" s="99"/>
      <c r="AD1005" s="99"/>
      <c r="AE1005" s="99"/>
      <c r="AF1005" s="99"/>
      <c r="AG1005" s="99"/>
      <c r="AH1005" s="99"/>
      <c r="AI1005" s="99"/>
      <c r="AJ1005" s="99"/>
      <c r="AK1005" s="99"/>
      <c r="AL1005" s="99"/>
      <c r="AM1005" s="99"/>
    </row>
    <row r="1006" ht="12.75" customHeight="1">
      <c r="A1006" s="144" t="s">
        <v>146</v>
      </c>
      <c r="D1006" s="144" t="s">
        <v>147</v>
      </c>
      <c r="G1006" s="104"/>
      <c r="H1006" s="128"/>
      <c r="I1006" s="104"/>
      <c r="J1006" s="129">
        <f t="shared" ref="J1006:K1006" si="988">J1007+J1014</f>
        <v>219800000</v>
      </c>
      <c r="K1006" s="43">
        <f t="shared" si="988"/>
        <v>0</v>
      </c>
      <c r="L1006" s="105"/>
      <c r="M1006" s="106"/>
      <c r="N1006" s="105"/>
      <c r="O1006" s="43">
        <f t="shared" ref="O1006:P1006" si="989">O1007+O1014</f>
        <v>219800000</v>
      </c>
      <c r="P1006" s="43">
        <f t="shared" si="989"/>
        <v>213500000</v>
      </c>
      <c r="Q1006" s="43">
        <v>2.198E8</v>
      </c>
      <c r="R1006" s="101"/>
      <c r="S1006" s="101"/>
      <c r="T1006" s="99"/>
      <c r="U1006" s="99"/>
      <c r="V1006" s="99"/>
      <c r="W1006" s="99"/>
      <c r="X1006" s="99"/>
      <c r="Y1006" s="99"/>
      <c r="Z1006" s="99"/>
      <c r="AA1006" s="99"/>
      <c r="AB1006" s="99"/>
      <c r="AC1006" s="99"/>
      <c r="AD1006" s="99"/>
      <c r="AE1006" s="99"/>
      <c r="AF1006" s="99"/>
      <c r="AG1006" s="99"/>
      <c r="AH1006" s="99"/>
      <c r="AI1006" s="99"/>
      <c r="AJ1006" s="99"/>
      <c r="AK1006" s="99"/>
      <c r="AL1006" s="99"/>
      <c r="AM1006" s="99"/>
    </row>
    <row r="1007" ht="12.75" customHeight="1">
      <c r="A1007" s="110" t="s">
        <v>74</v>
      </c>
      <c r="D1007" s="145" t="s">
        <v>75</v>
      </c>
      <c r="G1007" s="104"/>
      <c r="H1007" s="133"/>
      <c r="I1007" s="104"/>
      <c r="J1007" s="134">
        <f t="shared" ref="J1007:K1007" si="990">SUM(J1009:J1013)</f>
        <v>195800000</v>
      </c>
      <c r="K1007" s="46">
        <f t="shared" si="990"/>
        <v>0</v>
      </c>
      <c r="L1007" s="105"/>
      <c r="M1007" s="106"/>
      <c r="N1007" s="105"/>
      <c r="O1007" s="46">
        <f t="shared" ref="O1007:P1007" si="991">SUM(O1009:O1013)</f>
        <v>195800000</v>
      </c>
      <c r="P1007" s="46">
        <f t="shared" si="991"/>
        <v>189500000</v>
      </c>
      <c r="Q1007" s="46">
        <v>1.958E8</v>
      </c>
      <c r="R1007" s="101"/>
      <c r="S1007" s="101"/>
      <c r="T1007" s="99"/>
      <c r="U1007" s="99"/>
      <c r="V1007" s="99"/>
      <c r="W1007" s="99"/>
      <c r="X1007" s="99"/>
      <c r="Y1007" s="99"/>
      <c r="Z1007" s="99"/>
      <c r="AA1007" s="99"/>
      <c r="AB1007" s="99"/>
      <c r="AC1007" s="99"/>
      <c r="AD1007" s="99"/>
      <c r="AE1007" s="99"/>
      <c r="AF1007" s="99"/>
      <c r="AG1007" s="99"/>
      <c r="AH1007" s="99"/>
      <c r="AI1007" s="99"/>
      <c r="AJ1007" s="99"/>
      <c r="AK1007" s="99"/>
      <c r="AL1007" s="99"/>
      <c r="AM1007" s="99"/>
    </row>
    <row r="1008" ht="12.75" customHeight="1">
      <c r="A1008" s="104"/>
      <c r="B1008" s="104"/>
      <c r="C1008" s="104"/>
      <c r="D1008" s="110" t="s">
        <v>23</v>
      </c>
      <c r="G1008" s="104"/>
      <c r="H1008" s="104"/>
      <c r="I1008" s="104"/>
      <c r="J1008" s="111"/>
      <c r="K1008" s="111"/>
      <c r="L1008" s="105"/>
      <c r="M1008" s="106"/>
      <c r="N1008" s="105"/>
      <c r="O1008" s="111"/>
      <c r="P1008" s="111"/>
      <c r="Q1008" s="111"/>
      <c r="R1008" s="101"/>
      <c r="S1008" s="101"/>
      <c r="T1008" s="99"/>
      <c r="U1008" s="99"/>
      <c r="V1008" s="99"/>
      <c r="W1008" s="99"/>
      <c r="X1008" s="99"/>
      <c r="Y1008" s="99"/>
      <c r="Z1008" s="99"/>
      <c r="AA1008" s="99"/>
      <c r="AB1008" s="99"/>
      <c r="AC1008" s="99"/>
      <c r="AD1008" s="99"/>
      <c r="AE1008" s="99"/>
      <c r="AF1008" s="99"/>
      <c r="AG1008" s="99"/>
      <c r="AH1008" s="99"/>
      <c r="AI1008" s="99"/>
      <c r="AJ1008" s="99"/>
      <c r="AK1008" s="99"/>
      <c r="AL1008" s="99"/>
      <c r="AM1008" s="99"/>
    </row>
    <row r="1009" ht="12.75" customHeight="1">
      <c r="A1009" s="104"/>
      <c r="B1009" s="104"/>
      <c r="C1009" s="104"/>
      <c r="D1009" s="110" t="s">
        <v>24</v>
      </c>
      <c r="E1009" s="110" t="s">
        <v>291</v>
      </c>
      <c r="G1009" s="136">
        <v>75.0</v>
      </c>
      <c r="H1009" s="136" t="s">
        <v>95</v>
      </c>
      <c r="I1009" s="137">
        <v>430000.0</v>
      </c>
      <c r="J1009" s="46">
        <f t="shared" ref="J1009:J1013" si="992">G1009*I1009</f>
        <v>32250000</v>
      </c>
      <c r="K1009" s="46"/>
      <c r="L1009" s="105"/>
      <c r="M1009" s="106"/>
      <c r="N1009" s="105"/>
      <c r="O1009" s="46">
        <f t="shared" ref="O1009:O1013" si="993">J1009-K1009</f>
        <v>32250000</v>
      </c>
      <c r="P1009" s="46">
        <f t="shared" ref="P1009:P1013" si="994">J1009-M1009</f>
        <v>32250000</v>
      </c>
      <c r="Q1009" s="46">
        <v>3.225E7</v>
      </c>
      <c r="R1009" s="101"/>
      <c r="S1009" s="101"/>
      <c r="T1009" s="99"/>
      <c r="U1009" s="99"/>
      <c r="V1009" s="99"/>
      <c r="W1009" s="99"/>
      <c r="X1009" s="99"/>
      <c r="Y1009" s="99"/>
      <c r="Z1009" s="99"/>
      <c r="AA1009" s="99"/>
      <c r="AB1009" s="99"/>
      <c r="AC1009" s="99"/>
      <c r="AD1009" s="99"/>
      <c r="AE1009" s="99"/>
      <c r="AF1009" s="99"/>
      <c r="AG1009" s="99"/>
      <c r="AH1009" s="99"/>
      <c r="AI1009" s="99"/>
      <c r="AJ1009" s="99"/>
      <c r="AK1009" s="99"/>
      <c r="AL1009" s="99"/>
      <c r="AM1009" s="99"/>
    </row>
    <row r="1010" ht="15.75" customHeight="1">
      <c r="A1010" s="104"/>
      <c r="B1010" s="104"/>
      <c r="C1010" s="104"/>
      <c r="D1010" s="110" t="s">
        <v>24</v>
      </c>
      <c r="E1010" s="110" t="s">
        <v>292</v>
      </c>
      <c r="G1010" s="136">
        <v>50.0</v>
      </c>
      <c r="H1010" s="136" t="s">
        <v>95</v>
      </c>
      <c r="I1010" s="137">
        <v>783500.0</v>
      </c>
      <c r="J1010" s="46">
        <f t="shared" si="992"/>
        <v>39175000</v>
      </c>
      <c r="K1010" s="46"/>
      <c r="L1010" s="105"/>
      <c r="M1010" s="106"/>
      <c r="N1010" s="105"/>
      <c r="O1010" s="46">
        <f t="shared" si="993"/>
        <v>39175000</v>
      </c>
      <c r="P1010" s="46">
        <f t="shared" si="994"/>
        <v>39175000</v>
      </c>
      <c r="Q1010" s="46">
        <v>3.9175E7</v>
      </c>
      <c r="R1010" s="101"/>
      <c r="S1010" s="101"/>
      <c r="T1010" s="99"/>
      <c r="U1010" s="99"/>
      <c r="V1010" s="99"/>
      <c r="W1010" s="99"/>
      <c r="X1010" s="99"/>
      <c r="Y1010" s="99"/>
      <c r="Z1010" s="99"/>
      <c r="AA1010" s="99"/>
      <c r="AB1010" s="99"/>
      <c r="AC1010" s="99"/>
      <c r="AD1010" s="99"/>
      <c r="AE1010" s="99"/>
      <c r="AF1010" s="99"/>
      <c r="AG1010" s="99"/>
      <c r="AH1010" s="99"/>
      <c r="AI1010" s="99"/>
      <c r="AJ1010" s="99"/>
      <c r="AK1010" s="99"/>
      <c r="AL1010" s="99"/>
      <c r="AM1010" s="99"/>
    </row>
    <row r="1011" ht="12.75" customHeight="1">
      <c r="A1011" s="104"/>
      <c r="B1011" s="104"/>
      <c r="C1011" s="104"/>
      <c r="D1011" s="110" t="s">
        <v>24</v>
      </c>
      <c r="E1011" s="110" t="s">
        <v>293</v>
      </c>
      <c r="G1011" s="136">
        <v>25.0</v>
      </c>
      <c r="H1011" s="136" t="s">
        <v>95</v>
      </c>
      <c r="I1011" s="137">
        <v>875000.0</v>
      </c>
      <c r="J1011" s="46">
        <f t="shared" si="992"/>
        <v>21875000</v>
      </c>
      <c r="K1011" s="46"/>
      <c r="L1011" s="105"/>
      <c r="M1011" s="106"/>
      <c r="N1011" s="105"/>
      <c r="O1011" s="46">
        <f t="shared" si="993"/>
        <v>21875000</v>
      </c>
      <c r="P1011" s="46">
        <f t="shared" si="994"/>
        <v>21875000</v>
      </c>
      <c r="Q1011" s="46">
        <v>2.1875E7</v>
      </c>
      <c r="R1011" s="101"/>
      <c r="S1011" s="101"/>
      <c r="T1011" s="99"/>
      <c r="U1011" s="99"/>
      <c r="V1011" s="99"/>
      <c r="W1011" s="99"/>
      <c r="X1011" s="99"/>
      <c r="Y1011" s="99"/>
      <c r="Z1011" s="99"/>
      <c r="AA1011" s="99"/>
      <c r="AB1011" s="99"/>
      <c r="AC1011" s="99"/>
      <c r="AD1011" s="99"/>
      <c r="AE1011" s="99"/>
      <c r="AF1011" s="99"/>
      <c r="AG1011" s="99"/>
      <c r="AH1011" s="99"/>
      <c r="AI1011" s="99"/>
      <c r="AJ1011" s="99"/>
      <c r="AK1011" s="99"/>
      <c r="AL1011" s="99"/>
      <c r="AM1011" s="99"/>
    </row>
    <row r="1012" ht="15.75" customHeight="1">
      <c r="A1012" s="104"/>
      <c r="B1012" s="104"/>
      <c r="C1012" s="104"/>
      <c r="D1012" s="110" t="s">
        <v>24</v>
      </c>
      <c r="E1012" s="110" t="s">
        <v>294</v>
      </c>
      <c r="G1012" s="136">
        <v>100.0</v>
      </c>
      <c r="H1012" s="136" t="s">
        <v>95</v>
      </c>
      <c r="I1012" s="137">
        <v>500000.0</v>
      </c>
      <c r="J1012" s="46">
        <f t="shared" si="992"/>
        <v>50000000</v>
      </c>
      <c r="K1012" s="46"/>
      <c r="L1012" s="105"/>
      <c r="M1012" s="106"/>
      <c r="N1012" s="105"/>
      <c r="O1012" s="46">
        <f t="shared" si="993"/>
        <v>50000000</v>
      </c>
      <c r="P1012" s="46">
        <f t="shared" si="994"/>
        <v>50000000</v>
      </c>
      <c r="Q1012" s="46">
        <v>5.0E7</v>
      </c>
      <c r="R1012" s="101"/>
      <c r="S1012" s="101"/>
      <c r="T1012" s="99"/>
      <c r="U1012" s="99"/>
      <c r="V1012" s="99"/>
      <c r="W1012" s="99"/>
      <c r="X1012" s="99"/>
      <c r="Y1012" s="99"/>
      <c r="Z1012" s="99"/>
      <c r="AA1012" s="99"/>
      <c r="AB1012" s="99"/>
      <c r="AC1012" s="99"/>
      <c r="AD1012" s="99"/>
      <c r="AE1012" s="99"/>
      <c r="AF1012" s="99"/>
      <c r="AG1012" s="99"/>
      <c r="AH1012" s="99"/>
      <c r="AI1012" s="99"/>
      <c r="AJ1012" s="99"/>
      <c r="AK1012" s="99"/>
      <c r="AL1012" s="99"/>
      <c r="AM1012" s="99"/>
    </row>
    <row r="1013" ht="15.75" customHeight="1">
      <c r="A1013" s="104"/>
      <c r="B1013" s="104"/>
      <c r="C1013" s="104"/>
      <c r="D1013" s="110" t="s">
        <v>24</v>
      </c>
      <c r="E1013" s="110" t="s">
        <v>295</v>
      </c>
      <c r="G1013" s="136">
        <v>150.0</v>
      </c>
      <c r="H1013" s="136" t="s">
        <v>95</v>
      </c>
      <c r="I1013" s="137">
        <v>350000.0</v>
      </c>
      <c r="J1013" s="46">
        <f t="shared" si="992"/>
        <v>52500000</v>
      </c>
      <c r="K1013" s="46"/>
      <c r="L1013" s="105"/>
      <c r="M1013" s="138">
        <v>6300000.0</v>
      </c>
      <c r="N1013" s="105"/>
      <c r="O1013" s="46">
        <f t="shared" si="993"/>
        <v>52500000</v>
      </c>
      <c r="P1013" s="46">
        <f t="shared" si="994"/>
        <v>46200000</v>
      </c>
      <c r="Q1013" s="46">
        <v>5.25E7</v>
      </c>
      <c r="R1013" s="101"/>
      <c r="S1013" s="101"/>
      <c r="T1013" s="99"/>
      <c r="U1013" s="99"/>
      <c r="V1013" s="99"/>
      <c r="W1013" s="99"/>
      <c r="X1013" s="99"/>
      <c r="Y1013" s="99"/>
      <c r="Z1013" s="99"/>
      <c r="AA1013" s="99"/>
      <c r="AB1013" s="99"/>
      <c r="AC1013" s="99"/>
      <c r="AD1013" s="99"/>
      <c r="AE1013" s="99"/>
      <c r="AF1013" s="99"/>
      <c r="AG1013" s="99"/>
      <c r="AH1013" s="99"/>
      <c r="AI1013" s="99"/>
      <c r="AJ1013" s="99"/>
      <c r="AK1013" s="99"/>
      <c r="AL1013" s="99"/>
      <c r="AM1013" s="99"/>
    </row>
    <row r="1014" ht="12.75" customHeight="1">
      <c r="A1014" s="110" t="s">
        <v>79</v>
      </c>
      <c r="D1014" s="145" t="s">
        <v>80</v>
      </c>
      <c r="G1014" s="104"/>
      <c r="H1014" s="133"/>
      <c r="I1014" s="104"/>
      <c r="J1014" s="134">
        <f t="shared" ref="J1014:K1014" si="995">J1016</f>
        <v>24000000</v>
      </c>
      <c r="K1014" s="46" t="str">
        <f t="shared" si="995"/>
        <v/>
      </c>
      <c r="L1014" s="105"/>
      <c r="M1014" s="106"/>
      <c r="N1014" s="105"/>
      <c r="O1014" s="46">
        <f t="shared" ref="O1014:P1014" si="996">O1016</f>
        <v>24000000</v>
      </c>
      <c r="P1014" s="46">
        <f t="shared" si="996"/>
        <v>24000000</v>
      </c>
      <c r="Q1014" s="46">
        <v>2.4E7</v>
      </c>
      <c r="R1014" s="101"/>
      <c r="S1014" s="101"/>
      <c r="T1014" s="99"/>
      <c r="U1014" s="99"/>
      <c r="V1014" s="99"/>
      <c r="W1014" s="99"/>
      <c r="X1014" s="99"/>
      <c r="Y1014" s="99"/>
      <c r="Z1014" s="99"/>
      <c r="AA1014" s="99"/>
      <c r="AB1014" s="99"/>
      <c r="AC1014" s="99"/>
      <c r="AD1014" s="99"/>
      <c r="AE1014" s="99"/>
      <c r="AF1014" s="99"/>
      <c r="AG1014" s="99"/>
      <c r="AH1014" s="99"/>
      <c r="AI1014" s="99"/>
      <c r="AJ1014" s="99"/>
      <c r="AK1014" s="99"/>
      <c r="AL1014" s="99"/>
      <c r="AM1014" s="99"/>
    </row>
    <row r="1015" ht="12.75" customHeight="1">
      <c r="A1015" s="104"/>
      <c r="B1015" s="104"/>
      <c r="C1015" s="104"/>
      <c r="D1015" s="110" t="s">
        <v>23</v>
      </c>
      <c r="G1015" s="104"/>
      <c r="H1015" s="104"/>
      <c r="I1015" s="104"/>
      <c r="J1015" s="111"/>
      <c r="K1015" s="111"/>
      <c r="L1015" s="105"/>
      <c r="M1015" s="106"/>
      <c r="N1015" s="105"/>
      <c r="O1015" s="111"/>
      <c r="P1015" s="111"/>
      <c r="Q1015" s="111"/>
      <c r="R1015" s="101"/>
      <c r="S1015" s="101"/>
      <c r="T1015" s="99"/>
      <c r="U1015" s="99"/>
      <c r="V1015" s="99"/>
      <c r="W1015" s="99"/>
      <c r="X1015" s="99"/>
      <c r="Y1015" s="99"/>
      <c r="Z1015" s="99"/>
      <c r="AA1015" s="99"/>
      <c r="AB1015" s="99"/>
      <c r="AC1015" s="99"/>
      <c r="AD1015" s="99"/>
      <c r="AE1015" s="99"/>
      <c r="AF1015" s="99"/>
      <c r="AG1015" s="99"/>
      <c r="AH1015" s="99"/>
      <c r="AI1015" s="99"/>
      <c r="AJ1015" s="99"/>
      <c r="AK1015" s="99"/>
      <c r="AL1015" s="99"/>
      <c r="AM1015" s="99"/>
    </row>
    <row r="1016" ht="12.75" customHeight="1">
      <c r="A1016" s="104"/>
      <c r="B1016" s="104"/>
      <c r="C1016" s="104"/>
      <c r="D1016" s="110" t="s">
        <v>24</v>
      </c>
      <c r="E1016" s="110" t="s">
        <v>296</v>
      </c>
      <c r="G1016" s="136">
        <v>160.0</v>
      </c>
      <c r="H1016" s="136" t="s">
        <v>95</v>
      </c>
      <c r="I1016" s="137">
        <v>150000.0</v>
      </c>
      <c r="J1016" s="46">
        <f>G1016*I1016</f>
        <v>24000000</v>
      </c>
      <c r="K1016" s="46"/>
      <c r="L1016" s="105"/>
      <c r="M1016" s="106"/>
      <c r="N1016" s="105"/>
      <c r="O1016" s="46">
        <f>J1016-K1016</f>
        <v>24000000</v>
      </c>
      <c r="P1016" s="46">
        <f>J1016-M1016</f>
        <v>24000000</v>
      </c>
      <c r="Q1016" s="46">
        <v>2.4E7</v>
      </c>
      <c r="R1016" s="101"/>
      <c r="S1016" s="101"/>
      <c r="T1016" s="99"/>
      <c r="U1016" s="99"/>
      <c r="V1016" s="99"/>
      <c r="W1016" s="99"/>
      <c r="X1016" s="99"/>
      <c r="Y1016" s="99"/>
      <c r="Z1016" s="99"/>
      <c r="AA1016" s="99"/>
      <c r="AB1016" s="99"/>
      <c r="AC1016" s="99"/>
      <c r="AD1016" s="99"/>
      <c r="AE1016" s="99"/>
      <c r="AF1016" s="99"/>
      <c r="AG1016" s="99"/>
      <c r="AH1016" s="99"/>
      <c r="AI1016" s="99"/>
      <c r="AJ1016" s="99"/>
      <c r="AK1016" s="99"/>
      <c r="AL1016" s="99"/>
      <c r="AM1016" s="99"/>
    </row>
    <row r="1017" ht="15.75" customHeight="1">
      <c r="A1017" s="140" t="s">
        <v>154</v>
      </c>
      <c r="B1017" s="121"/>
      <c r="C1017" s="122"/>
      <c r="D1017" s="140" t="s">
        <v>155</v>
      </c>
      <c r="E1017" s="121"/>
      <c r="F1017" s="122"/>
      <c r="G1017" s="141" t="s">
        <v>306</v>
      </c>
      <c r="H1017" s="141" t="s">
        <v>306</v>
      </c>
      <c r="I1017" s="142"/>
      <c r="J1017" s="125">
        <f t="shared" ref="J1017:K1017" si="997">J1018+J1032+J1044+J1057+J1074+J1083+J1093+J1098+J1114+J1128+J1136+J1144+J1150</f>
        <v>3064496000</v>
      </c>
      <c r="K1017" s="84">
        <f t="shared" si="997"/>
        <v>0</v>
      </c>
      <c r="L1017" s="105"/>
      <c r="M1017" s="106"/>
      <c r="N1017" s="105"/>
      <c r="O1017" s="84">
        <f t="shared" ref="O1017:P1017" si="998">O1018+O1032+O1044+O1057+O1074+O1083+O1093+O1098+O1114+O1128+O1136+O1144+O1150</f>
        <v>3064496000</v>
      </c>
      <c r="P1017" s="84">
        <f t="shared" si="998"/>
        <v>3064496000</v>
      </c>
      <c r="Q1017" s="143">
        <v>3.064496E9</v>
      </c>
      <c r="R1017" s="101">
        <v>2.39864961E8</v>
      </c>
      <c r="S1017" s="101" t="s">
        <v>357</v>
      </c>
      <c r="T1017" s="99"/>
      <c r="U1017" s="99"/>
      <c r="V1017" s="99"/>
      <c r="W1017" s="99"/>
      <c r="X1017" s="99"/>
      <c r="Y1017" s="99"/>
      <c r="Z1017" s="99"/>
      <c r="AA1017" s="99"/>
      <c r="AB1017" s="99"/>
      <c r="AC1017" s="99"/>
      <c r="AD1017" s="99"/>
      <c r="AE1017" s="99"/>
      <c r="AF1017" s="99"/>
      <c r="AG1017" s="99"/>
      <c r="AH1017" s="99"/>
      <c r="AI1017" s="99"/>
      <c r="AJ1017" s="99"/>
      <c r="AK1017" s="99"/>
      <c r="AL1017" s="99"/>
      <c r="AM1017" s="99"/>
    </row>
    <row r="1018" ht="12.75" customHeight="1">
      <c r="A1018" s="144" t="s">
        <v>20</v>
      </c>
      <c r="D1018" s="144" t="s">
        <v>21</v>
      </c>
      <c r="G1018" s="104"/>
      <c r="H1018" s="104"/>
      <c r="I1018" s="104"/>
      <c r="J1018" s="129">
        <f t="shared" ref="J1018:K1018" si="999">J1019+J1028</f>
        <v>142640000</v>
      </c>
      <c r="K1018" s="43">
        <f t="shared" si="999"/>
        <v>0</v>
      </c>
      <c r="L1018" s="105"/>
      <c r="M1018" s="106"/>
      <c r="N1018" s="105"/>
      <c r="O1018" s="43">
        <f t="shared" ref="O1018:P1018" si="1000">O1019+O1028</f>
        <v>142640000</v>
      </c>
      <c r="P1018" s="43">
        <f t="shared" si="1000"/>
        <v>142640000</v>
      </c>
      <c r="Q1018" s="43">
        <v>1.4264E8</v>
      </c>
      <c r="R1018" s="101"/>
      <c r="S1018" s="101"/>
      <c r="T1018" s="99"/>
      <c r="U1018" s="99"/>
      <c r="V1018" s="99"/>
      <c r="W1018" s="99"/>
      <c r="X1018" s="99"/>
      <c r="Y1018" s="99"/>
      <c r="Z1018" s="99"/>
      <c r="AA1018" s="99"/>
      <c r="AB1018" s="99"/>
      <c r="AC1018" s="99"/>
      <c r="AD1018" s="99"/>
      <c r="AE1018" s="99"/>
      <c r="AF1018" s="99"/>
      <c r="AG1018" s="99"/>
      <c r="AH1018" s="99"/>
      <c r="AI1018" s="99"/>
      <c r="AJ1018" s="99"/>
      <c r="AK1018" s="99"/>
      <c r="AL1018" s="99"/>
      <c r="AM1018" s="99"/>
    </row>
    <row r="1019" ht="12.75" customHeight="1">
      <c r="A1019" s="110" t="s">
        <v>40</v>
      </c>
      <c r="D1019" s="145" t="s">
        <v>22</v>
      </c>
      <c r="G1019" s="104"/>
      <c r="H1019" s="104"/>
      <c r="I1019" s="104"/>
      <c r="J1019" s="134">
        <f t="shared" ref="J1019:K1019" si="1001">SUM(J1021:J1027)</f>
        <v>130640000</v>
      </c>
      <c r="K1019" s="46">
        <f t="shared" si="1001"/>
        <v>0</v>
      </c>
      <c r="L1019" s="105"/>
      <c r="M1019" s="106"/>
      <c r="N1019" s="105"/>
      <c r="O1019" s="46">
        <f t="shared" ref="O1019:P1019" si="1002">SUM(O1021:O1027)</f>
        <v>130640000</v>
      </c>
      <c r="P1019" s="46">
        <f t="shared" si="1002"/>
        <v>130640000</v>
      </c>
      <c r="Q1019" s="46">
        <v>1.3064E8</v>
      </c>
      <c r="R1019" s="101"/>
      <c r="S1019" s="101"/>
      <c r="T1019" s="99"/>
      <c r="U1019" s="99"/>
      <c r="V1019" s="99"/>
      <c r="W1019" s="99"/>
      <c r="X1019" s="99"/>
      <c r="Y1019" s="99"/>
      <c r="Z1019" s="99"/>
      <c r="AA1019" s="99"/>
      <c r="AB1019" s="99"/>
      <c r="AC1019" s="99"/>
      <c r="AD1019" s="99"/>
      <c r="AE1019" s="99"/>
      <c r="AF1019" s="99"/>
      <c r="AG1019" s="99"/>
      <c r="AH1019" s="99"/>
      <c r="AI1019" s="99"/>
      <c r="AJ1019" s="99"/>
      <c r="AK1019" s="99"/>
      <c r="AL1019" s="99"/>
      <c r="AM1019" s="99"/>
    </row>
    <row r="1020" ht="12.75" customHeight="1">
      <c r="A1020" s="104"/>
      <c r="B1020" s="104"/>
      <c r="C1020" s="104"/>
      <c r="D1020" s="110" t="s">
        <v>23</v>
      </c>
      <c r="G1020" s="104"/>
      <c r="H1020" s="104"/>
      <c r="I1020" s="104"/>
      <c r="J1020" s="111"/>
      <c r="K1020" s="111"/>
      <c r="L1020" s="105"/>
      <c r="M1020" s="106"/>
      <c r="N1020" s="105"/>
      <c r="O1020" s="111"/>
      <c r="P1020" s="111"/>
      <c r="Q1020" s="111"/>
      <c r="R1020" s="101"/>
      <c r="S1020" s="101"/>
      <c r="T1020" s="99"/>
      <c r="U1020" s="99"/>
      <c r="V1020" s="99"/>
      <c r="W1020" s="99"/>
      <c r="X1020" s="99"/>
      <c r="Y1020" s="99"/>
      <c r="Z1020" s="99"/>
      <c r="AA1020" s="99"/>
      <c r="AB1020" s="99"/>
      <c r="AC1020" s="99"/>
      <c r="AD1020" s="99"/>
      <c r="AE1020" s="99"/>
      <c r="AF1020" s="99"/>
      <c r="AG1020" s="99"/>
      <c r="AH1020" s="99"/>
      <c r="AI1020" s="99"/>
      <c r="AJ1020" s="99"/>
      <c r="AK1020" s="99"/>
      <c r="AL1020" s="99"/>
      <c r="AM1020" s="99"/>
    </row>
    <row r="1021" ht="12.75" customHeight="1">
      <c r="A1021" s="104"/>
      <c r="B1021" s="104"/>
      <c r="C1021" s="104"/>
      <c r="D1021" s="110" t="s">
        <v>24</v>
      </c>
      <c r="E1021" s="110" t="s">
        <v>156</v>
      </c>
      <c r="G1021" s="136">
        <v>24.0</v>
      </c>
      <c r="H1021" s="136" t="s">
        <v>26</v>
      </c>
      <c r="I1021" s="137">
        <v>500000.0</v>
      </c>
      <c r="J1021" s="46">
        <f t="shared" ref="J1021:J1027" si="1003">G1021*I1021</f>
        <v>12000000</v>
      </c>
      <c r="K1021" s="46"/>
      <c r="L1021" s="105"/>
      <c r="M1021" s="106"/>
      <c r="N1021" s="105"/>
      <c r="O1021" s="46">
        <f t="shared" ref="O1021:O1027" si="1004">J1021-K1021</f>
        <v>12000000</v>
      </c>
      <c r="P1021" s="46">
        <f t="shared" ref="P1021:P1027" si="1005">J1021-M1021</f>
        <v>12000000</v>
      </c>
      <c r="Q1021" s="46">
        <v>1.2E7</v>
      </c>
      <c r="R1021" s="101"/>
      <c r="S1021" s="101"/>
      <c r="T1021" s="99"/>
      <c r="U1021" s="99"/>
      <c r="V1021" s="99"/>
      <c r="W1021" s="99"/>
      <c r="X1021" s="99"/>
      <c r="Y1021" s="99"/>
      <c r="Z1021" s="99"/>
      <c r="AA1021" s="99"/>
      <c r="AB1021" s="99"/>
      <c r="AC1021" s="99"/>
      <c r="AD1021" s="99"/>
      <c r="AE1021" s="99"/>
      <c r="AF1021" s="99"/>
      <c r="AG1021" s="99"/>
      <c r="AH1021" s="99"/>
      <c r="AI1021" s="99"/>
      <c r="AJ1021" s="99"/>
      <c r="AK1021" s="99"/>
      <c r="AL1021" s="99"/>
      <c r="AM1021" s="99"/>
    </row>
    <row r="1022" ht="12.75" customHeight="1">
      <c r="A1022" s="104"/>
      <c r="B1022" s="104"/>
      <c r="C1022" s="104"/>
      <c r="D1022" s="110" t="s">
        <v>24</v>
      </c>
      <c r="E1022" s="110" t="s">
        <v>27</v>
      </c>
      <c r="G1022" s="136">
        <v>2.0</v>
      </c>
      <c r="H1022" s="136" t="s">
        <v>26</v>
      </c>
      <c r="I1022" s="137">
        <v>2000000.0</v>
      </c>
      <c r="J1022" s="46">
        <f t="shared" si="1003"/>
        <v>4000000</v>
      </c>
      <c r="K1022" s="46"/>
      <c r="L1022" s="105"/>
      <c r="M1022" s="106"/>
      <c r="N1022" s="105"/>
      <c r="O1022" s="46">
        <f t="shared" si="1004"/>
        <v>4000000</v>
      </c>
      <c r="P1022" s="46">
        <f t="shared" si="1005"/>
        <v>4000000</v>
      </c>
      <c r="Q1022" s="46">
        <v>4000000.0</v>
      </c>
      <c r="R1022" s="101"/>
      <c r="S1022" s="101"/>
      <c r="T1022" s="99"/>
      <c r="U1022" s="99"/>
      <c r="V1022" s="99"/>
      <c r="W1022" s="99"/>
      <c r="X1022" s="99"/>
      <c r="Y1022" s="99"/>
      <c r="Z1022" s="99"/>
      <c r="AA1022" s="99"/>
      <c r="AB1022" s="99"/>
      <c r="AC1022" s="99"/>
      <c r="AD1022" s="99"/>
      <c r="AE1022" s="99"/>
      <c r="AF1022" s="99"/>
      <c r="AG1022" s="99"/>
      <c r="AH1022" s="99"/>
      <c r="AI1022" s="99"/>
      <c r="AJ1022" s="99"/>
      <c r="AK1022" s="99"/>
      <c r="AL1022" s="99"/>
      <c r="AM1022" s="99"/>
    </row>
    <row r="1023" ht="15.75" customHeight="1">
      <c r="A1023" s="104"/>
      <c r="B1023" s="104"/>
      <c r="C1023" s="104"/>
      <c r="D1023" s="110" t="s">
        <v>24</v>
      </c>
      <c r="E1023" s="110" t="s">
        <v>28</v>
      </c>
      <c r="G1023" s="136">
        <v>10.0</v>
      </c>
      <c r="H1023" s="136" t="s">
        <v>26</v>
      </c>
      <c r="I1023" s="137">
        <v>500000.0</v>
      </c>
      <c r="J1023" s="46">
        <f t="shared" si="1003"/>
        <v>5000000</v>
      </c>
      <c r="K1023" s="46"/>
      <c r="L1023" s="105"/>
      <c r="M1023" s="106"/>
      <c r="N1023" s="105"/>
      <c r="O1023" s="46">
        <f t="shared" si="1004"/>
        <v>5000000</v>
      </c>
      <c r="P1023" s="46">
        <f t="shared" si="1005"/>
        <v>5000000</v>
      </c>
      <c r="Q1023" s="46">
        <v>5000000.0</v>
      </c>
      <c r="R1023" s="101"/>
      <c r="S1023" s="101"/>
      <c r="T1023" s="99"/>
      <c r="U1023" s="99"/>
      <c r="V1023" s="99"/>
      <c r="W1023" s="99"/>
      <c r="X1023" s="99"/>
      <c r="Y1023" s="99"/>
      <c r="Z1023" s="99"/>
      <c r="AA1023" s="99"/>
      <c r="AB1023" s="99"/>
      <c r="AC1023" s="99"/>
      <c r="AD1023" s="99"/>
      <c r="AE1023" s="99"/>
      <c r="AF1023" s="99"/>
      <c r="AG1023" s="99"/>
      <c r="AH1023" s="99"/>
      <c r="AI1023" s="99"/>
      <c r="AJ1023" s="99"/>
      <c r="AK1023" s="99"/>
      <c r="AL1023" s="99"/>
      <c r="AM1023" s="99"/>
    </row>
    <row r="1024" ht="12.75" customHeight="1">
      <c r="A1024" s="104"/>
      <c r="B1024" s="104"/>
      <c r="C1024" s="104"/>
      <c r="D1024" s="110" t="s">
        <v>24</v>
      </c>
      <c r="E1024" s="110" t="s">
        <v>157</v>
      </c>
      <c r="G1024" s="136">
        <v>200.0</v>
      </c>
      <c r="H1024" s="136" t="s">
        <v>26</v>
      </c>
      <c r="I1024" s="137">
        <v>25000.0</v>
      </c>
      <c r="J1024" s="46">
        <f t="shared" si="1003"/>
        <v>5000000</v>
      </c>
      <c r="K1024" s="46"/>
      <c r="L1024" s="105"/>
      <c r="M1024" s="106"/>
      <c r="N1024" s="105"/>
      <c r="O1024" s="46">
        <f t="shared" si="1004"/>
        <v>5000000</v>
      </c>
      <c r="P1024" s="46">
        <f t="shared" si="1005"/>
        <v>5000000</v>
      </c>
      <c r="Q1024" s="46">
        <v>5000000.0</v>
      </c>
      <c r="R1024" s="101"/>
      <c r="S1024" s="101"/>
      <c r="T1024" s="99"/>
      <c r="U1024" s="99"/>
      <c r="V1024" s="99"/>
      <c r="W1024" s="99"/>
      <c r="X1024" s="99"/>
      <c r="Y1024" s="99"/>
      <c r="Z1024" s="99"/>
      <c r="AA1024" s="99"/>
      <c r="AB1024" s="99"/>
      <c r="AC1024" s="99"/>
      <c r="AD1024" s="99"/>
      <c r="AE1024" s="99"/>
      <c r="AF1024" s="99"/>
      <c r="AG1024" s="99"/>
      <c r="AH1024" s="99"/>
      <c r="AI1024" s="99"/>
      <c r="AJ1024" s="99"/>
      <c r="AK1024" s="99"/>
      <c r="AL1024" s="99"/>
      <c r="AM1024" s="99"/>
    </row>
    <row r="1025" ht="15.75" customHeight="1">
      <c r="A1025" s="104"/>
      <c r="B1025" s="104"/>
      <c r="C1025" s="104"/>
      <c r="D1025" s="110" t="s">
        <v>24</v>
      </c>
      <c r="E1025" s="110" t="s">
        <v>31</v>
      </c>
      <c r="G1025" s="136">
        <v>320.0</v>
      </c>
      <c r="H1025" s="136" t="s">
        <v>26</v>
      </c>
      <c r="I1025" s="137">
        <v>53000.0</v>
      </c>
      <c r="J1025" s="46">
        <f t="shared" si="1003"/>
        <v>16960000</v>
      </c>
      <c r="K1025" s="46"/>
      <c r="L1025" s="105"/>
      <c r="M1025" s="106"/>
      <c r="N1025" s="105"/>
      <c r="O1025" s="46">
        <f t="shared" si="1004"/>
        <v>16960000</v>
      </c>
      <c r="P1025" s="46">
        <f t="shared" si="1005"/>
        <v>16960000</v>
      </c>
      <c r="Q1025" s="46">
        <v>1.696E7</v>
      </c>
      <c r="R1025" s="101"/>
      <c r="S1025" s="101"/>
      <c r="T1025" s="99"/>
      <c r="U1025" s="99"/>
      <c r="V1025" s="99"/>
      <c r="W1025" s="99"/>
      <c r="X1025" s="99"/>
      <c r="Y1025" s="99"/>
      <c r="Z1025" s="99"/>
      <c r="AA1025" s="99"/>
      <c r="AB1025" s="99"/>
      <c r="AC1025" s="99"/>
      <c r="AD1025" s="99"/>
      <c r="AE1025" s="99"/>
      <c r="AF1025" s="99"/>
      <c r="AG1025" s="99"/>
      <c r="AH1025" s="99"/>
      <c r="AI1025" s="99"/>
      <c r="AJ1025" s="99"/>
      <c r="AK1025" s="99"/>
      <c r="AL1025" s="99"/>
      <c r="AM1025" s="99"/>
    </row>
    <row r="1026" ht="15.75" customHeight="1">
      <c r="A1026" s="104"/>
      <c r="B1026" s="104"/>
      <c r="C1026" s="104"/>
      <c r="D1026" s="110" t="s">
        <v>24</v>
      </c>
      <c r="E1026" s="110" t="s">
        <v>32</v>
      </c>
      <c r="G1026" s="136">
        <v>320.0</v>
      </c>
      <c r="H1026" s="136" t="s">
        <v>26</v>
      </c>
      <c r="I1026" s="137">
        <v>24000.0</v>
      </c>
      <c r="J1026" s="46">
        <f t="shared" si="1003"/>
        <v>7680000</v>
      </c>
      <c r="K1026" s="46"/>
      <c r="L1026" s="105"/>
      <c r="M1026" s="106"/>
      <c r="N1026" s="105"/>
      <c r="O1026" s="46">
        <f t="shared" si="1004"/>
        <v>7680000</v>
      </c>
      <c r="P1026" s="46">
        <f t="shared" si="1005"/>
        <v>7680000</v>
      </c>
      <c r="Q1026" s="46">
        <v>7680000.0</v>
      </c>
      <c r="R1026" s="101"/>
      <c r="S1026" s="101"/>
      <c r="T1026" s="99"/>
      <c r="U1026" s="99"/>
      <c r="V1026" s="99"/>
      <c r="W1026" s="99"/>
      <c r="X1026" s="99"/>
      <c r="Y1026" s="99"/>
      <c r="Z1026" s="99"/>
      <c r="AA1026" s="99"/>
      <c r="AB1026" s="99"/>
      <c r="AC1026" s="99"/>
      <c r="AD1026" s="99"/>
      <c r="AE1026" s="99"/>
      <c r="AF1026" s="99"/>
      <c r="AG1026" s="99"/>
      <c r="AH1026" s="99"/>
      <c r="AI1026" s="99"/>
      <c r="AJ1026" s="99"/>
      <c r="AK1026" s="99"/>
      <c r="AL1026" s="99"/>
      <c r="AM1026" s="99"/>
    </row>
    <row r="1027" ht="15.75" customHeight="1">
      <c r="A1027" s="104"/>
      <c r="B1027" s="104"/>
      <c r="C1027" s="104"/>
      <c r="D1027" s="110" t="s">
        <v>24</v>
      </c>
      <c r="E1027" s="110" t="s">
        <v>288</v>
      </c>
      <c r="G1027" s="136">
        <v>100.0</v>
      </c>
      <c r="H1027" s="136" t="s">
        <v>26</v>
      </c>
      <c r="I1027" s="137">
        <v>800000.0</v>
      </c>
      <c r="J1027" s="46">
        <f t="shared" si="1003"/>
        <v>80000000</v>
      </c>
      <c r="K1027" s="46"/>
      <c r="L1027" s="105"/>
      <c r="M1027" s="106"/>
      <c r="N1027" s="105"/>
      <c r="O1027" s="46">
        <f t="shared" si="1004"/>
        <v>80000000</v>
      </c>
      <c r="P1027" s="46">
        <f t="shared" si="1005"/>
        <v>80000000</v>
      </c>
      <c r="Q1027" s="46">
        <v>8.0E7</v>
      </c>
      <c r="R1027" s="101"/>
      <c r="S1027" s="101"/>
      <c r="T1027" s="99"/>
      <c r="U1027" s="99"/>
      <c r="V1027" s="99"/>
      <c r="W1027" s="99"/>
      <c r="X1027" s="99"/>
      <c r="Y1027" s="99"/>
      <c r="Z1027" s="99"/>
      <c r="AA1027" s="99"/>
      <c r="AB1027" s="99"/>
      <c r="AC1027" s="99"/>
      <c r="AD1027" s="99"/>
      <c r="AE1027" s="99"/>
      <c r="AF1027" s="99"/>
      <c r="AG1027" s="99"/>
      <c r="AH1027" s="99"/>
      <c r="AI1027" s="99"/>
      <c r="AJ1027" s="99"/>
      <c r="AK1027" s="99"/>
      <c r="AL1027" s="99"/>
      <c r="AM1027" s="99"/>
    </row>
    <row r="1028" ht="12.75" customHeight="1">
      <c r="A1028" s="110" t="s">
        <v>58</v>
      </c>
      <c r="D1028" s="145" t="s">
        <v>34</v>
      </c>
      <c r="G1028" s="104"/>
      <c r="H1028" s="133"/>
      <c r="I1028" s="104"/>
      <c r="J1028" s="134">
        <f t="shared" ref="J1028:K1028" si="1006">SUM(J1030:J1031)</f>
        <v>12000000</v>
      </c>
      <c r="K1028" s="46">
        <f t="shared" si="1006"/>
        <v>0</v>
      </c>
      <c r="L1028" s="105"/>
      <c r="M1028" s="106"/>
      <c r="N1028" s="105"/>
      <c r="O1028" s="46">
        <f t="shared" ref="O1028:P1028" si="1007">SUM(O1030:O1031)</f>
        <v>12000000</v>
      </c>
      <c r="P1028" s="46">
        <f t="shared" si="1007"/>
        <v>12000000</v>
      </c>
      <c r="Q1028" s="46">
        <v>1.2E7</v>
      </c>
      <c r="R1028" s="101"/>
      <c r="S1028" s="101"/>
      <c r="T1028" s="99"/>
      <c r="U1028" s="99"/>
      <c r="V1028" s="99"/>
      <c r="W1028" s="99"/>
      <c r="X1028" s="99"/>
      <c r="Y1028" s="99"/>
      <c r="Z1028" s="99"/>
      <c r="AA1028" s="99"/>
      <c r="AB1028" s="99"/>
      <c r="AC1028" s="99"/>
      <c r="AD1028" s="99"/>
      <c r="AE1028" s="99"/>
      <c r="AF1028" s="99"/>
      <c r="AG1028" s="99"/>
      <c r="AH1028" s="99"/>
      <c r="AI1028" s="99"/>
      <c r="AJ1028" s="99"/>
      <c r="AK1028" s="99"/>
      <c r="AL1028" s="99"/>
      <c r="AM1028" s="99"/>
    </row>
    <row r="1029" ht="12.75" customHeight="1">
      <c r="A1029" s="104"/>
      <c r="B1029" s="104"/>
      <c r="C1029" s="104"/>
      <c r="D1029" s="110" t="s">
        <v>23</v>
      </c>
      <c r="G1029" s="104"/>
      <c r="H1029" s="104"/>
      <c r="I1029" s="104"/>
      <c r="J1029" s="111"/>
      <c r="K1029" s="111"/>
      <c r="L1029" s="105"/>
      <c r="M1029" s="106"/>
      <c r="N1029" s="105"/>
      <c r="O1029" s="111"/>
      <c r="P1029" s="111"/>
      <c r="Q1029" s="111"/>
      <c r="R1029" s="101"/>
      <c r="S1029" s="101"/>
      <c r="T1029" s="99"/>
      <c r="U1029" s="99"/>
      <c r="V1029" s="99"/>
      <c r="W1029" s="99"/>
      <c r="X1029" s="99"/>
      <c r="Y1029" s="99"/>
      <c r="Z1029" s="99"/>
      <c r="AA1029" s="99"/>
      <c r="AB1029" s="99"/>
      <c r="AC1029" s="99"/>
      <c r="AD1029" s="99"/>
      <c r="AE1029" s="99"/>
      <c r="AF1029" s="99"/>
      <c r="AG1029" s="99"/>
      <c r="AH1029" s="99"/>
      <c r="AI1029" s="99"/>
      <c r="AJ1029" s="99"/>
      <c r="AK1029" s="99"/>
      <c r="AL1029" s="99"/>
      <c r="AM1029" s="99"/>
    </row>
    <row r="1030" ht="12.75" customHeight="1">
      <c r="A1030" s="104"/>
      <c r="B1030" s="104"/>
      <c r="C1030" s="104"/>
      <c r="D1030" s="110" t="s">
        <v>24</v>
      </c>
      <c r="E1030" s="110" t="s">
        <v>159</v>
      </c>
      <c r="G1030" s="136">
        <v>16.0</v>
      </c>
      <c r="H1030" s="136" t="s">
        <v>26</v>
      </c>
      <c r="I1030" s="137">
        <v>500000.0</v>
      </c>
      <c r="J1030" s="46">
        <f t="shared" ref="J1030:J1031" si="1008">G1030*I1030</f>
        <v>8000000</v>
      </c>
      <c r="K1030" s="46"/>
      <c r="L1030" s="105"/>
      <c r="M1030" s="106"/>
      <c r="N1030" s="105"/>
      <c r="O1030" s="46">
        <f t="shared" ref="O1030:O1031" si="1009">J1030-K1030</f>
        <v>8000000</v>
      </c>
      <c r="P1030" s="46">
        <f t="shared" ref="P1030:P1031" si="1010">J1030-M1030</f>
        <v>8000000</v>
      </c>
      <c r="Q1030" s="46">
        <v>8000000.0</v>
      </c>
      <c r="R1030" s="101"/>
      <c r="S1030" s="101"/>
      <c r="T1030" s="99"/>
      <c r="U1030" s="99"/>
      <c r="V1030" s="99"/>
      <c r="W1030" s="99"/>
      <c r="X1030" s="99"/>
      <c r="Y1030" s="99"/>
      <c r="Z1030" s="99"/>
      <c r="AA1030" s="99"/>
      <c r="AB1030" s="99"/>
      <c r="AC1030" s="99"/>
      <c r="AD1030" s="99"/>
      <c r="AE1030" s="99"/>
      <c r="AF1030" s="99"/>
      <c r="AG1030" s="99"/>
      <c r="AH1030" s="99"/>
      <c r="AI1030" s="99"/>
      <c r="AJ1030" s="99"/>
      <c r="AK1030" s="99"/>
      <c r="AL1030" s="99"/>
      <c r="AM1030" s="99"/>
    </row>
    <row r="1031" ht="12.75" customHeight="1">
      <c r="A1031" s="104"/>
      <c r="B1031" s="104"/>
      <c r="C1031" s="104"/>
      <c r="D1031" s="110" t="s">
        <v>24</v>
      </c>
      <c r="E1031" s="110" t="s">
        <v>230</v>
      </c>
      <c r="G1031" s="136">
        <v>8.0</v>
      </c>
      <c r="H1031" s="136" t="s">
        <v>26</v>
      </c>
      <c r="I1031" s="137">
        <v>500000.0</v>
      </c>
      <c r="J1031" s="46">
        <f t="shared" si="1008"/>
        <v>4000000</v>
      </c>
      <c r="K1031" s="46"/>
      <c r="L1031" s="105"/>
      <c r="M1031" s="106"/>
      <c r="N1031" s="105"/>
      <c r="O1031" s="46">
        <f t="shared" si="1009"/>
        <v>4000000</v>
      </c>
      <c r="P1031" s="46">
        <f t="shared" si="1010"/>
        <v>4000000</v>
      </c>
      <c r="Q1031" s="46">
        <v>4000000.0</v>
      </c>
      <c r="R1031" s="101"/>
      <c r="S1031" s="101"/>
      <c r="T1031" s="99"/>
      <c r="U1031" s="99"/>
      <c r="V1031" s="99"/>
      <c r="W1031" s="99"/>
      <c r="X1031" s="99"/>
      <c r="Y1031" s="99"/>
      <c r="Z1031" s="99"/>
      <c r="AA1031" s="99"/>
      <c r="AB1031" s="99"/>
      <c r="AC1031" s="99"/>
      <c r="AD1031" s="99"/>
      <c r="AE1031" s="99"/>
      <c r="AF1031" s="99"/>
      <c r="AG1031" s="99"/>
      <c r="AH1031" s="99"/>
      <c r="AI1031" s="99"/>
      <c r="AJ1031" s="99"/>
      <c r="AK1031" s="99"/>
      <c r="AL1031" s="99"/>
      <c r="AM1031" s="99"/>
    </row>
    <row r="1032" ht="12.75" customHeight="1">
      <c r="A1032" s="144" t="s">
        <v>37</v>
      </c>
      <c r="D1032" s="144" t="s">
        <v>38</v>
      </c>
      <c r="G1032" s="104"/>
      <c r="H1032" s="128"/>
      <c r="I1032" s="104"/>
      <c r="J1032" s="129">
        <f t="shared" ref="J1032:K1032" si="1011">J1033+J1038+J1041</f>
        <v>24400000</v>
      </c>
      <c r="K1032" s="43">
        <f t="shared" si="1011"/>
        <v>0</v>
      </c>
      <c r="L1032" s="105"/>
      <c r="M1032" s="106"/>
      <c r="N1032" s="105"/>
      <c r="O1032" s="43">
        <f t="shared" ref="O1032:P1032" si="1012">O1033+O1038+O1041</f>
        <v>24400000</v>
      </c>
      <c r="P1032" s="43">
        <f t="shared" si="1012"/>
        <v>24400000</v>
      </c>
      <c r="Q1032" s="43">
        <v>2.44E7</v>
      </c>
      <c r="R1032" s="101"/>
      <c r="S1032" s="101"/>
      <c r="T1032" s="99"/>
      <c r="U1032" s="99"/>
      <c r="V1032" s="99"/>
      <c r="W1032" s="99"/>
      <c r="X1032" s="99"/>
      <c r="Y1032" s="99"/>
      <c r="Z1032" s="99"/>
      <c r="AA1032" s="99"/>
      <c r="AB1032" s="99"/>
      <c r="AC1032" s="99"/>
      <c r="AD1032" s="99"/>
      <c r="AE1032" s="99"/>
      <c r="AF1032" s="99"/>
      <c r="AG1032" s="99"/>
      <c r="AH1032" s="99"/>
      <c r="AI1032" s="99"/>
      <c r="AJ1032" s="99"/>
      <c r="AK1032" s="99"/>
      <c r="AL1032" s="99"/>
      <c r="AM1032" s="99"/>
    </row>
    <row r="1033" ht="12.75" customHeight="1">
      <c r="A1033" s="110" t="s">
        <v>40</v>
      </c>
      <c r="D1033" s="145" t="s">
        <v>22</v>
      </c>
      <c r="G1033" s="104"/>
      <c r="H1033" s="133"/>
      <c r="I1033" s="104"/>
      <c r="J1033" s="134">
        <f t="shared" ref="J1033:K1033" si="1013">SUM(J1035:J1037)</f>
        <v>6400000</v>
      </c>
      <c r="K1033" s="46">
        <f t="shared" si="1013"/>
        <v>0</v>
      </c>
      <c r="L1033" s="105"/>
      <c r="M1033" s="106"/>
      <c r="N1033" s="105"/>
      <c r="O1033" s="46">
        <f t="shared" ref="O1033:P1033" si="1014">SUM(O1035:O1037)</f>
        <v>6400000</v>
      </c>
      <c r="P1033" s="46">
        <f t="shared" si="1014"/>
        <v>6400000</v>
      </c>
      <c r="Q1033" s="46">
        <v>6400000.0</v>
      </c>
      <c r="R1033" s="101"/>
      <c r="S1033" s="101"/>
      <c r="T1033" s="99"/>
      <c r="U1033" s="99"/>
      <c r="V1033" s="99"/>
      <c r="W1033" s="99"/>
      <c r="X1033" s="99"/>
      <c r="Y1033" s="99"/>
      <c r="Z1033" s="99"/>
      <c r="AA1033" s="99"/>
      <c r="AB1033" s="99"/>
      <c r="AC1033" s="99"/>
      <c r="AD1033" s="99"/>
      <c r="AE1033" s="99"/>
      <c r="AF1033" s="99"/>
      <c r="AG1033" s="99"/>
      <c r="AH1033" s="99"/>
      <c r="AI1033" s="99"/>
      <c r="AJ1033" s="99"/>
      <c r="AK1033" s="99"/>
      <c r="AL1033" s="99"/>
      <c r="AM1033" s="99"/>
    </row>
    <row r="1034" ht="12.75" customHeight="1">
      <c r="A1034" s="104"/>
      <c r="B1034" s="104"/>
      <c r="C1034" s="104"/>
      <c r="D1034" s="110" t="s">
        <v>23</v>
      </c>
      <c r="G1034" s="104"/>
      <c r="H1034" s="104"/>
      <c r="I1034" s="104"/>
      <c r="J1034" s="111"/>
      <c r="K1034" s="111"/>
      <c r="L1034" s="105"/>
      <c r="M1034" s="106"/>
      <c r="N1034" s="105"/>
      <c r="O1034" s="111"/>
      <c r="P1034" s="111"/>
      <c r="Q1034" s="111"/>
      <c r="R1034" s="101"/>
      <c r="S1034" s="101"/>
      <c r="T1034" s="99"/>
      <c r="U1034" s="99"/>
      <c r="V1034" s="99"/>
      <c r="W1034" s="99"/>
      <c r="X1034" s="99"/>
      <c r="Y1034" s="99"/>
      <c r="Z1034" s="99"/>
      <c r="AA1034" s="99"/>
      <c r="AB1034" s="99"/>
      <c r="AC1034" s="99"/>
      <c r="AD1034" s="99"/>
      <c r="AE1034" s="99"/>
      <c r="AF1034" s="99"/>
      <c r="AG1034" s="99"/>
      <c r="AH1034" s="99"/>
      <c r="AI1034" s="99"/>
      <c r="AJ1034" s="99"/>
      <c r="AK1034" s="99"/>
      <c r="AL1034" s="99"/>
      <c r="AM1034" s="99"/>
    </row>
    <row r="1035" ht="12.75" customHeight="1">
      <c r="A1035" s="104"/>
      <c r="B1035" s="104"/>
      <c r="C1035" s="104"/>
      <c r="D1035" s="110" t="s">
        <v>24</v>
      </c>
      <c r="E1035" s="110" t="s">
        <v>160</v>
      </c>
      <c r="G1035" s="136">
        <v>100.0</v>
      </c>
      <c r="H1035" s="136" t="s">
        <v>26</v>
      </c>
      <c r="I1035" s="137">
        <v>53000.0</v>
      </c>
      <c r="J1035" s="46">
        <f t="shared" ref="J1035:J1037" si="1015">G1035*I1035</f>
        <v>5300000</v>
      </c>
      <c r="K1035" s="46"/>
      <c r="L1035" s="105"/>
      <c r="M1035" s="106"/>
      <c r="N1035" s="105"/>
      <c r="O1035" s="46">
        <f t="shared" ref="O1035:O1037" si="1016">J1035-K1035</f>
        <v>5300000</v>
      </c>
      <c r="P1035" s="46">
        <f t="shared" ref="P1035:P1037" si="1017">J1035-M1035</f>
        <v>5300000</v>
      </c>
      <c r="Q1035" s="46">
        <v>5300000.0</v>
      </c>
      <c r="R1035" s="101"/>
      <c r="S1035" s="101"/>
      <c r="T1035" s="99"/>
      <c r="U1035" s="99"/>
      <c r="V1035" s="99"/>
      <c r="W1035" s="99"/>
      <c r="X1035" s="99"/>
      <c r="Y1035" s="99"/>
      <c r="Z1035" s="99"/>
      <c r="AA1035" s="99"/>
      <c r="AB1035" s="99"/>
      <c r="AC1035" s="99"/>
      <c r="AD1035" s="99"/>
      <c r="AE1035" s="99"/>
      <c r="AF1035" s="99"/>
      <c r="AG1035" s="99"/>
      <c r="AH1035" s="99"/>
      <c r="AI1035" s="99"/>
      <c r="AJ1035" s="99"/>
      <c r="AK1035" s="99"/>
      <c r="AL1035" s="99"/>
      <c r="AM1035" s="99"/>
    </row>
    <row r="1036" ht="12.75" customHeight="1">
      <c r="A1036" s="104"/>
      <c r="B1036" s="104"/>
      <c r="C1036" s="104"/>
      <c r="D1036" s="110" t="s">
        <v>24</v>
      </c>
      <c r="E1036" s="110" t="s">
        <v>42</v>
      </c>
      <c r="G1036" s="136">
        <v>2.0</v>
      </c>
      <c r="H1036" s="136" t="s">
        <v>26</v>
      </c>
      <c r="I1036" s="137">
        <v>250000.0</v>
      </c>
      <c r="J1036" s="46">
        <f t="shared" si="1015"/>
        <v>500000</v>
      </c>
      <c r="K1036" s="46"/>
      <c r="L1036" s="105"/>
      <c r="M1036" s="106"/>
      <c r="N1036" s="105"/>
      <c r="O1036" s="46">
        <f t="shared" si="1016"/>
        <v>500000</v>
      </c>
      <c r="P1036" s="46">
        <f t="shared" si="1017"/>
        <v>500000</v>
      </c>
      <c r="Q1036" s="46">
        <v>500000.0</v>
      </c>
      <c r="R1036" s="101"/>
      <c r="S1036" s="101"/>
      <c r="T1036" s="99"/>
      <c r="U1036" s="99"/>
      <c r="V1036" s="99"/>
      <c r="W1036" s="99"/>
      <c r="X1036" s="99"/>
      <c r="Y1036" s="99"/>
      <c r="Z1036" s="99"/>
      <c r="AA1036" s="99"/>
      <c r="AB1036" s="99"/>
      <c r="AC1036" s="99"/>
      <c r="AD1036" s="99"/>
      <c r="AE1036" s="99"/>
      <c r="AF1036" s="99"/>
      <c r="AG1036" s="99"/>
      <c r="AH1036" s="99"/>
      <c r="AI1036" s="99"/>
      <c r="AJ1036" s="99"/>
      <c r="AK1036" s="99"/>
      <c r="AL1036" s="99"/>
      <c r="AM1036" s="99"/>
    </row>
    <row r="1037" ht="12.75" customHeight="1">
      <c r="A1037" s="104"/>
      <c r="B1037" s="104"/>
      <c r="C1037" s="104"/>
      <c r="D1037" s="110" t="s">
        <v>24</v>
      </c>
      <c r="E1037" s="110" t="s">
        <v>43</v>
      </c>
      <c r="G1037" s="136">
        <v>2.0</v>
      </c>
      <c r="H1037" s="136" t="s">
        <v>26</v>
      </c>
      <c r="I1037" s="137">
        <v>300000.0</v>
      </c>
      <c r="J1037" s="46">
        <f t="shared" si="1015"/>
        <v>600000</v>
      </c>
      <c r="K1037" s="46"/>
      <c r="L1037" s="105"/>
      <c r="M1037" s="106"/>
      <c r="N1037" s="105"/>
      <c r="O1037" s="46">
        <f t="shared" si="1016"/>
        <v>600000</v>
      </c>
      <c r="P1037" s="46">
        <f t="shared" si="1017"/>
        <v>600000</v>
      </c>
      <c r="Q1037" s="46">
        <v>600000.0</v>
      </c>
      <c r="R1037" s="101"/>
      <c r="S1037" s="101"/>
      <c r="T1037" s="99"/>
      <c r="U1037" s="99"/>
      <c r="V1037" s="99"/>
      <c r="W1037" s="99"/>
      <c r="X1037" s="99"/>
      <c r="Y1037" s="99"/>
      <c r="Z1037" s="99"/>
      <c r="AA1037" s="99"/>
      <c r="AB1037" s="99"/>
      <c r="AC1037" s="99"/>
      <c r="AD1037" s="99"/>
      <c r="AE1037" s="99"/>
      <c r="AF1037" s="99"/>
      <c r="AG1037" s="99"/>
      <c r="AH1037" s="99"/>
      <c r="AI1037" s="99"/>
      <c r="AJ1037" s="99"/>
      <c r="AK1037" s="99"/>
      <c r="AL1037" s="99"/>
      <c r="AM1037" s="99"/>
    </row>
    <row r="1038" ht="12.75" customHeight="1">
      <c r="A1038" s="110" t="s">
        <v>44</v>
      </c>
      <c r="D1038" s="145" t="s">
        <v>45</v>
      </c>
      <c r="G1038" s="104"/>
      <c r="H1038" s="133"/>
      <c r="I1038" s="104"/>
      <c r="J1038" s="134">
        <f t="shared" ref="J1038:K1038" si="1018">J1040</f>
        <v>2000000</v>
      </c>
      <c r="K1038" s="46" t="str">
        <f t="shared" si="1018"/>
        <v/>
      </c>
      <c r="L1038" s="105"/>
      <c r="M1038" s="106"/>
      <c r="N1038" s="105"/>
      <c r="O1038" s="46">
        <f t="shared" ref="O1038:P1038" si="1019">O1040</f>
        <v>2000000</v>
      </c>
      <c r="P1038" s="46">
        <f t="shared" si="1019"/>
        <v>2000000</v>
      </c>
      <c r="Q1038" s="46">
        <v>2000000.0</v>
      </c>
      <c r="R1038" s="101"/>
      <c r="S1038" s="101"/>
      <c r="T1038" s="99"/>
      <c r="U1038" s="99"/>
      <c r="V1038" s="99"/>
      <c r="W1038" s="99"/>
      <c r="X1038" s="99"/>
      <c r="Y1038" s="99"/>
      <c r="Z1038" s="99"/>
      <c r="AA1038" s="99"/>
      <c r="AB1038" s="99"/>
      <c r="AC1038" s="99"/>
      <c r="AD1038" s="99"/>
      <c r="AE1038" s="99"/>
      <c r="AF1038" s="99"/>
      <c r="AG1038" s="99"/>
      <c r="AH1038" s="99"/>
      <c r="AI1038" s="99"/>
      <c r="AJ1038" s="99"/>
      <c r="AK1038" s="99"/>
      <c r="AL1038" s="99"/>
      <c r="AM1038" s="99"/>
    </row>
    <row r="1039" ht="12.75" customHeight="1">
      <c r="A1039" s="104"/>
      <c r="B1039" s="104"/>
      <c r="C1039" s="104"/>
      <c r="D1039" s="110" t="s">
        <v>23</v>
      </c>
      <c r="G1039" s="104"/>
      <c r="H1039" s="104"/>
      <c r="I1039" s="104"/>
      <c r="J1039" s="111"/>
      <c r="K1039" s="111"/>
      <c r="L1039" s="105"/>
      <c r="M1039" s="106"/>
      <c r="N1039" s="105"/>
      <c r="O1039" s="111"/>
      <c r="P1039" s="111"/>
      <c r="Q1039" s="111"/>
      <c r="R1039" s="101"/>
      <c r="S1039" s="101"/>
      <c r="T1039" s="99"/>
      <c r="U1039" s="99"/>
      <c r="V1039" s="99"/>
      <c r="W1039" s="99"/>
      <c r="X1039" s="99"/>
      <c r="Y1039" s="99"/>
      <c r="Z1039" s="99"/>
      <c r="AA1039" s="99"/>
      <c r="AB1039" s="99"/>
      <c r="AC1039" s="99"/>
      <c r="AD1039" s="99"/>
      <c r="AE1039" s="99"/>
      <c r="AF1039" s="99"/>
      <c r="AG1039" s="99"/>
      <c r="AH1039" s="99"/>
      <c r="AI1039" s="99"/>
      <c r="AJ1039" s="99"/>
      <c r="AK1039" s="99"/>
      <c r="AL1039" s="99"/>
      <c r="AM1039" s="99"/>
    </row>
    <row r="1040" ht="12.75" customHeight="1">
      <c r="A1040" s="104"/>
      <c r="B1040" s="104"/>
      <c r="C1040" s="104"/>
      <c r="D1040" s="110" t="s">
        <v>24</v>
      </c>
      <c r="E1040" s="110" t="s">
        <v>161</v>
      </c>
      <c r="G1040" s="136">
        <v>4.0</v>
      </c>
      <c r="H1040" s="136" t="s">
        <v>26</v>
      </c>
      <c r="I1040" s="137">
        <v>500000.0</v>
      </c>
      <c r="J1040" s="46">
        <f>G1040*I1040</f>
        <v>2000000</v>
      </c>
      <c r="K1040" s="46"/>
      <c r="L1040" s="105"/>
      <c r="M1040" s="106"/>
      <c r="N1040" s="105"/>
      <c r="O1040" s="46">
        <f>J1040-K1040</f>
        <v>2000000</v>
      </c>
      <c r="P1040" s="46">
        <f>J1040-M1040</f>
        <v>2000000</v>
      </c>
      <c r="Q1040" s="46">
        <v>2000000.0</v>
      </c>
      <c r="R1040" s="101"/>
      <c r="S1040" s="101"/>
      <c r="T1040" s="99"/>
      <c r="U1040" s="99"/>
      <c r="V1040" s="99"/>
      <c r="W1040" s="99"/>
      <c r="X1040" s="99"/>
      <c r="Y1040" s="99"/>
      <c r="Z1040" s="99"/>
      <c r="AA1040" s="99"/>
      <c r="AB1040" s="99"/>
      <c r="AC1040" s="99"/>
      <c r="AD1040" s="99"/>
      <c r="AE1040" s="99"/>
      <c r="AF1040" s="99"/>
      <c r="AG1040" s="99"/>
      <c r="AH1040" s="99"/>
      <c r="AI1040" s="99"/>
      <c r="AJ1040" s="99"/>
      <c r="AK1040" s="99"/>
      <c r="AL1040" s="99"/>
      <c r="AM1040" s="99"/>
    </row>
    <row r="1041" ht="12.75" customHeight="1">
      <c r="A1041" s="110" t="s">
        <v>47</v>
      </c>
      <c r="D1041" s="145" t="s">
        <v>48</v>
      </c>
      <c r="G1041" s="104"/>
      <c r="H1041" s="133"/>
      <c r="I1041" s="104"/>
      <c r="J1041" s="134">
        <f t="shared" ref="J1041:K1041" si="1020">J1043</f>
        <v>16000000</v>
      </c>
      <c r="K1041" s="46" t="str">
        <f t="shared" si="1020"/>
        <v/>
      </c>
      <c r="L1041" s="105"/>
      <c r="M1041" s="106"/>
      <c r="N1041" s="105"/>
      <c r="O1041" s="46">
        <f t="shared" ref="O1041:P1041" si="1021">O1043</f>
        <v>16000000</v>
      </c>
      <c r="P1041" s="46">
        <f t="shared" si="1021"/>
        <v>16000000</v>
      </c>
      <c r="Q1041" s="46">
        <v>1.6E7</v>
      </c>
      <c r="R1041" s="101"/>
      <c r="S1041" s="101"/>
      <c r="T1041" s="99"/>
      <c r="U1041" s="99"/>
      <c r="V1041" s="99"/>
      <c r="W1041" s="99"/>
      <c r="X1041" s="99"/>
      <c r="Y1041" s="99"/>
      <c r="Z1041" s="99"/>
      <c r="AA1041" s="99"/>
      <c r="AB1041" s="99"/>
      <c r="AC1041" s="99"/>
      <c r="AD1041" s="99"/>
      <c r="AE1041" s="99"/>
      <c r="AF1041" s="99"/>
      <c r="AG1041" s="99"/>
      <c r="AH1041" s="99"/>
      <c r="AI1041" s="99"/>
      <c r="AJ1041" s="99"/>
      <c r="AK1041" s="99"/>
      <c r="AL1041" s="99"/>
      <c r="AM1041" s="99"/>
    </row>
    <row r="1042" ht="12.75" customHeight="1">
      <c r="A1042" s="104"/>
      <c r="B1042" s="104"/>
      <c r="C1042" s="104"/>
      <c r="D1042" s="110" t="s">
        <v>23</v>
      </c>
      <c r="G1042" s="104"/>
      <c r="H1042" s="104"/>
      <c r="I1042" s="104"/>
      <c r="J1042" s="111"/>
      <c r="K1042" s="111"/>
      <c r="L1042" s="105"/>
      <c r="M1042" s="106"/>
      <c r="N1042" s="105"/>
      <c r="O1042" s="111"/>
      <c r="P1042" s="111"/>
      <c r="Q1042" s="111"/>
      <c r="R1042" s="101"/>
      <c r="S1042" s="101"/>
      <c r="T1042" s="99"/>
      <c r="U1042" s="99"/>
      <c r="V1042" s="99"/>
      <c r="W1042" s="99"/>
      <c r="X1042" s="99"/>
      <c r="Y1042" s="99"/>
      <c r="Z1042" s="99"/>
      <c r="AA1042" s="99"/>
      <c r="AB1042" s="99"/>
      <c r="AC1042" s="99"/>
      <c r="AD1042" s="99"/>
      <c r="AE1042" s="99"/>
      <c r="AF1042" s="99"/>
      <c r="AG1042" s="99"/>
      <c r="AH1042" s="99"/>
      <c r="AI1042" s="99"/>
      <c r="AJ1042" s="99"/>
      <c r="AK1042" s="99"/>
      <c r="AL1042" s="99"/>
      <c r="AM1042" s="99"/>
    </row>
    <row r="1043" ht="12.75" customHeight="1">
      <c r="A1043" s="104"/>
      <c r="B1043" s="104"/>
      <c r="C1043" s="104"/>
      <c r="D1043" s="110" t="s">
        <v>24</v>
      </c>
      <c r="E1043" s="110" t="s">
        <v>162</v>
      </c>
      <c r="G1043" s="136">
        <v>4.0</v>
      </c>
      <c r="H1043" s="136" t="s">
        <v>26</v>
      </c>
      <c r="I1043" s="137">
        <v>4000000.0</v>
      </c>
      <c r="J1043" s="46">
        <f>G1043*I1043</f>
        <v>16000000</v>
      </c>
      <c r="K1043" s="46"/>
      <c r="L1043" s="105"/>
      <c r="M1043" s="106"/>
      <c r="N1043" s="105"/>
      <c r="O1043" s="46">
        <f>J1043-K1043</f>
        <v>16000000</v>
      </c>
      <c r="P1043" s="46">
        <f>J1043-M1043</f>
        <v>16000000</v>
      </c>
      <c r="Q1043" s="46">
        <v>1.6E7</v>
      </c>
      <c r="R1043" s="101"/>
      <c r="S1043" s="101"/>
      <c r="T1043" s="99"/>
      <c r="U1043" s="99"/>
      <c r="V1043" s="99"/>
      <c r="W1043" s="99"/>
      <c r="X1043" s="99"/>
      <c r="Y1043" s="99"/>
      <c r="Z1043" s="99"/>
      <c r="AA1043" s="99"/>
      <c r="AB1043" s="99"/>
      <c r="AC1043" s="99"/>
      <c r="AD1043" s="99"/>
      <c r="AE1043" s="99"/>
      <c r="AF1043" s="99"/>
      <c r="AG1043" s="99"/>
      <c r="AH1043" s="99"/>
      <c r="AI1043" s="99"/>
      <c r="AJ1043" s="99"/>
      <c r="AK1043" s="99"/>
      <c r="AL1043" s="99"/>
      <c r="AM1043" s="99"/>
    </row>
    <row r="1044" ht="12.75" customHeight="1">
      <c r="A1044" s="144" t="s">
        <v>50</v>
      </c>
      <c r="D1044" s="144" t="s">
        <v>51</v>
      </c>
      <c r="G1044" s="104"/>
      <c r="H1044" s="128"/>
      <c r="I1044" s="104"/>
      <c r="J1044" s="129">
        <f t="shared" ref="J1044:K1044" si="1022">J1045+J1051+J1054</f>
        <v>56050000</v>
      </c>
      <c r="K1044" s="43">
        <f t="shared" si="1022"/>
        <v>0</v>
      </c>
      <c r="L1044" s="105"/>
      <c r="M1044" s="106"/>
      <c r="N1044" s="105"/>
      <c r="O1044" s="43">
        <f t="shared" ref="O1044:P1044" si="1023">O1045+O1051+O1054</f>
        <v>56050000</v>
      </c>
      <c r="P1044" s="43">
        <f t="shared" si="1023"/>
        <v>56050000</v>
      </c>
      <c r="Q1044" s="43">
        <v>5.605E7</v>
      </c>
      <c r="R1044" s="101"/>
      <c r="S1044" s="101"/>
      <c r="T1044" s="99"/>
      <c r="U1044" s="99"/>
      <c r="V1044" s="99"/>
      <c r="W1044" s="99"/>
      <c r="X1044" s="99"/>
      <c r="Y1044" s="99"/>
      <c r="Z1044" s="99"/>
      <c r="AA1044" s="99"/>
      <c r="AB1044" s="99"/>
      <c r="AC1044" s="99"/>
      <c r="AD1044" s="99"/>
      <c r="AE1044" s="99"/>
      <c r="AF1044" s="99"/>
      <c r="AG1044" s="99"/>
      <c r="AH1044" s="99"/>
      <c r="AI1044" s="99"/>
      <c r="AJ1044" s="99"/>
      <c r="AK1044" s="99"/>
      <c r="AL1044" s="99"/>
      <c r="AM1044" s="99"/>
    </row>
    <row r="1045" ht="12.75" customHeight="1">
      <c r="A1045" s="110" t="s">
        <v>40</v>
      </c>
      <c r="D1045" s="145" t="s">
        <v>22</v>
      </c>
      <c r="G1045" s="104"/>
      <c r="H1045" s="133"/>
      <c r="I1045" s="104"/>
      <c r="J1045" s="134">
        <f t="shared" ref="J1045:K1045" si="1024">SUM(J1047:J1050)</f>
        <v>38050000</v>
      </c>
      <c r="K1045" s="46">
        <f t="shared" si="1024"/>
        <v>0</v>
      </c>
      <c r="L1045" s="105"/>
      <c r="M1045" s="106"/>
      <c r="N1045" s="105"/>
      <c r="O1045" s="46">
        <f t="shared" ref="O1045:P1045" si="1025">SUM(O1047:O1050)</f>
        <v>38050000</v>
      </c>
      <c r="P1045" s="46">
        <f t="shared" si="1025"/>
        <v>38050000</v>
      </c>
      <c r="Q1045" s="46">
        <v>3.805E7</v>
      </c>
      <c r="R1045" s="101"/>
      <c r="S1045" s="101"/>
      <c r="T1045" s="99"/>
      <c r="U1045" s="99"/>
      <c r="V1045" s="99"/>
      <c r="W1045" s="99"/>
      <c r="X1045" s="99"/>
      <c r="Y1045" s="99"/>
      <c r="Z1045" s="99"/>
      <c r="AA1045" s="99"/>
      <c r="AB1045" s="99"/>
      <c r="AC1045" s="99"/>
      <c r="AD1045" s="99"/>
      <c r="AE1045" s="99"/>
      <c r="AF1045" s="99"/>
      <c r="AG1045" s="99"/>
      <c r="AH1045" s="99"/>
      <c r="AI1045" s="99"/>
      <c r="AJ1045" s="99"/>
      <c r="AK1045" s="99"/>
      <c r="AL1045" s="99"/>
      <c r="AM1045" s="99"/>
    </row>
    <row r="1046" ht="12.75" customHeight="1">
      <c r="A1046" s="104"/>
      <c r="B1046" s="104"/>
      <c r="C1046" s="104"/>
      <c r="D1046" s="110" t="s">
        <v>23</v>
      </c>
      <c r="G1046" s="104"/>
      <c r="H1046" s="104"/>
      <c r="I1046" s="104"/>
      <c r="J1046" s="111"/>
      <c r="K1046" s="111"/>
      <c r="L1046" s="105"/>
      <c r="M1046" s="106"/>
      <c r="N1046" s="105"/>
      <c r="O1046" s="111"/>
      <c r="P1046" s="111"/>
      <c r="Q1046" s="111"/>
      <c r="R1046" s="101"/>
      <c r="S1046" s="101"/>
      <c r="T1046" s="99"/>
      <c r="U1046" s="99"/>
      <c r="V1046" s="99"/>
      <c r="W1046" s="99"/>
      <c r="X1046" s="99"/>
      <c r="Y1046" s="99"/>
      <c r="Z1046" s="99"/>
      <c r="AA1046" s="99"/>
      <c r="AB1046" s="99"/>
      <c r="AC1046" s="99"/>
      <c r="AD1046" s="99"/>
      <c r="AE1046" s="99"/>
      <c r="AF1046" s="99"/>
      <c r="AG1046" s="99"/>
      <c r="AH1046" s="99"/>
      <c r="AI1046" s="99"/>
      <c r="AJ1046" s="99"/>
      <c r="AK1046" s="99"/>
      <c r="AL1046" s="99"/>
      <c r="AM1046" s="99"/>
    </row>
    <row r="1047" ht="12.75" customHeight="1">
      <c r="A1047" s="104"/>
      <c r="B1047" s="104"/>
      <c r="C1047" s="104"/>
      <c r="D1047" s="110" t="s">
        <v>24</v>
      </c>
      <c r="E1047" s="110" t="s">
        <v>163</v>
      </c>
      <c r="G1047" s="136">
        <v>100.0</v>
      </c>
      <c r="H1047" s="136" t="s">
        <v>26</v>
      </c>
      <c r="I1047" s="137">
        <v>53000.0</v>
      </c>
      <c r="J1047" s="46">
        <f t="shared" ref="J1047:J1050" si="1026">G1047*I1047</f>
        <v>5300000</v>
      </c>
      <c r="K1047" s="46"/>
      <c r="L1047" s="105"/>
      <c r="M1047" s="106"/>
      <c r="N1047" s="105"/>
      <c r="O1047" s="46">
        <f t="shared" ref="O1047:O1050" si="1027">J1047-K1047</f>
        <v>5300000</v>
      </c>
      <c r="P1047" s="46">
        <f t="shared" ref="P1047:P1050" si="1028">J1047-M1047</f>
        <v>5300000</v>
      </c>
      <c r="Q1047" s="46">
        <v>5300000.0</v>
      </c>
      <c r="R1047" s="101"/>
      <c r="S1047" s="101"/>
      <c r="T1047" s="99"/>
      <c r="U1047" s="99"/>
      <c r="V1047" s="99"/>
      <c r="W1047" s="99"/>
      <c r="X1047" s="99"/>
      <c r="Y1047" s="99"/>
      <c r="Z1047" s="99"/>
      <c r="AA1047" s="99"/>
      <c r="AB1047" s="99"/>
      <c r="AC1047" s="99"/>
      <c r="AD1047" s="99"/>
      <c r="AE1047" s="99"/>
      <c r="AF1047" s="99"/>
      <c r="AG1047" s="99"/>
      <c r="AH1047" s="99"/>
      <c r="AI1047" s="99"/>
      <c r="AJ1047" s="99"/>
      <c r="AK1047" s="99"/>
      <c r="AL1047" s="99"/>
      <c r="AM1047" s="99"/>
    </row>
    <row r="1048" ht="12.75" customHeight="1">
      <c r="A1048" s="104"/>
      <c r="B1048" s="104"/>
      <c r="C1048" s="104"/>
      <c r="D1048" s="110" t="s">
        <v>24</v>
      </c>
      <c r="E1048" s="110" t="s">
        <v>53</v>
      </c>
      <c r="G1048" s="136">
        <v>5.0</v>
      </c>
      <c r="H1048" s="136" t="s">
        <v>26</v>
      </c>
      <c r="I1048" s="137">
        <v>500000.0</v>
      </c>
      <c r="J1048" s="46">
        <f t="shared" si="1026"/>
        <v>2500000</v>
      </c>
      <c r="K1048" s="46"/>
      <c r="L1048" s="105"/>
      <c r="M1048" s="106"/>
      <c r="N1048" s="105"/>
      <c r="O1048" s="46">
        <f t="shared" si="1027"/>
        <v>2500000</v>
      </c>
      <c r="P1048" s="46">
        <f t="shared" si="1028"/>
        <v>2500000</v>
      </c>
      <c r="Q1048" s="46">
        <v>2500000.0</v>
      </c>
      <c r="R1048" s="101"/>
      <c r="S1048" s="101"/>
      <c r="T1048" s="99"/>
      <c r="U1048" s="99"/>
      <c r="V1048" s="99"/>
      <c r="W1048" s="99"/>
      <c r="X1048" s="99"/>
      <c r="Y1048" s="99"/>
      <c r="Z1048" s="99"/>
      <c r="AA1048" s="99"/>
      <c r="AB1048" s="99"/>
      <c r="AC1048" s="99"/>
      <c r="AD1048" s="99"/>
      <c r="AE1048" s="99"/>
      <c r="AF1048" s="99"/>
      <c r="AG1048" s="99"/>
      <c r="AH1048" s="99"/>
      <c r="AI1048" s="99"/>
      <c r="AJ1048" s="99"/>
      <c r="AK1048" s="99"/>
      <c r="AL1048" s="99"/>
      <c r="AM1048" s="99"/>
    </row>
    <row r="1049" ht="12.75" customHeight="1">
      <c r="A1049" s="104"/>
      <c r="B1049" s="104"/>
      <c r="C1049" s="104"/>
      <c r="D1049" s="110" t="s">
        <v>24</v>
      </c>
      <c r="E1049" s="110" t="s">
        <v>54</v>
      </c>
      <c r="G1049" s="136">
        <v>1.0</v>
      </c>
      <c r="H1049" s="136" t="s">
        <v>55</v>
      </c>
      <c r="I1049" s="137">
        <v>250000.0</v>
      </c>
      <c r="J1049" s="46">
        <f t="shared" si="1026"/>
        <v>250000</v>
      </c>
      <c r="K1049" s="46"/>
      <c r="L1049" s="105"/>
      <c r="M1049" s="106"/>
      <c r="N1049" s="105"/>
      <c r="O1049" s="46">
        <f t="shared" si="1027"/>
        <v>250000</v>
      </c>
      <c r="P1049" s="46">
        <f t="shared" si="1028"/>
        <v>250000</v>
      </c>
      <c r="Q1049" s="46">
        <v>250000.0</v>
      </c>
      <c r="R1049" s="101"/>
      <c r="S1049" s="101"/>
      <c r="T1049" s="99"/>
      <c r="U1049" s="99"/>
      <c r="V1049" s="99"/>
      <c r="W1049" s="99"/>
      <c r="X1049" s="99"/>
      <c r="Y1049" s="99"/>
      <c r="Z1049" s="99"/>
      <c r="AA1049" s="99"/>
      <c r="AB1049" s="99"/>
      <c r="AC1049" s="99"/>
      <c r="AD1049" s="99"/>
      <c r="AE1049" s="99"/>
      <c r="AF1049" s="99"/>
      <c r="AG1049" s="99"/>
      <c r="AH1049" s="99"/>
      <c r="AI1049" s="99"/>
      <c r="AJ1049" s="99"/>
      <c r="AK1049" s="99"/>
      <c r="AL1049" s="99"/>
      <c r="AM1049" s="99"/>
    </row>
    <row r="1050" ht="12.75" customHeight="1">
      <c r="A1050" s="104"/>
      <c r="B1050" s="104"/>
      <c r="C1050" s="104"/>
      <c r="D1050" s="110" t="s">
        <v>24</v>
      </c>
      <c r="E1050" s="110" t="s">
        <v>164</v>
      </c>
      <c r="G1050" s="136">
        <v>100.0</v>
      </c>
      <c r="H1050" s="136" t="s">
        <v>26</v>
      </c>
      <c r="I1050" s="137">
        <v>300000.0</v>
      </c>
      <c r="J1050" s="46">
        <f t="shared" si="1026"/>
        <v>30000000</v>
      </c>
      <c r="K1050" s="46"/>
      <c r="L1050" s="105"/>
      <c r="M1050" s="106"/>
      <c r="N1050" s="105"/>
      <c r="O1050" s="46">
        <f t="shared" si="1027"/>
        <v>30000000</v>
      </c>
      <c r="P1050" s="46">
        <f t="shared" si="1028"/>
        <v>30000000</v>
      </c>
      <c r="Q1050" s="46">
        <v>3.0E7</v>
      </c>
      <c r="R1050" s="101"/>
      <c r="S1050" s="101"/>
      <c r="T1050" s="99"/>
      <c r="U1050" s="99"/>
      <c r="V1050" s="99"/>
      <c r="W1050" s="99"/>
      <c r="X1050" s="99"/>
      <c r="Y1050" s="99"/>
      <c r="Z1050" s="99"/>
      <c r="AA1050" s="99"/>
      <c r="AB1050" s="99"/>
      <c r="AC1050" s="99"/>
      <c r="AD1050" s="99"/>
      <c r="AE1050" s="99"/>
      <c r="AF1050" s="99"/>
      <c r="AG1050" s="99"/>
      <c r="AH1050" s="99"/>
      <c r="AI1050" s="99"/>
      <c r="AJ1050" s="99"/>
      <c r="AK1050" s="99"/>
      <c r="AL1050" s="99"/>
      <c r="AM1050" s="99"/>
    </row>
    <row r="1051" ht="12.75" customHeight="1">
      <c r="A1051" s="110" t="s">
        <v>47</v>
      </c>
      <c r="D1051" s="145" t="s">
        <v>48</v>
      </c>
      <c r="G1051" s="104"/>
      <c r="H1051" s="133"/>
      <c r="I1051" s="104"/>
      <c r="J1051" s="134">
        <f t="shared" ref="J1051:K1051" si="1029">J1053</f>
        <v>16000000</v>
      </c>
      <c r="K1051" s="46" t="str">
        <f t="shared" si="1029"/>
        <v/>
      </c>
      <c r="L1051" s="105"/>
      <c r="M1051" s="106"/>
      <c r="N1051" s="105"/>
      <c r="O1051" s="46">
        <f t="shared" ref="O1051:P1051" si="1030">O1053</f>
        <v>16000000</v>
      </c>
      <c r="P1051" s="46">
        <f t="shared" si="1030"/>
        <v>16000000</v>
      </c>
      <c r="Q1051" s="46">
        <v>1.6E7</v>
      </c>
      <c r="R1051" s="101"/>
      <c r="S1051" s="101"/>
      <c r="T1051" s="99"/>
      <c r="U1051" s="99"/>
      <c r="V1051" s="99"/>
      <c r="W1051" s="99"/>
      <c r="X1051" s="99"/>
      <c r="Y1051" s="99"/>
      <c r="Z1051" s="99"/>
      <c r="AA1051" s="99"/>
      <c r="AB1051" s="99"/>
      <c r="AC1051" s="99"/>
      <c r="AD1051" s="99"/>
      <c r="AE1051" s="99"/>
      <c r="AF1051" s="99"/>
      <c r="AG1051" s="99"/>
      <c r="AH1051" s="99"/>
      <c r="AI1051" s="99"/>
      <c r="AJ1051" s="99"/>
      <c r="AK1051" s="99"/>
      <c r="AL1051" s="99"/>
      <c r="AM1051" s="99"/>
    </row>
    <row r="1052" ht="12.75" customHeight="1">
      <c r="A1052" s="104"/>
      <c r="B1052" s="104"/>
      <c r="C1052" s="104"/>
      <c r="D1052" s="110" t="s">
        <v>23</v>
      </c>
      <c r="G1052" s="104"/>
      <c r="H1052" s="104"/>
      <c r="I1052" s="104"/>
      <c r="J1052" s="111"/>
      <c r="K1052" s="111"/>
      <c r="L1052" s="105"/>
      <c r="M1052" s="106"/>
      <c r="N1052" s="105"/>
      <c r="O1052" s="111"/>
      <c r="P1052" s="111"/>
      <c r="Q1052" s="111"/>
      <c r="R1052" s="101"/>
      <c r="S1052" s="101"/>
      <c r="T1052" s="99"/>
      <c r="U1052" s="99"/>
      <c r="V1052" s="99"/>
      <c r="W1052" s="99"/>
      <c r="X1052" s="99"/>
      <c r="Y1052" s="99"/>
      <c r="Z1052" s="99"/>
      <c r="AA1052" s="99"/>
      <c r="AB1052" s="99"/>
      <c r="AC1052" s="99"/>
      <c r="AD1052" s="99"/>
      <c r="AE1052" s="99"/>
      <c r="AF1052" s="99"/>
      <c r="AG1052" s="99"/>
      <c r="AH1052" s="99"/>
      <c r="AI1052" s="99"/>
      <c r="AJ1052" s="99"/>
      <c r="AK1052" s="99"/>
      <c r="AL1052" s="99"/>
      <c r="AM1052" s="99"/>
    </row>
    <row r="1053" ht="12.75" customHeight="1">
      <c r="A1053" s="104"/>
      <c r="B1053" s="104"/>
      <c r="C1053" s="104"/>
      <c r="D1053" s="110" t="s">
        <v>24</v>
      </c>
      <c r="E1053" s="110" t="s">
        <v>165</v>
      </c>
      <c r="G1053" s="136">
        <v>4.0</v>
      </c>
      <c r="H1053" s="136" t="s">
        <v>26</v>
      </c>
      <c r="I1053" s="137">
        <v>4000000.0</v>
      </c>
      <c r="J1053" s="46">
        <f>G1053*I1053</f>
        <v>16000000</v>
      </c>
      <c r="K1053" s="46"/>
      <c r="L1053" s="105"/>
      <c r="M1053" s="106"/>
      <c r="N1053" s="105"/>
      <c r="O1053" s="46">
        <f>J1053-K1053</f>
        <v>16000000</v>
      </c>
      <c r="P1053" s="46">
        <f>J1053-M1053</f>
        <v>16000000</v>
      </c>
      <c r="Q1053" s="46">
        <v>1.6E7</v>
      </c>
      <c r="R1053" s="101"/>
      <c r="S1053" s="101"/>
      <c r="T1053" s="99"/>
      <c r="U1053" s="99"/>
      <c r="V1053" s="99"/>
      <c r="W1053" s="99"/>
      <c r="X1053" s="99"/>
      <c r="Y1053" s="99"/>
      <c r="Z1053" s="99"/>
      <c r="AA1053" s="99"/>
      <c r="AB1053" s="99"/>
      <c r="AC1053" s="99"/>
      <c r="AD1053" s="99"/>
      <c r="AE1053" s="99"/>
      <c r="AF1053" s="99"/>
      <c r="AG1053" s="99"/>
      <c r="AH1053" s="99"/>
      <c r="AI1053" s="99"/>
      <c r="AJ1053" s="99"/>
      <c r="AK1053" s="99"/>
      <c r="AL1053" s="99"/>
      <c r="AM1053" s="99"/>
    </row>
    <row r="1054" ht="12.75" customHeight="1">
      <c r="A1054" s="110" t="s">
        <v>58</v>
      </c>
      <c r="D1054" s="145" t="s">
        <v>34</v>
      </c>
      <c r="G1054" s="104"/>
      <c r="H1054" s="133"/>
      <c r="I1054" s="104"/>
      <c r="J1054" s="134">
        <f t="shared" ref="J1054:K1054" si="1031">J1056</f>
        <v>2000000</v>
      </c>
      <c r="K1054" s="46" t="str">
        <f t="shared" si="1031"/>
        <v/>
      </c>
      <c r="L1054" s="105"/>
      <c r="M1054" s="106"/>
      <c r="N1054" s="105"/>
      <c r="O1054" s="46">
        <f t="shared" ref="O1054:P1054" si="1032">O1056</f>
        <v>2000000</v>
      </c>
      <c r="P1054" s="46">
        <f t="shared" si="1032"/>
        <v>2000000</v>
      </c>
      <c r="Q1054" s="46">
        <v>2000000.0</v>
      </c>
      <c r="R1054" s="101"/>
      <c r="S1054" s="101"/>
      <c r="T1054" s="99"/>
      <c r="U1054" s="99"/>
      <c r="V1054" s="99"/>
      <c r="W1054" s="99"/>
      <c r="X1054" s="99"/>
      <c r="Y1054" s="99"/>
      <c r="Z1054" s="99"/>
      <c r="AA1054" s="99"/>
      <c r="AB1054" s="99"/>
      <c r="AC1054" s="99"/>
      <c r="AD1054" s="99"/>
      <c r="AE1054" s="99"/>
      <c r="AF1054" s="99"/>
      <c r="AG1054" s="99"/>
      <c r="AH1054" s="99"/>
      <c r="AI1054" s="99"/>
      <c r="AJ1054" s="99"/>
      <c r="AK1054" s="99"/>
      <c r="AL1054" s="99"/>
      <c r="AM1054" s="99"/>
    </row>
    <row r="1055" ht="12.75" customHeight="1">
      <c r="A1055" s="104"/>
      <c r="B1055" s="104"/>
      <c r="C1055" s="104"/>
      <c r="D1055" s="110" t="s">
        <v>23</v>
      </c>
      <c r="G1055" s="104"/>
      <c r="H1055" s="104"/>
      <c r="I1055" s="104"/>
      <c r="J1055" s="111"/>
      <c r="K1055" s="111"/>
      <c r="L1055" s="105"/>
      <c r="M1055" s="106"/>
      <c r="N1055" s="105"/>
      <c r="O1055" s="111"/>
      <c r="P1055" s="111"/>
      <c r="Q1055" s="111"/>
      <c r="R1055" s="101"/>
      <c r="S1055" s="101"/>
      <c r="T1055" s="99"/>
      <c r="U1055" s="99"/>
      <c r="V1055" s="99"/>
      <c r="W1055" s="99"/>
      <c r="X1055" s="99"/>
      <c r="Y1055" s="99"/>
      <c r="Z1055" s="99"/>
      <c r="AA1055" s="99"/>
      <c r="AB1055" s="99"/>
      <c r="AC1055" s="99"/>
      <c r="AD1055" s="99"/>
      <c r="AE1055" s="99"/>
      <c r="AF1055" s="99"/>
      <c r="AG1055" s="99"/>
      <c r="AH1055" s="99"/>
      <c r="AI1055" s="99"/>
      <c r="AJ1055" s="99"/>
      <c r="AK1055" s="99"/>
      <c r="AL1055" s="99"/>
      <c r="AM1055" s="99"/>
    </row>
    <row r="1056" ht="12.75" customHeight="1">
      <c r="A1056" s="104"/>
      <c r="B1056" s="104"/>
      <c r="C1056" s="104"/>
      <c r="D1056" s="110" t="s">
        <v>24</v>
      </c>
      <c r="E1056" s="110" t="s">
        <v>59</v>
      </c>
      <c r="G1056" s="136">
        <v>4.0</v>
      </c>
      <c r="H1056" s="136" t="s">
        <v>26</v>
      </c>
      <c r="I1056" s="137">
        <v>500000.0</v>
      </c>
      <c r="J1056" s="46">
        <f>G1056*I1056</f>
        <v>2000000</v>
      </c>
      <c r="K1056" s="46"/>
      <c r="L1056" s="105"/>
      <c r="M1056" s="106"/>
      <c r="N1056" s="105"/>
      <c r="O1056" s="46">
        <f>J1056-K1056</f>
        <v>2000000</v>
      </c>
      <c r="P1056" s="46">
        <f>J1056-M1056</f>
        <v>2000000</v>
      </c>
      <c r="Q1056" s="46">
        <v>2000000.0</v>
      </c>
      <c r="R1056" s="101"/>
      <c r="S1056" s="101"/>
      <c r="T1056" s="99"/>
      <c r="U1056" s="99"/>
      <c r="V1056" s="99"/>
      <c r="W1056" s="99"/>
      <c r="X1056" s="99"/>
      <c r="Y1056" s="99"/>
      <c r="Z1056" s="99"/>
      <c r="AA1056" s="99"/>
      <c r="AB1056" s="99"/>
      <c r="AC1056" s="99"/>
      <c r="AD1056" s="99"/>
      <c r="AE1056" s="99"/>
      <c r="AF1056" s="99"/>
      <c r="AG1056" s="99"/>
      <c r="AH1056" s="99"/>
      <c r="AI1056" s="99"/>
      <c r="AJ1056" s="99"/>
      <c r="AK1056" s="99"/>
      <c r="AL1056" s="99"/>
      <c r="AM1056" s="99"/>
    </row>
    <row r="1057" ht="12.75" customHeight="1">
      <c r="A1057" s="144" t="s">
        <v>60</v>
      </c>
      <c r="D1057" s="144" t="s">
        <v>61</v>
      </c>
      <c r="G1057" s="104"/>
      <c r="H1057" s="128"/>
      <c r="I1057" s="104"/>
      <c r="J1057" s="129">
        <f t="shared" ref="J1057:K1057" si="1033">J1058+J1061+J1065+J1068+J1071</f>
        <v>220800000</v>
      </c>
      <c r="K1057" s="43">
        <f t="shared" si="1033"/>
        <v>0</v>
      </c>
      <c r="L1057" s="105"/>
      <c r="M1057" s="106"/>
      <c r="N1057" s="105"/>
      <c r="O1057" s="43">
        <f t="shared" ref="O1057:P1057" si="1034">O1058+O1061+O1065+O1068+O1071</f>
        <v>220800000</v>
      </c>
      <c r="P1057" s="43">
        <f t="shared" si="1034"/>
        <v>220800000</v>
      </c>
      <c r="Q1057" s="43">
        <v>2.208E8</v>
      </c>
      <c r="R1057" s="101"/>
      <c r="S1057" s="101"/>
      <c r="T1057" s="99"/>
      <c r="U1057" s="99"/>
      <c r="V1057" s="99"/>
      <c r="W1057" s="99"/>
      <c r="X1057" s="99"/>
      <c r="Y1057" s="99"/>
      <c r="Z1057" s="99"/>
      <c r="AA1057" s="99"/>
      <c r="AB1057" s="99"/>
      <c r="AC1057" s="99"/>
      <c r="AD1057" s="99"/>
      <c r="AE1057" s="99"/>
      <c r="AF1057" s="99"/>
      <c r="AG1057" s="99"/>
      <c r="AH1057" s="99"/>
      <c r="AI1057" s="99"/>
      <c r="AJ1057" s="99"/>
      <c r="AK1057" s="99"/>
      <c r="AL1057" s="99"/>
      <c r="AM1057" s="99"/>
    </row>
    <row r="1058" ht="12.75" customHeight="1">
      <c r="A1058" s="110" t="s">
        <v>40</v>
      </c>
      <c r="D1058" s="145" t="s">
        <v>22</v>
      </c>
      <c r="G1058" s="104"/>
      <c r="H1058" s="133"/>
      <c r="I1058" s="104"/>
      <c r="J1058" s="134">
        <f t="shared" ref="J1058:K1058" si="1035">J1060</f>
        <v>31800000</v>
      </c>
      <c r="K1058" s="46" t="str">
        <f t="shared" si="1035"/>
        <v/>
      </c>
      <c r="L1058" s="105"/>
      <c r="M1058" s="106"/>
      <c r="N1058" s="105"/>
      <c r="O1058" s="46">
        <f t="shared" ref="O1058:P1058" si="1036">O1060</f>
        <v>31800000</v>
      </c>
      <c r="P1058" s="46">
        <f t="shared" si="1036"/>
        <v>31800000</v>
      </c>
      <c r="Q1058" s="46">
        <v>3.18E7</v>
      </c>
      <c r="R1058" s="101"/>
      <c r="S1058" s="101"/>
      <c r="T1058" s="99"/>
      <c r="U1058" s="99"/>
      <c r="V1058" s="99"/>
      <c r="W1058" s="99"/>
      <c r="X1058" s="99"/>
      <c r="Y1058" s="99"/>
      <c r="Z1058" s="99"/>
      <c r="AA1058" s="99"/>
      <c r="AB1058" s="99"/>
      <c r="AC1058" s="99"/>
      <c r="AD1058" s="99"/>
      <c r="AE1058" s="99"/>
      <c r="AF1058" s="99"/>
      <c r="AG1058" s="99"/>
      <c r="AH1058" s="99"/>
      <c r="AI1058" s="99"/>
      <c r="AJ1058" s="99"/>
      <c r="AK1058" s="99"/>
      <c r="AL1058" s="99"/>
      <c r="AM1058" s="99"/>
    </row>
    <row r="1059" ht="12.75" customHeight="1">
      <c r="A1059" s="104"/>
      <c r="B1059" s="104"/>
      <c r="C1059" s="104"/>
      <c r="D1059" s="110" t="s">
        <v>23</v>
      </c>
      <c r="G1059" s="104"/>
      <c r="H1059" s="104"/>
      <c r="I1059" s="104"/>
      <c r="J1059" s="111"/>
      <c r="K1059" s="111"/>
      <c r="L1059" s="105"/>
      <c r="M1059" s="106"/>
      <c r="N1059" s="105"/>
      <c r="O1059" s="111"/>
      <c r="P1059" s="111"/>
      <c r="Q1059" s="111"/>
      <c r="R1059" s="101"/>
      <c r="S1059" s="101"/>
      <c r="T1059" s="99"/>
      <c r="U1059" s="99"/>
      <c r="V1059" s="99"/>
      <c r="W1059" s="99"/>
      <c r="X1059" s="99"/>
      <c r="Y1059" s="99"/>
      <c r="Z1059" s="99"/>
      <c r="AA1059" s="99"/>
      <c r="AB1059" s="99"/>
      <c r="AC1059" s="99"/>
      <c r="AD1059" s="99"/>
      <c r="AE1059" s="99"/>
      <c r="AF1059" s="99"/>
      <c r="AG1059" s="99"/>
      <c r="AH1059" s="99"/>
      <c r="AI1059" s="99"/>
      <c r="AJ1059" s="99"/>
      <c r="AK1059" s="99"/>
      <c r="AL1059" s="99"/>
      <c r="AM1059" s="99"/>
    </row>
    <row r="1060" ht="15.75" customHeight="1">
      <c r="A1060" s="104"/>
      <c r="B1060" s="104"/>
      <c r="C1060" s="104"/>
      <c r="D1060" s="110" t="s">
        <v>24</v>
      </c>
      <c r="E1060" s="110" t="s">
        <v>166</v>
      </c>
      <c r="G1060" s="136">
        <v>600.0</v>
      </c>
      <c r="H1060" s="136" t="s">
        <v>26</v>
      </c>
      <c r="I1060" s="137">
        <v>53000.0</v>
      </c>
      <c r="J1060" s="46">
        <f>G1060*I1060</f>
        <v>31800000</v>
      </c>
      <c r="K1060" s="46"/>
      <c r="L1060" s="105"/>
      <c r="M1060" s="106"/>
      <c r="N1060" s="105"/>
      <c r="O1060" s="46">
        <f>J1060-K1060</f>
        <v>31800000</v>
      </c>
      <c r="P1060" s="46">
        <f>J1060-M1060</f>
        <v>31800000</v>
      </c>
      <c r="Q1060" s="46">
        <v>3.18E7</v>
      </c>
      <c r="R1060" s="101"/>
      <c r="S1060" s="101"/>
      <c r="T1060" s="99"/>
      <c r="U1060" s="99"/>
      <c r="V1060" s="99"/>
      <c r="W1060" s="99"/>
      <c r="X1060" s="99"/>
      <c r="Y1060" s="99"/>
      <c r="Z1060" s="99"/>
      <c r="AA1060" s="99"/>
      <c r="AB1060" s="99"/>
      <c r="AC1060" s="99"/>
      <c r="AD1060" s="99"/>
      <c r="AE1060" s="99"/>
      <c r="AF1060" s="99"/>
      <c r="AG1060" s="99"/>
      <c r="AH1060" s="99"/>
      <c r="AI1060" s="99"/>
      <c r="AJ1060" s="99"/>
      <c r="AK1060" s="99"/>
      <c r="AL1060" s="99"/>
      <c r="AM1060" s="99"/>
    </row>
    <row r="1061" ht="12.75" customHeight="1">
      <c r="A1061" s="110" t="s">
        <v>63</v>
      </c>
      <c r="D1061" s="145" t="s">
        <v>64</v>
      </c>
      <c r="G1061" s="104"/>
      <c r="H1061" s="133"/>
      <c r="I1061" s="104"/>
      <c r="J1061" s="134">
        <f t="shared" ref="J1061:K1061" si="1037">SUM(J1063:J1064)</f>
        <v>115000000</v>
      </c>
      <c r="K1061" s="46">
        <f t="shared" si="1037"/>
        <v>0</v>
      </c>
      <c r="L1061" s="105"/>
      <c r="M1061" s="106"/>
      <c r="N1061" s="105"/>
      <c r="O1061" s="46">
        <f t="shared" ref="O1061:P1061" si="1038">SUM(O1063:O1064)</f>
        <v>115000000</v>
      </c>
      <c r="P1061" s="46">
        <f t="shared" si="1038"/>
        <v>115000000</v>
      </c>
      <c r="Q1061" s="46">
        <v>1.15E8</v>
      </c>
      <c r="R1061" s="101"/>
      <c r="S1061" s="101"/>
      <c r="T1061" s="99"/>
      <c r="U1061" s="99"/>
      <c r="V1061" s="99"/>
      <c r="W1061" s="99"/>
      <c r="X1061" s="99"/>
      <c r="Y1061" s="99"/>
      <c r="Z1061" s="99"/>
      <c r="AA1061" s="99"/>
      <c r="AB1061" s="99"/>
      <c r="AC1061" s="99"/>
      <c r="AD1061" s="99"/>
      <c r="AE1061" s="99"/>
      <c r="AF1061" s="99"/>
      <c r="AG1061" s="99"/>
      <c r="AH1061" s="99"/>
      <c r="AI1061" s="99"/>
      <c r="AJ1061" s="99"/>
      <c r="AK1061" s="99"/>
      <c r="AL1061" s="99"/>
      <c r="AM1061" s="99"/>
    </row>
    <row r="1062" ht="12.75" customHeight="1">
      <c r="A1062" s="104"/>
      <c r="B1062" s="104"/>
      <c r="C1062" s="104"/>
      <c r="D1062" s="110" t="s">
        <v>23</v>
      </c>
      <c r="G1062" s="104"/>
      <c r="H1062" s="104"/>
      <c r="I1062" s="104"/>
      <c r="J1062" s="111"/>
      <c r="K1062" s="111"/>
      <c r="L1062" s="105"/>
      <c r="M1062" s="106"/>
      <c r="N1062" s="105"/>
      <c r="O1062" s="111"/>
      <c r="P1062" s="111"/>
      <c r="Q1062" s="111"/>
      <c r="R1062" s="101"/>
      <c r="S1062" s="101"/>
      <c r="T1062" s="99"/>
      <c r="U1062" s="99"/>
      <c r="V1062" s="99"/>
      <c r="W1062" s="99"/>
      <c r="X1062" s="99"/>
      <c r="Y1062" s="99"/>
      <c r="Z1062" s="99"/>
      <c r="AA1062" s="99"/>
      <c r="AB1062" s="99"/>
      <c r="AC1062" s="99"/>
      <c r="AD1062" s="99"/>
      <c r="AE1062" s="99"/>
      <c r="AF1062" s="99"/>
      <c r="AG1062" s="99"/>
      <c r="AH1062" s="99"/>
      <c r="AI1062" s="99"/>
      <c r="AJ1062" s="99"/>
      <c r="AK1062" s="99"/>
      <c r="AL1062" s="99"/>
      <c r="AM1062" s="99"/>
    </row>
    <row r="1063" ht="15.75" customHeight="1">
      <c r="A1063" s="104"/>
      <c r="B1063" s="104"/>
      <c r="C1063" s="104"/>
      <c r="D1063" s="110" t="s">
        <v>24</v>
      </c>
      <c r="E1063" s="110" t="s">
        <v>289</v>
      </c>
      <c r="G1063" s="136">
        <v>1.0</v>
      </c>
      <c r="H1063" s="136" t="s">
        <v>97</v>
      </c>
      <c r="I1063" s="137">
        <v>9.5E7</v>
      </c>
      <c r="J1063" s="46">
        <f t="shared" ref="J1063:J1064" si="1039">G1063*I1063</f>
        <v>95000000</v>
      </c>
      <c r="K1063" s="46"/>
      <c r="L1063" s="105"/>
      <c r="M1063" s="106"/>
      <c r="N1063" s="105"/>
      <c r="O1063" s="46">
        <f t="shared" ref="O1063:O1064" si="1040">J1063-K1063</f>
        <v>95000000</v>
      </c>
      <c r="P1063" s="46">
        <f t="shared" ref="P1063:P1064" si="1041">J1063-M1063</f>
        <v>95000000</v>
      </c>
      <c r="Q1063" s="46">
        <v>9.5E7</v>
      </c>
      <c r="R1063" s="101"/>
      <c r="S1063" s="101"/>
      <c r="T1063" s="99"/>
      <c r="U1063" s="99"/>
      <c r="V1063" s="99"/>
      <c r="W1063" s="99"/>
      <c r="X1063" s="99"/>
      <c r="Y1063" s="99"/>
      <c r="Z1063" s="99"/>
      <c r="AA1063" s="99"/>
      <c r="AB1063" s="99"/>
      <c r="AC1063" s="99"/>
      <c r="AD1063" s="99"/>
      <c r="AE1063" s="99"/>
      <c r="AF1063" s="99"/>
      <c r="AG1063" s="99"/>
      <c r="AH1063" s="99"/>
      <c r="AI1063" s="99"/>
      <c r="AJ1063" s="99"/>
      <c r="AK1063" s="99"/>
      <c r="AL1063" s="99"/>
      <c r="AM1063" s="99"/>
    </row>
    <row r="1064" ht="12.75" customHeight="1">
      <c r="A1064" s="104"/>
      <c r="B1064" s="104"/>
      <c r="C1064" s="104"/>
      <c r="D1064" s="110" t="s">
        <v>24</v>
      </c>
      <c r="E1064" s="110" t="s">
        <v>167</v>
      </c>
      <c r="G1064" s="136">
        <v>100.0</v>
      </c>
      <c r="H1064" s="136" t="s">
        <v>26</v>
      </c>
      <c r="I1064" s="137">
        <v>200000.0</v>
      </c>
      <c r="J1064" s="46">
        <f t="shared" si="1039"/>
        <v>20000000</v>
      </c>
      <c r="K1064" s="46"/>
      <c r="L1064" s="105"/>
      <c r="M1064" s="106"/>
      <c r="N1064" s="105"/>
      <c r="O1064" s="46">
        <f t="shared" si="1040"/>
        <v>20000000</v>
      </c>
      <c r="P1064" s="46">
        <f t="shared" si="1041"/>
        <v>20000000</v>
      </c>
      <c r="Q1064" s="46">
        <v>2.0E7</v>
      </c>
      <c r="R1064" s="101"/>
      <c r="S1064" s="101"/>
      <c r="T1064" s="99"/>
      <c r="U1064" s="99"/>
      <c r="V1064" s="99"/>
      <c r="W1064" s="99"/>
      <c r="X1064" s="99"/>
      <c r="Y1064" s="99"/>
      <c r="Z1064" s="99"/>
      <c r="AA1064" s="99"/>
      <c r="AB1064" s="99"/>
      <c r="AC1064" s="99"/>
      <c r="AD1064" s="99"/>
      <c r="AE1064" s="99"/>
      <c r="AF1064" s="99"/>
      <c r="AG1064" s="99"/>
      <c r="AH1064" s="99"/>
      <c r="AI1064" s="99"/>
      <c r="AJ1064" s="99"/>
      <c r="AK1064" s="99"/>
      <c r="AL1064" s="99"/>
      <c r="AM1064" s="99"/>
    </row>
    <row r="1065" ht="12.75" customHeight="1">
      <c r="A1065" s="110" t="s">
        <v>68</v>
      </c>
      <c r="D1065" s="145" t="s">
        <v>69</v>
      </c>
      <c r="G1065" s="104"/>
      <c r="H1065" s="133"/>
      <c r="I1065" s="104"/>
      <c r="J1065" s="134">
        <f t="shared" ref="J1065:K1065" si="1042">J1067</f>
        <v>10000000</v>
      </c>
      <c r="K1065" s="46" t="str">
        <f t="shared" si="1042"/>
        <v/>
      </c>
      <c r="L1065" s="105"/>
      <c r="M1065" s="106"/>
      <c r="N1065" s="105"/>
      <c r="O1065" s="46">
        <f t="shared" ref="O1065:P1065" si="1043">O1067</f>
        <v>10000000</v>
      </c>
      <c r="P1065" s="46">
        <f t="shared" si="1043"/>
        <v>10000000</v>
      </c>
      <c r="Q1065" s="46">
        <v>1.0E7</v>
      </c>
      <c r="R1065" s="101"/>
      <c r="S1065" s="101"/>
      <c r="T1065" s="99"/>
      <c r="U1065" s="99"/>
      <c r="V1065" s="99"/>
      <c r="W1065" s="99"/>
      <c r="X1065" s="99"/>
      <c r="Y1065" s="99"/>
      <c r="Z1065" s="99"/>
      <c r="AA1065" s="99"/>
      <c r="AB1065" s="99"/>
      <c r="AC1065" s="99"/>
      <c r="AD1065" s="99"/>
      <c r="AE1065" s="99"/>
      <c r="AF1065" s="99"/>
      <c r="AG1065" s="99"/>
      <c r="AH1065" s="99"/>
      <c r="AI1065" s="99"/>
      <c r="AJ1065" s="99"/>
      <c r="AK1065" s="99"/>
      <c r="AL1065" s="99"/>
      <c r="AM1065" s="99"/>
    </row>
    <row r="1066" ht="12.75" customHeight="1">
      <c r="A1066" s="104"/>
      <c r="B1066" s="104"/>
      <c r="C1066" s="104"/>
      <c r="D1066" s="110" t="s">
        <v>23</v>
      </c>
      <c r="G1066" s="104"/>
      <c r="H1066" s="104"/>
      <c r="I1066" s="104"/>
      <c r="J1066" s="111"/>
      <c r="K1066" s="111"/>
      <c r="L1066" s="105"/>
      <c r="M1066" s="106"/>
      <c r="N1066" s="105"/>
      <c r="O1066" s="111"/>
      <c r="P1066" s="111"/>
      <c r="Q1066" s="111"/>
      <c r="R1066" s="101"/>
      <c r="S1066" s="101"/>
      <c r="T1066" s="99"/>
      <c r="U1066" s="99"/>
      <c r="V1066" s="99"/>
      <c r="W1066" s="99"/>
      <c r="X1066" s="99"/>
      <c r="Y1066" s="99"/>
      <c r="Z1066" s="99"/>
      <c r="AA1066" s="99"/>
      <c r="AB1066" s="99"/>
      <c r="AC1066" s="99"/>
      <c r="AD1066" s="99"/>
      <c r="AE1066" s="99"/>
      <c r="AF1066" s="99"/>
      <c r="AG1066" s="99"/>
      <c r="AH1066" s="99"/>
      <c r="AI1066" s="99"/>
      <c r="AJ1066" s="99"/>
      <c r="AK1066" s="99"/>
      <c r="AL1066" s="99"/>
      <c r="AM1066" s="99"/>
    </row>
    <row r="1067" ht="12.75" customHeight="1">
      <c r="A1067" s="104"/>
      <c r="B1067" s="104"/>
      <c r="C1067" s="104"/>
      <c r="D1067" s="110" t="s">
        <v>24</v>
      </c>
      <c r="E1067" s="110" t="s">
        <v>70</v>
      </c>
      <c r="G1067" s="136">
        <v>20.0</v>
      </c>
      <c r="H1067" s="136" t="s">
        <v>26</v>
      </c>
      <c r="I1067" s="137">
        <v>500000.0</v>
      </c>
      <c r="J1067" s="46">
        <f>G1067*I1067</f>
        <v>10000000</v>
      </c>
      <c r="K1067" s="46"/>
      <c r="L1067" s="105"/>
      <c r="M1067" s="106"/>
      <c r="N1067" s="105"/>
      <c r="O1067" s="46">
        <f>J1067-K1067</f>
        <v>10000000</v>
      </c>
      <c r="P1067" s="46">
        <f>J1067-M1067</f>
        <v>10000000</v>
      </c>
      <c r="Q1067" s="46">
        <v>1.0E7</v>
      </c>
      <c r="R1067" s="101"/>
      <c r="S1067" s="101"/>
      <c r="T1067" s="99"/>
      <c r="U1067" s="99"/>
      <c r="V1067" s="99"/>
      <c r="W1067" s="99"/>
      <c r="X1067" s="99"/>
      <c r="Y1067" s="99"/>
      <c r="Z1067" s="99"/>
      <c r="AA1067" s="99"/>
      <c r="AB1067" s="99"/>
      <c r="AC1067" s="99"/>
      <c r="AD1067" s="99"/>
      <c r="AE1067" s="99"/>
      <c r="AF1067" s="99"/>
      <c r="AG1067" s="99"/>
      <c r="AH1067" s="99"/>
      <c r="AI1067" s="99"/>
      <c r="AJ1067" s="99"/>
      <c r="AK1067" s="99"/>
      <c r="AL1067" s="99"/>
      <c r="AM1067" s="99"/>
    </row>
    <row r="1068" ht="12.75" customHeight="1">
      <c r="A1068" s="110" t="s">
        <v>47</v>
      </c>
      <c r="D1068" s="145" t="s">
        <v>48</v>
      </c>
      <c r="G1068" s="104"/>
      <c r="H1068" s="133"/>
      <c r="I1068" s="104"/>
      <c r="J1068" s="134">
        <f t="shared" ref="J1068:K1068" si="1044">J1070</f>
        <v>16000000</v>
      </c>
      <c r="K1068" s="46" t="str">
        <f t="shared" si="1044"/>
        <v/>
      </c>
      <c r="L1068" s="105"/>
      <c r="M1068" s="106"/>
      <c r="N1068" s="105"/>
      <c r="O1068" s="46">
        <f t="shared" ref="O1068:P1068" si="1045">O1070</f>
        <v>16000000</v>
      </c>
      <c r="P1068" s="46">
        <f t="shared" si="1045"/>
        <v>16000000</v>
      </c>
      <c r="Q1068" s="46">
        <v>1.6E7</v>
      </c>
      <c r="R1068" s="101"/>
      <c r="S1068" s="101"/>
      <c r="T1068" s="99"/>
      <c r="U1068" s="99"/>
      <c r="V1068" s="99"/>
      <c r="W1068" s="99"/>
      <c r="X1068" s="99"/>
      <c r="Y1068" s="99"/>
      <c r="Z1068" s="99"/>
      <c r="AA1068" s="99"/>
      <c r="AB1068" s="99"/>
      <c r="AC1068" s="99"/>
      <c r="AD1068" s="99"/>
      <c r="AE1068" s="99"/>
      <c r="AF1068" s="99"/>
      <c r="AG1068" s="99"/>
      <c r="AH1068" s="99"/>
      <c r="AI1068" s="99"/>
      <c r="AJ1068" s="99"/>
      <c r="AK1068" s="99"/>
      <c r="AL1068" s="99"/>
      <c r="AM1068" s="99"/>
    </row>
    <row r="1069" ht="12.75" customHeight="1">
      <c r="A1069" s="104"/>
      <c r="B1069" s="104"/>
      <c r="C1069" s="104"/>
      <c r="D1069" s="110" t="s">
        <v>23</v>
      </c>
      <c r="G1069" s="104"/>
      <c r="H1069" s="104"/>
      <c r="I1069" s="104"/>
      <c r="J1069" s="111"/>
      <c r="K1069" s="111"/>
      <c r="L1069" s="105"/>
      <c r="M1069" s="106"/>
      <c r="N1069" s="105"/>
      <c r="O1069" s="111"/>
      <c r="P1069" s="111"/>
      <c r="Q1069" s="111"/>
      <c r="R1069" s="101"/>
      <c r="S1069" s="101"/>
      <c r="T1069" s="99"/>
      <c r="U1069" s="99"/>
      <c r="V1069" s="99"/>
      <c r="W1069" s="99"/>
      <c r="X1069" s="99"/>
      <c r="Y1069" s="99"/>
      <c r="Z1069" s="99"/>
      <c r="AA1069" s="99"/>
      <c r="AB1069" s="99"/>
      <c r="AC1069" s="99"/>
      <c r="AD1069" s="99"/>
      <c r="AE1069" s="99"/>
      <c r="AF1069" s="99"/>
      <c r="AG1069" s="99"/>
      <c r="AH1069" s="99"/>
      <c r="AI1069" s="99"/>
      <c r="AJ1069" s="99"/>
      <c r="AK1069" s="99"/>
      <c r="AL1069" s="99"/>
      <c r="AM1069" s="99"/>
    </row>
    <row r="1070" ht="12.75" customHeight="1">
      <c r="A1070" s="104"/>
      <c r="B1070" s="104"/>
      <c r="C1070" s="104"/>
      <c r="D1070" s="110" t="s">
        <v>24</v>
      </c>
      <c r="E1070" s="110" t="s">
        <v>165</v>
      </c>
      <c r="G1070" s="136">
        <v>4.0</v>
      </c>
      <c r="H1070" s="136" t="s">
        <v>26</v>
      </c>
      <c r="I1070" s="137">
        <v>4000000.0</v>
      </c>
      <c r="J1070" s="46">
        <f>G1070*I1070</f>
        <v>16000000</v>
      </c>
      <c r="K1070" s="46"/>
      <c r="L1070" s="105"/>
      <c r="M1070" s="106"/>
      <c r="N1070" s="105"/>
      <c r="O1070" s="46">
        <f>J1070-K1070</f>
        <v>16000000</v>
      </c>
      <c r="P1070" s="46">
        <f>J1070-M1070</f>
        <v>16000000</v>
      </c>
      <c r="Q1070" s="46">
        <v>1.6E7</v>
      </c>
      <c r="R1070" s="101"/>
      <c r="S1070" s="101"/>
      <c r="T1070" s="99"/>
      <c r="U1070" s="99"/>
      <c r="V1070" s="99"/>
      <c r="W1070" s="99"/>
      <c r="X1070" s="99"/>
      <c r="Y1070" s="99"/>
      <c r="Z1070" s="99"/>
      <c r="AA1070" s="99"/>
      <c r="AB1070" s="99"/>
      <c r="AC1070" s="99"/>
      <c r="AD1070" s="99"/>
      <c r="AE1070" s="99"/>
      <c r="AF1070" s="99"/>
      <c r="AG1070" s="99"/>
      <c r="AH1070" s="99"/>
      <c r="AI1070" s="99"/>
      <c r="AJ1070" s="99"/>
      <c r="AK1070" s="99"/>
      <c r="AL1070" s="99"/>
      <c r="AM1070" s="99"/>
    </row>
    <row r="1071" ht="12.75" customHeight="1">
      <c r="A1071" s="110" t="s">
        <v>58</v>
      </c>
      <c r="D1071" s="145" t="s">
        <v>34</v>
      </c>
      <c r="G1071" s="104"/>
      <c r="H1071" s="133"/>
      <c r="I1071" s="104"/>
      <c r="J1071" s="134">
        <f t="shared" ref="J1071:K1071" si="1046">J1073</f>
        <v>48000000</v>
      </c>
      <c r="K1071" s="46" t="str">
        <f t="shared" si="1046"/>
        <v/>
      </c>
      <c r="L1071" s="105"/>
      <c r="M1071" s="106"/>
      <c r="N1071" s="105"/>
      <c r="O1071" s="46">
        <f t="shared" ref="O1071:P1071" si="1047">O1073</f>
        <v>48000000</v>
      </c>
      <c r="P1071" s="46">
        <f t="shared" si="1047"/>
        <v>48000000</v>
      </c>
      <c r="Q1071" s="46">
        <v>4.8E7</v>
      </c>
      <c r="R1071" s="101"/>
      <c r="S1071" s="101"/>
      <c r="T1071" s="99"/>
      <c r="U1071" s="99"/>
      <c r="V1071" s="99"/>
      <c r="W1071" s="99"/>
      <c r="X1071" s="99"/>
      <c r="Y1071" s="99"/>
      <c r="Z1071" s="99"/>
      <c r="AA1071" s="99"/>
      <c r="AB1071" s="99"/>
      <c r="AC1071" s="99"/>
      <c r="AD1071" s="99"/>
      <c r="AE1071" s="99"/>
      <c r="AF1071" s="99"/>
      <c r="AG1071" s="99"/>
      <c r="AH1071" s="99"/>
      <c r="AI1071" s="99"/>
      <c r="AJ1071" s="99"/>
      <c r="AK1071" s="99"/>
      <c r="AL1071" s="99"/>
      <c r="AM1071" s="99"/>
    </row>
    <row r="1072" ht="12.75" customHeight="1">
      <c r="A1072" s="104"/>
      <c r="B1072" s="104"/>
      <c r="C1072" s="104"/>
      <c r="D1072" s="110" t="s">
        <v>23</v>
      </c>
      <c r="G1072" s="104"/>
      <c r="H1072" s="104"/>
      <c r="I1072" s="104"/>
      <c r="J1072" s="111"/>
      <c r="K1072" s="111"/>
      <c r="L1072" s="105"/>
      <c r="M1072" s="106"/>
      <c r="N1072" s="105"/>
      <c r="O1072" s="111"/>
      <c r="P1072" s="111"/>
      <c r="Q1072" s="111"/>
      <c r="R1072" s="101"/>
      <c r="S1072" s="101"/>
      <c r="T1072" s="99"/>
      <c r="U1072" s="99"/>
      <c r="V1072" s="99"/>
      <c r="W1072" s="99"/>
      <c r="X1072" s="99"/>
      <c r="Y1072" s="99"/>
      <c r="Z1072" s="99"/>
      <c r="AA1072" s="99"/>
      <c r="AB1072" s="99"/>
      <c r="AC1072" s="99"/>
      <c r="AD1072" s="99"/>
      <c r="AE1072" s="99"/>
      <c r="AF1072" s="99"/>
      <c r="AG1072" s="99"/>
      <c r="AH1072" s="99"/>
      <c r="AI1072" s="99"/>
      <c r="AJ1072" s="99"/>
      <c r="AK1072" s="99"/>
      <c r="AL1072" s="99"/>
      <c r="AM1072" s="99"/>
    </row>
    <row r="1073" ht="15.75" customHeight="1">
      <c r="A1073" s="104"/>
      <c r="B1073" s="104"/>
      <c r="C1073" s="104"/>
      <c r="D1073" s="110" t="s">
        <v>24</v>
      </c>
      <c r="E1073" s="110" t="s">
        <v>71</v>
      </c>
      <c r="G1073" s="136">
        <v>96.0</v>
      </c>
      <c r="H1073" s="136" t="s">
        <v>26</v>
      </c>
      <c r="I1073" s="137">
        <v>500000.0</v>
      </c>
      <c r="J1073" s="46">
        <f>G1073*I1073</f>
        <v>48000000</v>
      </c>
      <c r="K1073" s="46"/>
      <c r="L1073" s="105"/>
      <c r="M1073" s="106"/>
      <c r="N1073" s="105"/>
      <c r="O1073" s="46">
        <f>J1073-K1073</f>
        <v>48000000</v>
      </c>
      <c r="P1073" s="46">
        <f>J1073-M1073</f>
        <v>48000000</v>
      </c>
      <c r="Q1073" s="46">
        <v>4.8E7</v>
      </c>
      <c r="R1073" s="101"/>
      <c r="S1073" s="101"/>
      <c r="T1073" s="99"/>
      <c r="U1073" s="99"/>
      <c r="V1073" s="99"/>
      <c r="W1073" s="99"/>
      <c r="X1073" s="99"/>
      <c r="Y1073" s="99"/>
      <c r="Z1073" s="99"/>
      <c r="AA1073" s="99"/>
      <c r="AB1073" s="99"/>
      <c r="AC1073" s="99"/>
      <c r="AD1073" s="99"/>
      <c r="AE1073" s="99"/>
      <c r="AF1073" s="99"/>
      <c r="AG1073" s="99"/>
      <c r="AH1073" s="99"/>
      <c r="AI1073" s="99"/>
      <c r="AJ1073" s="99"/>
      <c r="AK1073" s="99"/>
      <c r="AL1073" s="99"/>
      <c r="AM1073" s="99"/>
    </row>
    <row r="1074" ht="12.75" customHeight="1">
      <c r="A1074" s="144" t="s">
        <v>72</v>
      </c>
      <c r="D1074" s="144" t="s">
        <v>73</v>
      </c>
      <c r="G1074" s="104"/>
      <c r="H1074" s="128"/>
      <c r="I1074" s="104"/>
      <c r="J1074" s="129">
        <f t="shared" ref="J1074:K1074" si="1048">J1075+J1080</f>
        <v>151200000</v>
      </c>
      <c r="K1074" s="43">
        <f t="shared" si="1048"/>
        <v>0</v>
      </c>
      <c r="L1074" s="105"/>
      <c r="M1074" s="106"/>
      <c r="N1074" s="105"/>
      <c r="O1074" s="43">
        <f t="shared" ref="O1074:P1074" si="1049">O1075+O1080</f>
        <v>151200000</v>
      </c>
      <c r="P1074" s="43">
        <f t="shared" si="1049"/>
        <v>151200000</v>
      </c>
      <c r="Q1074" s="43">
        <v>1.512E8</v>
      </c>
      <c r="R1074" s="101"/>
      <c r="S1074" s="101"/>
      <c r="T1074" s="99"/>
      <c r="U1074" s="99"/>
      <c r="V1074" s="99"/>
      <c r="W1074" s="99"/>
      <c r="X1074" s="99"/>
      <c r="Y1074" s="99"/>
      <c r="Z1074" s="99"/>
      <c r="AA1074" s="99"/>
      <c r="AB1074" s="99"/>
      <c r="AC1074" s="99"/>
      <c r="AD1074" s="99"/>
      <c r="AE1074" s="99"/>
      <c r="AF1074" s="99"/>
      <c r="AG1074" s="99"/>
      <c r="AH1074" s="99"/>
      <c r="AI1074" s="99"/>
      <c r="AJ1074" s="99"/>
      <c r="AK1074" s="99"/>
      <c r="AL1074" s="99"/>
      <c r="AM1074" s="99"/>
    </row>
    <row r="1075" ht="12.75" customHeight="1">
      <c r="A1075" s="110" t="s">
        <v>74</v>
      </c>
      <c r="D1075" s="145" t="s">
        <v>75</v>
      </c>
      <c r="G1075" s="104"/>
      <c r="H1075" s="133"/>
      <c r="I1075" s="104"/>
      <c r="J1075" s="134">
        <f t="shared" ref="J1075:K1075" si="1050">SUM(J1077:J1079)</f>
        <v>142700000</v>
      </c>
      <c r="K1075" s="46">
        <f t="shared" si="1050"/>
        <v>0</v>
      </c>
      <c r="L1075" s="105"/>
      <c r="M1075" s="106"/>
      <c r="N1075" s="105"/>
      <c r="O1075" s="46">
        <f t="shared" ref="O1075:P1075" si="1051">SUM(O1077:O1079)</f>
        <v>142700000</v>
      </c>
      <c r="P1075" s="46">
        <f t="shared" si="1051"/>
        <v>142700000</v>
      </c>
      <c r="Q1075" s="46">
        <v>1.427E8</v>
      </c>
      <c r="R1075" s="101"/>
      <c r="S1075" s="101"/>
      <c r="T1075" s="99"/>
      <c r="U1075" s="99"/>
      <c r="V1075" s="99"/>
      <c r="W1075" s="99"/>
      <c r="X1075" s="99"/>
      <c r="Y1075" s="99"/>
      <c r="Z1075" s="99"/>
      <c r="AA1075" s="99"/>
      <c r="AB1075" s="99"/>
      <c r="AC1075" s="99"/>
      <c r="AD1075" s="99"/>
      <c r="AE1075" s="99"/>
      <c r="AF1075" s="99"/>
      <c r="AG1075" s="99"/>
      <c r="AH1075" s="99"/>
      <c r="AI1075" s="99"/>
      <c r="AJ1075" s="99"/>
      <c r="AK1075" s="99"/>
      <c r="AL1075" s="99"/>
      <c r="AM1075" s="99"/>
    </row>
    <row r="1076" ht="12.75" customHeight="1">
      <c r="A1076" s="104"/>
      <c r="B1076" s="104"/>
      <c r="C1076" s="104"/>
      <c r="D1076" s="110" t="s">
        <v>23</v>
      </c>
      <c r="G1076" s="104"/>
      <c r="H1076" s="104"/>
      <c r="I1076" s="104"/>
      <c r="J1076" s="111"/>
      <c r="K1076" s="111"/>
      <c r="L1076" s="105"/>
      <c r="M1076" s="106"/>
      <c r="N1076" s="105"/>
      <c r="O1076" s="111"/>
      <c r="P1076" s="111"/>
      <c r="Q1076" s="111"/>
      <c r="R1076" s="101"/>
      <c r="S1076" s="101"/>
      <c r="T1076" s="99"/>
      <c r="U1076" s="99"/>
      <c r="V1076" s="99"/>
      <c r="W1076" s="99"/>
      <c r="X1076" s="99"/>
      <c r="Y1076" s="99"/>
      <c r="Z1076" s="99"/>
      <c r="AA1076" s="99"/>
      <c r="AB1076" s="99"/>
      <c r="AC1076" s="99"/>
      <c r="AD1076" s="99"/>
      <c r="AE1076" s="99"/>
      <c r="AF1076" s="99"/>
      <c r="AG1076" s="99"/>
      <c r="AH1076" s="99"/>
      <c r="AI1076" s="99"/>
      <c r="AJ1076" s="99"/>
      <c r="AK1076" s="99"/>
      <c r="AL1076" s="99"/>
      <c r="AM1076" s="99"/>
    </row>
    <row r="1077" ht="12.75" customHeight="1">
      <c r="A1077" s="104"/>
      <c r="B1077" s="104"/>
      <c r="C1077" s="104"/>
      <c r="D1077" s="110" t="s">
        <v>24</v>
      </c>
      <c r="E1077" s="110" t="s">
        <v>76</v>
      </c>
      <c r="G1077" s="136">
        <v>20.0</v>
      </c>
      <c r="H1077" s="136" t="s">
        <v>26</v>
      </c>
      <c r="I1077" s="137">
        <v>5000000.0</v>
      </c>
      <c r="J1077" s="46">
        <f t="shared" ref="J1077:J1079" si="1052">G1077*I1077</f>
        <v>100000000</v>
      </c>
      <c r="K1077" s="46"/>
      <c r="L1077" s="105"/>
      <c r="M1077" s="106"/>
      <c r="N1077" s="105"/>
      <c r="O1077" s="46">
        <f t="shared" ref="O1077:O1079" si="1053">J1077-K1077</f>
        <v>100000000</v>
      </c>
      <c r="P1077" s="46">
        <f t="shared" ref="P1077:P1079" si="1054">J1077-M1077</f>
        <v>100000000</v>
      </c>
      <c r="Q1077" s="46">
        <v>1.0E8</v>
      </c>
      <c r="R1077" s="101"/>
      <c r="S1077" s="101"/>
      <c r="T1077" s="99"/>
      <c r="U1077" s="99"/>
      <c r="V1077" s="99"/>
      <c r="W1077" s="99"/>
      <c r="X1077" s="99"/>
      <c r="Y1077" s="99"/>
      <c r="Z1077" s="99"/>
      <c r="AA1077" s="99"/>
      <c r="AB1077" s="99"/>
      <c r="AC1077" s="99"/>
      <c r="AD1077" s="99"/>
      <c r="AE1077" s="99"/>
      <c r="AF1077" s="99"/>
      <c r="AG1077" s="99"/>
      <c r="AH1077" s="99"/>
      <c r="AI1077" s="99"/>
      <c r="AJ1077" s="99"/>
      <c r="AK1077" s="99"/>
      <c r="AL1077" s="99"/>
      <c r="AM1077" s="99"/>
    </row>
    <row r="1078" ht="15.75" customHeight="1">
      <c r="A1078" s="104"/>
      <c r="B1078" s="104"/>
      <c r="C1078" s="104"/>
      <c r="D1078" s="110" t="s">
        <v>24</v>
      </c>
      <c r="E1078" s="110" t="s">
        <v>77</v>
      </c>
      <c r="G1078" s="136">
        <v>30.0</v>
      </c>
      <c r="H1078" s="136" t="s">
        <v>26</v>
      </c>
      <c r="I1078" s="137">
        <v>850000.0</v>
      </c>
      <c r="J1078" s="46">
        <f t="shared" si="1052"/>
        <v>25500000</v>
      </c>
      <c r="K1078" s="46"/>
      <c r="L1078" s="105"/>
      <c r="M1078" s="106"/>
      <c r="N1078" s="105"/>
      <c r="O1078" s="46">
        <f t="shared" si="1053"/>
        <v>25500000</v>
      </c>
      <c r="P1078" s="46">
        <f t="shared" si="1054"/>
        <v>25500000</v>
      </c>
      <c r="Q1078" s="46">
        <v>2.55E7</v>
      </c>
      <c r="R1078" s="101"/>
      <c r="S1078" s="101"/>
      <c r="T1078" s="99"/>
      <c r="U1078" s="99"/>
      <c r="V1078" s="99"/>
      <c r="W1078" s="99"/>
      <c r="X1078" s="99"/>
      <c r="Y1078" s="99"/>
      <c r="Z1078" s="99"/>
      <c r="AA1078" s="99"/>
      <c r="AB1078" s="99"/>
      <c r="AC1078" s="99"/>
      <c r="AD1078" s="99"/>
      <c r="AE1078" s="99"/>
      <c r="AF1078" s="99"/>
      <c r="AG1078" s="99"/>
      <c r="AH1078" s="99"/>
      <c r="AI1078" s="99"/>
      <c r="AJ1078" s="99"/>
      <c r="AK1078" s="99"/>
      <c r="AL1078" s="99"/>
      <c r="AM1078" s="99"/>
    </row>
    <row r="1079" ht="12.75" customHeight="1">
      <c r="A1079" s="104"/>
      <c r="B1079" s="104"/>
      <c r="C1079" s="104"/>
      <c r="D1079" s="110" t="s">
        <v>24</v>
      </c>
      <c r="E1079" s="110" t="s">
        <v>78</v>
      </c>
      <c r="G1079" s="136">
        <v>40.0</v>
      </c>
      <c r="H1079" s="136" t="s">
        <v>26</v>
      </c>
      <c r="I1079" s="137">
        <v>430000.0</v>
      </c>
      <c r="J1079" s="46">
        <f t="shared" si="1052"/>
        <v>17200000</v>
      </c>
      <c r="K1079" s="46"/>
      <c r="L1079" s="105"/>
      <c r="M1079" s="106"/>
      <c r="N1079" s="105"/>
      <c r="O1079" s="46">
        <f t="shared" si="1053"/>
        <v>17200000</v>
      </c>
      <c r="P1079" s="46">
        <f t="shared" si="1054"/>
        <v>17200000</v>
      </c>
      <c r="Q1079" s="46">
        <v>1.72E7</v>
      </c>
      <c r="R1079" s="101"/>
      <c r="S1079" s="101"/>
      <c r="T1079" s="99"/>
      <c r="U1079" s="99"/>
      <c r="V1079" s="99"/>
      <c r="W1079" s="99"/>
      <c r="X1079" s="99"/>
      <c r="Y1079" s="99"/>
      <c r="Z1079" s="99"/>
      <c r="AA1079" s="99"/>
      <c r="AB1079" s="99"/>
      <c r="AC1079" s="99"/>
      <c r="AD1079" s="99"/>
      <c r="AE1079" s="99"/>
      <c r="AF1079" s="99"/>
      <c r="AG1079" s="99"/>
      <c r="AH1079" s="99"/>
      <c r="AI1079" s="99"/>
      <c r="AJ1079" s="99"/>
      <c r="AK1079" s="99"/>
      <c r="AL1079" s="99"/>
      <c r="AM1079" s="99"/>
    </row>
    <row r="1080" ht="12.75" customHeight="1">
      <c r="A1080" s="110" t="s">
        <v>79</v>
      </c>
      <c r="D1080" s="145" t="s">
        <v>80</v>
      </c>
      <c r="G1080" s="104"/>
      <c r="H1080" s="133"/>
      <c r="I1080" s="104"/>
      <c r="J1080" s="134">
        <f t="shared" ref="J1080:K1080" si="1055">J1082</f>
        <v>8500000</v>
      </c>
      <c r="K1080" s="46" t="str">
        <f t="shared" si="1055"/>
        <v/>
      </c>
      <c r="L1080" s="105"/>
      <c r="M1080" s="106"/>
      <c r="N1080" s="105"/>
      <c r="O1080" s="46">
        <f t="shared" ref="O1080:P1080" si="1056">O1082</f>
        <v>8500000</v>
      </c>
      <c r="P1080" s="46">
        <f t="shared" si="1056"/>
        <v>8500000</v>
      </c>
      <c r="Q1080" s="46">
        <v>8500000.0</v>
      </c>
      <c r="R1080" s="101"/>
      <c r="S1080" s="101"/>
      <c r="T1080" s="99"/>
      <c r="U1080" s="99"/>
      <c r="V1080" s="99"/>
      <c r="W1080" s="99"/>
      <c r="X1080" s="99"/>
      <c r="Y1080" s="99"/>
      <c r="Z1080" s="99"/>
      <c r="AA1080" s="99"/>
      <c r="AB1080" s="99"/>
      <c r="AC1080" s="99"/>
      <c r="AD1080" s="99"/>
      <c r="AE1080" s="99"/>
      <c r="AF1080" s="99"/>
      <c r="AG1080" s="99"/>
      <c r="AH1080" s="99"/>
      <c r="AI1080" s="99"/>
      <c r="AJ1080" s="99"/>
      <c r="AK1080" s="99"/>
      <c r="AL1080" s="99"/>
      <c r="AM1080" s="99"/>
    </row>
    <row r="1081" ht="12.75" customHeight="1">
      <c r="A1081" s="104"/>
      <c r="B1081" s="104"/>
      <c r="C1081" s="104"/>
      <c r="D1081" s="110" t="s">
        <v>23</v>
      </c>
      <c r="G1081" s="104"/>
      <c r="H1081" s="104"/>
      <c r="I1081" s="104"/>
      <c r="J1081" s="111"/>
      <c r="K1081" s="111"/>
      <c r="L1081" s="105"/>
      <c r="M1081" s="106"/>
      <c r="N1081" s="105"/>
      <c r="O1081" s="111"/>
      <c r="P1081" s="111"/>
      <c r="Q1081" s="111"/>
      <c r="R1081" s="101"/>
      <c r="S1081" s="101"/>
      <c r="T1081" s="99"/>
      <c r="U1081" s="99"/>
      <c r="V1081" s="99"/>
      <c r="W1081" s="99"/>
      <c r="X1081" s="99"/>
      <c r="Y1081" s="99"/>
      <c r="Z1081" s="99"/>
      <c r="AA1081" s="99"/>
      <c r="AB1081" s="99"/>
      <c r="AC1081" s="99"/>
      <c r="AD1081" s="99"/>
      <c r="AE1081" s="99"/>
      <c r="AF1081" s="99"/>
      <c r="AG1081" s="99"/>
      <c r="AH1081" s="99"/>
      <c r="AI1081" s="99"/>
      <c r="AJ1081" s="99"/>
      <c r="AK1081" s="99"/>
      <c r="AL1081" s="99"/>
      <c r="AM1081" s="99"/>
    </row>
    <row r="1082" ht="12.75" customHeight="1">
      <c r="A1082" s="104"/>
      <c r="B1082" s="104"/>
      <c r="C1082" s="104"/>
      <c r="D1082" s="110" t="s">
        <v>24</v>
      </c>
      <c r="E1082" s="110" t="s">
        <v>81</v>
      </c>
      <c r="G1082" s="136">
        <v>50.0</v>
      </c>
      <c r="H1082" s="136" t="s">
        <v>26</v>
      </c>
      <c r="I1082" s="137">
        <v>170000.0</v>
      </c>
      <c r="J1082" s="46">
        <f>G1082*I1082</f>
        <v>8500000</v>
      </c>
      <c r="K1082" s="46"/>
      <c r="L1082" s="105"/>
      <c r="M1082" s="106"/>
      <c r="N1082" s="105"/>
      <c r="O1082" s="46">
        <f>J1082-K1082</f>
        <v>8500000</v>
      </c>
      <c r="P1082" s="46">
        <f>J1082-M1082</f>
        <v>8500000</v>
      </c>
      <c r="Q1082" s="46">
        <v>8500000.0</v>
      </c>
      <c r="R1082" s="101"/>
      <c r="S1082" s="101"/>
      <c r="T1082" s="99"/>
      <c r="U1082" s="99"/>
      <c r="V1082" s="99"/>
      <c r="W1082" s="99"/>
      <c r="X1082" s="99"/>
      <c r="Y1082" s="99"/>
      <c r="Z1082" s="99"/>
      <c r="AA1082" s="99"/>
      <c r="AB1082" s="99"/>
      <c r="AC1082" s="99"/>
      <c r="AD1082" s="99"/>
      <c r="AE1082" s="99"/>
      <c r="AF1082" s="99"/>
      <c r="AG1082" s="99"/>
      <c r="AH1082" s="99"/>
      <c r="AI1082" s="99"/>
      <c r="AJ1082" s="99"/>
      <c r="AK1082" s="99"/>
      <c r="AL1082" s="99"/>
      <c r="AM1082" s="99"/>
    </row>
    <row r="1083" ht="12.75" customHeight="1">
      <c r="A1083" s="144" t="s">
        <v>82</v>
      </c>
      <c r="D1083" s="144" t="s">
        <v>83</v>
      </c>
      <c r="G1083" s="104"/>
      <c r="H1083" s="128"/>
      <c r="I1083" s="104"/>
      <c r="J1083" s="129">
        <f t="shared" ref="J1083:K1083" si="1057">J1084+J1089</f>
        <v>1434000000</v>
      </c>
      <c r="K1083" s="43">
        <f t="shared" si="1057"/>
        <v>0</v>
      </c>
      <c r="L1083" s="105"/>
      <c r="M1083" s="106"/>
      <c r="N1083" s="105"/>
      <c r="O1083" s="43">
        <f t="shared" ref="O1083:P1083" si="1058">O1084+O1089</f>
        <v>1434000000</v>
      </c>
      <c r="P1083" s="43">
        <f t="shared" si="1058"/>
        <v>1434000000</v>
      </c>
      <c r="Q1083" s="43">
        <v>1.434E9</v>
      </c>
      <c r="R1083" s="101"/>
      <c r="S1083" s="101"/>
      <c r="T1083" s="99"/>
      <c r="U1083" s="99"/>
      <c r="V1083" s="99"/>
      <c r="W1083" s="99"/>
      <c r="X1083" s="99"/>
      <c r="Y1083" s="99"/>
      <c r="Z1083" s="99"/>
      <c r="AA1083" s="99"/>
      <c r="AB1083" s="99"/>
      <c r="AC1083" s="99"/>
      <c r="AD1083" s="99"/>
      <c r="AE1083" s="99"/>
      <c r="AF1083" s="99"/>
      <c r="AG1083" s="99"/>
      <c r="AH1083" s="99"/>
      <c r="AI1083" s="99"/>
      <c r="AJ1083" s="99"/>
      <c r="AK1083" s="99"/>
      <c r="AL1083" s="99"/>
      <c r="AM1083" s="99"/>
    </row>
    <row r="1084" ht="12.75" customHeight="1">
      <c r="A1084" s="110" t="s">
        <v>84</v>
      </c>
      <c r="D1084" s="145" t="s">
        <v>85</v>
      </c>
      <c r="G1084" s="104"/>
      <c r="H1084" s="133"/>
      <c r="I1084" s="104"/>
      <c r="J1084" s="134">
        <f t="shared" ref="J1084:K1084" si="1059">SUM(J1086:J1088)</f>
        <v>1320000000</v>
      </c>
      <c r="K1084" s="46">
        <f t="shared" si="1059"/>
        <v>0</v>
      </c>
      <c r="L1084" s="105"/>
      <c r="M1084" s="106"/>
      <c r="N1084" s="105"/>
      <c r="O1084" s="46">
        <f t="shared" ref="O1084:P1084" si="1060">SUM(O1086:O1088)</f>
        <v>1320000000</v>
      </c>
      <c r="P1084" s="46">
        <f t="shared" si="1060"/>
        <v>1320000000</v>
      </c>
      <c r="Q1084" s="46">
        <v>1.32E9</v>
      </c>
      <c r="R1084" s="101"/>
      <c r="S1084" s="101"/>
      <c r="T1084" s="99"/>
      <c r="U1084" s="99"/>
      <c r="V1084" s="99"/>
      <c r="W1084" s="99"/>
      <c r="X1084" s="99"/>
      <c r="Y1084" s="99"/>
      <c r="Z1084" s="99"/>
      <c r="AA1084" s="99"/>
      <c r="AB1084" s="99"/>
      <c r="AC1084" s="99"/>
      <c r="AD1084" s="99"/>
      <c r="AE1084" s="99"/>
      <c r="AF1084" s="99"/>
      <c r="AG1084" s="99"/>
      <c r="AH1084" s="99"/>
      <c r="AI1084" s="99"/>
      <c r="AJ1084" s="99"/>
      <c r="AK1084" s="99"/>
      <c r="AL1084" s="99"/>
      <c r="AM1084" s="99"/>
    </row>
    <row r="1085" ht="12.75" customHeight="1">
      <c r="A1085" s="104"/>
      <c r="B1085" s="104"/>
      <c r="C1085" s="104"/>
      <c r="D1085" s="110" t="s">
        <v>23</v>
      </c>
      <c r="G1085" s="104"/>
      <c r="H1085" s="104"/>
      <c r="I1085" s="104"/>
      <c r="J1085" s="111"/>
      <c r="K1085" s="111"/>
      <c r="L1085" s="105"/>
      <c r="M1085" s="106"/>
      <c r="N1085" s="105"/>
      <c r="O1085" s="111"/>
      <c r="P1085" s="111"/>
      <c r="Q1085" s="111"/>
      <c r="R1085" s="101"/>
      <c r="S1085" s="101"/>
      <c r="T1085" s="99"/>
      <c r="U1085" s="99"/>
      <c r="V1085" s="99"/>
      <c r="W1085" s="99"/>
      <c r="X1085" s="99"/>
      <c r="Y1085" s="99"/>
      <c r="Z1085" s="99"/>
      <c r="AA1085" s="99"/>
      <c r="AB1085" s="99"/>
      <c r="AC1085" s="99"/>
      <c r="AD1085" s="99"/>
      <c r="AE1085" s="99"/>
      <c r="AF1085" s="99"/>
      <c r="AG1085" s="99"/>
      <c r="AH1085" s="99"/>
      <c r="AI1085" s="99"/>
      <c r="AJ1085" s="99"/>
      <c r="AK1085" s="99"/>
      <c r="AL1085" s="99"/>
      <c r="AM1085" s="99"/>
    </row>
    <row r="1086" ht="12.75" customHeight="1">
      <c r="A1086" s="104"/>
      <c r="B1086" s="104"/>
      <c r="C1086" s="104"/>
      <c r="D1086" s="110" t="s">
        <v>24</v>
      </c>
      <c r="E1086" s="110" t="s">
        <v>168</v>
      </c>
      <c r="G1086" s="136">
        <v>54750.0</v>
      </c>
      <c r="H1086" s="136" t="s">
        <v>87</v>
      </c>
      <c r="I1086" s="137">
        <v>15000.0</v>
      </c>
      <c r="J1086" s="46">
        <f t="shared" ref="J1086:J1088" si="1061">G1086*I1086</f>
        <v>821250000</v>
      </c>
      <c r="K1086" s="46"/>
      <c r="L1086" s="105"/>
      <c r="M1086" s="106"/>
      <c r="N1086" s="105"/>
      <c r="O1086" s="46">
        <f t="shared" ref="O1086:O1088" si="1062">J1086-K1086</f>
        <v>821250000</v>
      </c>
      <c r="P1086" s="46">
        <f t="shared" ref="P1086:P1088" si="1063">J1086-M1086</f>
        <v>821250000</v>
      </c>
      <c r="Q1086" s="46">
        <v>8.2125E8</v>
      </c>
      <c r="R1086" s="101"/>
      <c r="S1086" s="101"/>
      <c r="T1086" s="99"/>
      <c r="U1086" s="99"/>
      <c r="V1086" s="99"/>
      <c r="W1086" s="99"/>
      <c r="X1086" s="99"/>
      <c r="Y1086" s="99"/>
      <c r="Z1086" s="99"/>
      <c r="AA1086" s="99"/>
      <c r="AB1086" s="99"/>
      <c r="AC1086" s="99"/>
      <c r="AD1086" s="99"/>
      <c r="AE1086" s="99"/>
      <c r="AF1086" s="99"/>
      <c r="AG1086" s="99"/>
      <c r="AH1086" s="99"/>
      <c r="AI1086" s="99"/>
      <c r="AJ1086" s="99"/>
      <c r="AK1086" s="99"/>
      <c r="AL1086" s="99"/>
      <c r="AM1086" s="99"/>
    </row>
    <row r="1087" ht="12.75" customHeight="1">
      <c r="A1087" s="104"/>
      <c r="B1087" s="104"/>
      <c r="C1087" s="104"/>
      <c r="D1087" s="110" t="s">
        <v>24</v>
      </c>
      <c r="E1087" s="110" t="s">
        <v>88</v>
      </c>
      <c r="G1087" s="136">
        <v>9000.0</v>
      </c>
      <c r="H1087" s="136" t="s">
        <v>87</v>
      </c>
      <c r="I1087" s="137">
        <v>25000.0</v>
      </c>
      <c r="J1087" s="46">
        <f t="shared" si="1061"/>
        <v>225000000</v>
      </c>
      <c r="K1087" s="46"/>
      <c r="L1087" s="105"/>
      <c r="M1087" s="106"/>
      <c r="N1087" s="105"/>
      <c r="O1087" s="46">
        <f t="shared" si="1062"/>
        <v>225000000</v>
      </c>
      <c r="P1087" s="46">
        <f t="shared" si="1063"/>
        <v>225000000</v>
      </c>
      <c r="Q1087" s="46">
        <v>2.25E8</v>
      </c>
      <c r="R1087" s="101"/>
      <c r="S1087" s="101"/>
      <c r="T1087" s="99"/>
      <c r="U1087" s="99"/>
      <c r="V1087" s="99"/>
      <c r="W1087" s="99"/>
      <c r="X1087" s="99"/>
      <c r="Y1087" s="99"/>
      <c r="Z1087" s="99"/>
      <c r="AA1087" s="99"/>
      <c r="AB1087" s="99"/>
      <c r="AC1087" s="99"/>
      <c r="AD1087" s="99"/>
      <c r="AE1087" s="99"/>
      <c r="AF1087" s="99"/>
      <c r="AG1087" s="99"/>
      <c r="AH1087" s="99"/>
      <c r="AI1087" s="99"/>
      <c r="AJ1087" s="99"/>
      <c r="AK1087" s="99"/>
      <c r="AL1087" s="99"/>
      <c r="AM1087" s="99"/>
    </row>
    <row r="1088" ht="12.75" customHeight="1">
      <c r="A1088" s="104"/>
      <c r="B1088" s="104"/>
      <c r="C1088" s="104"/>
      <c r="D1088" s="110" t="s">
        <v>24</v>
      </c>
      <c r="E1088" s="110" t="s">
        <v>169</v>
      </c>
      <c r="G1088" s="136">
        <v>36500.0</v>
      </c>
      <c r="H1088" s="136" t="s">
        <v>87</v>
      </c>
      <c r="I1088" s="137">
        <v>7500.0</v>
      </c>
      <c r="J1088" s="46">
        <f t="shared" si="1061"/>
        <v>273750000</v>
      </c>
      <c r="K1088" s="46"/>
      <c r="L1088" s="105"/>
      <c r="M1088" s="106"/>
      <c r="N1088" s="105"/>
      <c r="O1088" s="46">
        <f t="shared" si="1062"/>
        <v>273750000</v>
      </c>
      <c r="P1088" s="46">
        <f t="shared" si="1063"/>
        <v>273750000</v>
      </c>
      <c r="Q1088" s="46">
        <v>2.7375E8</v>
      </c>
      <c r="R1088" s="101"/>
      <c r="S1088" s="101"/>
      <c r="T1088" s="99"/>
      <c r="U1088" s="99"/>
      <c r="V1088" s="99"/>
      <c r="W1088" s="99"/>
      <c r="X1088" s="99"/>
      <c r="Y1088" s="99"/>
      <c r="Z1088" s="99"/>
      <c r="AA1088" s="99"/>
      <c r="AB1088" s="99"/>
      <c r="AC1088" s="99"/>
      <c r="AD1088" s="99"/>
      <c r="AE1088" s="99"/>
      <c r="AF1088" s="99"/>
      <c r="AG1088" s="99"/>
      <c r="AH1088" s="99"/>
      <c r="AI1088" s="99"/>
      <c r="AJ1088" s="99"/>
      <c r="AK1088" s="99"/>
      <c r="AL1088" s="99"/>
      <c r="AM1088" s="99"/>
    </row>
    <row r="1089" ht="12.75" customHeight="1">
      <c r="A1089" s="110" t="s">
        <v>63</v>
      </c>
      <c r="D1089" s="145" t="s">
        <v>64</v>
      </c>
      <c r="G1089" s="104"/>
      <c r="H1089" s="133"/>
      <c r="I1089" s="104"/>
      <c r="J1089" s="134">
        <f>SUM(J1091:J1092)</f>
        <v>114000000</v>
      </c>
      <c r="K1089" s="46">
        <f t="shared" ref="K1089:P1089" si="1064">K1091+K1092</f>
        <v>0</v>
      </c>
      <c r="L1089" s="46">
        <f t="shared" si="1064"/>
        <v>0</v>
      </c>
      <c r="M1089" s="146">
        <f t="shared" si="1064"/>
        <v>0</v>
      </c>
      <c r="N1089" s="46">
        <f t="shared" si="1064"/>
        <v>0</v>
      </c>
      <c r="O1089" s="46">
        <f t="shared" si="1064"/>
        <v>114000000</v>
      </c>
      <c r="P1089" s="46">
        <f t="shared" si="1064"/>
        <v>114000000</v>
      </c>
      <c r="Q1089" s="46">
        <v>1.14E8</v>
      </c>
      <c r="R1089" s="101"/>
      <c r="S1089" s="101"/>
      <c r="T1089" s="99"/>
      <c r="U1089" s="99"/>
      <c r="V1089" s="99"/>
      <c r="W1089" s="99"/>
      <c r="X1089" s="99"/>
      <c r="Y1089" s="99"/>
      <c r="Z1089" s="99"/>
      <c r="AA1089" s="99"/>
      <c r="AB1089" s="99"/>
      <c r="AC1089" s="99"/>
      <c r="AD1089" s="99"/>
      <c r="AE1089" s="99"/>
      <c r="AF1089" s="99"/>
      <c r="AG1089" s="99"/>
      <c r="AH1089" s="99"/>
      <c r="AI1089" s="99"/>
      <c r="AJ1089" s="99"/>
      <c r="AK1089" s="99"/>
      <c r="AL1089" s="99"/>
      <c r="AM1089" s="99"/>
    </row>
    <row r="1090" ht="12.75" customHeight="1">
      <c r="A1090" s="104"/>
      <c r="B1090" s="104"/>
      <c r="C1090" s="104"/>
      <c r="D1090" s="110" t="s">
        <v>23</v>
      </c>
      <c r="G1090" s="104"/>
      <c r="H1090" s="104"/>
      <c r="I1090" s="104"/>
      <c r="J1090" s="111"/>
      <c r="K1090" s="111"/>
      <c r="L1090" s="105"/>
      <c r="M1090" s="106"/>
      <c r="N1090" s="105"/>
      <c r="O1090" s="111"/>
      <c r="P1090" s="111"/>
      <c r="Q1090" s="111"/>
      <c r="R1090" s="101"/>
      <c r="S1090" s="101"/>
      <c r="T1090" s="99"/>
      <c r="U1090" s="99"/>
      <c r="V1090" s="99"/>
      <c r="W1090" s="99"/>
      <c r="X1090" s="99"/>
      <c r="Y1090" s="99"/>
      <c r="Z1090" s="99"/>
      <c r="AA1090" s="99"/>
      <c r="AB1090" s="99"/>
      <c r="AC1090" s="99"/>
      <c r="AD1090" s="99"/>
      <c r="AE1090" s="99"/>
      <c r="AF1090" s="99"/>
      <c r="AG1090" s="99"/>
      <c r="AH1090" s="99"/>
      <c r="AI1090" s="99"/>
      <c r="AJ1090" s="99"/>
      <c r="AK1090" s="99"/>
      <c r="AL1090" s="99"/>
      <c r="AM1090" s="99"/>
    </row>
    <row r="1091" ht="12.75" customHeight="1">
      <c r="A1091" s="104"/>
      <c r="B1091" s="104"/>
      <c r="C1091" s="104"/>
      <c r="D1091" s="110" t="s">
        <v>24</v>
      </c>
      <c r="E1091" s="110" t="s">
        <v>90</v>
      </c>
      <c r="G1091" s="136">
        <v>180.0</v>
      </c>
      <c r="H1091" s="136" t="s">
        <v>87</v>
      </c>
      <c r="I1091" s="137">
        <v>500000.0</v>
      </c>
      <c r="J1091" s="46">
        <f t="shared" ref="J1091:J1092" si="1065">G1091*I1091</f>
        <v>90000000</v>
      </c>
      <c r="K1091" s="46"/>
      <c r="L1091" s="105"/>
      <c r="M1091" s="106"/>
      <c r="N1091" s="105"/>
      <c r="O1091" s="46">
        <f t="shared" ref="O1091:O1092" si="1066">J1091-K1091</f>
        <v>90000000</v>
      </c>
      <c r="P1091" s="46">
        <f t="shared" ref="P1091:P1092" si="1067">J1091-M1091</f>
        <v>90000000</v>
      </c>
      <c r="Q1091" s="46">
        <v>9.0E7</v>
      </c>
      <c r="R1091" s="101"/>
      <c r="S1091" s="101"/>
      <c r="T1091" s="99"/>
      <c r="U1091" s="99"/>
      <c r="V1091" s="99"/>
      <c r="W1091" s="99"/>
      <c r="X1091" s="99"/>
      <c r="Y1091" s="99"/>
      <c r="Z1091" s="99"/>
      <c r="AA1091" s="99"/>
      <c r="AB1091" s="99"/>
      <c r="AC1091" s="99"/>
      <c r="AD1091" s="99"/>
      <c r="AE1091" s="99"/>
      <c r="AF1091" s="99"/>
      <c r="AG1091" s="99"/>
      <c r="AH1091" s="99"/>
      <c r="AI1091" s="99"/>
      <c r="AJ1091" s="99"/>
      <c r="AK1091" s="99"/>
      <c r="AL1091" s="99"/>
      <c r="AM1091" s="99"/>
    </row>
    <row r="1092" ht="12.75" customHeight="1">
      <c r="A1092" s="104"/>
      <c r="B1092" s="104"/>
      <c r="C1092" s="104"/>
      <c r="D1092" s="110" t="s">
        <v>24</v>
      </c>
      <c r="E1092" s="110" t="s">
        <v>170</v>
      </c>
      <c r="G1092" s="136">
        <v>600.0</v>
      </c>
      <c r="H1092" s="136" t="s">
        <v>87</v>
      </c>
      <c r="I1092" s="137">
        <v>40000.0</v>
      </c>
      <c r="J1092" s="46">
        <f t="shared" si="1065"/>
        <v>24000000</v>
      </c>
      <c r="K1092" s="46"/>
      <c r="L1092" s="105"/>
      <c r="M1092" s="106"/>
      <c r="N1092" s="105"/>
      <c r="O1092" s="46">
        <f t="shared" si="1066"/>
        <v>24000000</v>
      </c>
      <c r="P1092" s="46">
        <f t="shared" si="1067"/>
        <v>24000000</v>
      </c>
      <c r="Q1092" s="46">
        <v>2.4E7</v>
      </c>
      <c r="R1092" s="101"/>
      <c r="S1092" s="101"/>
      <c r="T1092" s="99"/>
      <c r="U1092" s="99"/>
      <c r="V1092" s="99"/>
      <c r="W1092" s="99"/>
      <c r="X1092" s="99"/>
      <c r="Y1092" s="99"/>
      <c r="Z1092" s="99"/>
      <c r="AA1092" s="99"/>
      <c r="AB1092" s="99"/>
      <c r="AC1092" s="99"/>
      <c r="AD1092" s="99"/>
      <c r="AE1092" s="99"/>
      <c r="AF1092" s="99"/>
      <c r="AG1092" s="99"/>
      <c r="AH1092" s="99"/>
      <c r="AI1092" s="99"/>
      <c r="AJ1092" s="99"/>
      <c r="AK1092" s="99"/>
      <c r="AL1092" s="99"/>
      <c r="AM1092" s="99"/>
    </row>
    <row r="1093" ht="12.75" customHeight="1">
      <c r="A1093" s="144" t="s">
        <v>92</v>
      </c>
      <c r="D1093" s="144" t="s">
        <v>93</v>
      </c>
      <c r="G1093" s="104"/>
      <c r="H1093" s="128"/>
      <c r="I1093" s="104"/>
      <c r="J1093" s="129">
        <f t="shared" ref="J1093:K1093" si="1068">J1094</f>
        <v>41836000</v>
      </c>
      <c r="K1093" s="43">
        <f t="shared" si="1068"/>
        <v>0</v>
      </c>
      <c r="L1093" s="105"/>
      <c r="M1093" s="106"/>
      <c r="N1093" s="105"/>
      <c r="O1093" s="43">
        <f t="shared" ref="O1093:P1093" si="1069">O1094</f>
        <v>41836000</v>
      </c>
      <c r="P1093" s="43">
        <f t="shared" si="1069"/>
        <v>41836000</v>
      </c>
      <c r="Q1093" s="43">
        <v>4.1836E7</v>
      </c>
      <c r="R1093" s="101"/>
      <c r="S1093" s="101"/>
      <c r="T1093" s="99"/>
      <c r="U1093" s="99"/>
      <c r="V1093" s="99"/>
      <c r="W1093" s="99"/>
      <c r="X1093" s="99"/>
      <c r="Y1093" s="99"/>
      <c r="Z1093" s="99"/>
      <c r="AA1093" s="99"/>
      <c r="AB1093" s="99"/>
      <c r="AC1093" s="99"/>
      <c r="AD1093" s="99"/>
      <c r="AE1093" s="99"/>
      <c r="AF1093" s="99"/>
      <c r="AG1093" s="99"/>
      <c r="AH1093" s="99"/>
      <c r="AI1093" s="99"/>
      <c r="AJ1093" s="99"/>
      <c r="AK1093" s="99"/>
      <c r="AL1093" s="99"/>
      <c r="AM1093" s="99"/>
    </row>
    <row r="1094" ht="12.75" customHeight="1">
      <c r="A1094" s="110" t="s">
        <v>68</v>
      </c>
      <c r="D1094" s="145" t="s">
        <v>69</v>
      </c>
      <c r="G1094" s="104"/>
      <c r="H1094" s="133"/>
      <c r="I1094" s="104"/>
      <c r="J1094" s="134">
        <f t="shared" ref="J1094:K1094" si="1070">SUM(J1096:J1097)</f>
        <v>41836000</v>
      </c>
      <c r="K1094" s="46">
        <f t="shared" si="1070"/>
        <v>0</v>
      </c>
      <c r="L1094" s="105"/>
      <c r="M1094" s="106"/>
      <c r="N1094" s="105"/>
      <c r="O1094" s="46">
        <f t="shared" ref="O1094:P1094" si="1071">SUM(O1096:O1097)</f>
        <v>41836000</v>
      </c>
      <c r="P1094" s="46">
        <f t="shared" si="1071"/>
        <v>41836000</v>
      </c>
      <c r="Q1094" s="46">
        <v>4.1836E7</v>
      </c>
      <c r="R1094" s="101"/>
      <c r="S1094" s="101"/>
      <c r="T1094" s="99"/>
      <c r="U1094" s="99"/>
      <c r="V1094" s="99"/>
      <c r="W1094" s="99"/>
      <c r="X1094" s="99"/>
      <c r="Y1094" s="99"/>
      <c r="Z1094" s="99"/>
      <c r="AA1094" s="99"/>
      <c r="AB1094" s="99"/>
      <c r="AC1094" s="99"/>
      <c r="AD1094" s="99"/>
      <c r="AE1094" s="99"/>
      <c r="AF1094" s="99"/>
      <c r="AG1094" s="99"/>
      <c r="AH1094" s="99"/>
      <c r="AI1094" s="99"/>
      <c r="AJ1094" s="99"/>
      <c r="AK1094" s="99"/>
      <c r="AL1094" s="99"/>
      <c r="AM1094" s="99"/>
    </row>
    <row r="1095" ht="12.75" customHeight="1">
      <c r="A1095" s="104"/>
      <c r="B1095" s="104"/>
      <c r="C1095" s="104"/>
      <c r="D1095" s="110" t="s">
        <v>23</v>
      </c>
      <c r="G1095" s="104"/>
      <c r="H1095" s="104"/>
      <c r="I1095" s="104"/>
      <c r="J1095" s="111"/>
      <c r="K1095" s="111"/>
      <c r="L1095" s="105"/>
      <c r="M1095" s="106"/>
      <c r="N1095" s="105"/>
      <c r="O1095" s="111"/>
      <c r="P1095" s="111"/>
      <c r="Q1095" s="111"/>
      <c r="R1095" s="101"/>
      <c r="S1095" s="101"/>
      <c r="T1095" s="99"/>
      <c r="U1095" s="99"/>
      <c r="V1095" s="99"/>
      <c r="W1095" s="99"/>
      <c r="X1095" s="99"/>
      <c r="Y1095" s="99"/>
      <c r="Z1095" s="99"/>
      <c r="AA1095" s="99"/>
      <c r="AB1095" s="99"/>
      <c r="AC1095" s="99"/>
      <c r="AD1095" s="99"/>
      <c r="AE1095" s="99"/>
      <c r="AF1095" s="99"/>
      <c r="AG1095" s="99"/>
      <c r="AH1095" s="99"/>
      <c r="AI1095" s="99"/>
      <c r="AJ1095" s="99"/>
      <c r="AK1095" s="99"/>
      <c r="AL1095" s="99"/>
      <c r="AM1095" s="99"/>
    </row>
    <row r="1096" ht="12.75" customHeight="1">
      <c r="A1096" s="104"/>
      <c r="B1096" s="104"/>
      <c r="C1096" s="104"/>
      <c r="D1096" s="110" t="s">
        <v>24</v>
      </c>
      <c r="E1096" s="110" t="s">
        <v>94</v>
      </c>
      <c r="G1096" s="136">
        <v>12.0</v>
      </c>
      <c r="H1096" s="136" t="s">
        <v>95</v>
      </c>
      <c r="I1096" s="137">
        <v>2500000.0</v>
      </c>
      <c r="J1096" s="46">
        <f t="shared" ref="J1096:J1097" si="1072">G1096*I1096</f>
        <v>30000000</v>
      </c>
      <c r="K1096" s="46"/>
      <c r="L1096" s="105"/>
      <c r="M1096" s="106"/>
      <c r="N1096" s="105"/>
      <c r="O1096" s="46">
        <f t="shared" ref="O1096:O1097" si="1073">J1096-K1096</f>
        <v>30000000</v>
      </c>
      <c r="P1096" s="46">
        <f t="shared" ref="P1096:P1097" si="1074">J1096-M1096</f>
        <v>30000000</v>
      </c>
      <c r="Q1096" s="46">
        <v>3.0E7</v>
      </c>
      <c r="R1096" s="101"/>
      <c r="S1096" s="101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  <c r="AG1096" s="99"/>
      <c r="AH1096" s="99"/>
      <c r="AI1096" s="99"/>
      <c r="AJ1096" s="99"/>
      <c r="AK1096" s="99"/>
      <c r="AL1096" s="99"/>
      <c r="AM1096" s="99"/>
    </row>
    <row r="1097" ht="12.75" customHeight="1">
      <c r="A1097" s="104"/>
      <c r="B1097" s="104"/>
      <c r="C1097" s="104"/>
      <c r="D1097" s="110" t="s">
        <v>24</v>
      </c>
      <c r="E1097" s="110" t="s">
        <v>290</v>
      </c>
      <c r="G1097" s="136">
        <v>1.0</v>
      </c>
      <c r="H1097" s="136" t="s">
        <v>97</v>
      </c>
      <c r="I1097" s="137">
        <v>1.1836E7</v>
      </c>
      <c r="J1097" s="46">
        <f t="shared" si="1072"/>
        <v>11836000</v>
      </c>
      <c r="K1097" s="46"/>
      <c r="L1097" s="105"/>
      <c r="M1097" s="106"/>
      <c r="N1097" s="105"/>
      <c r="O1097" s="46">
        <f t="shared" si="1073"/>
        <v>11836000</v>
      </c>
      <c r="P1097" s="46">
        <f t="shared" si="1074"/>
        <v>11836000</v>
      </c>
      <c r="Q1097" s="46">
        <v>1.1836E7</v>
      </c>
      <c r="R1097" s="101"/>
      <c r="S1097" s="101"/>
      <c r="T1097" s="99"/>
      <c r="U1097" s="99"/>
      <c r="V1097" s="99"/>
      <c r="W1097" s="99"/>
      <c r="X1097" s="99"/>
      <c r="Y1097" s="99"/>
      <c r="Z1097" s="99"/>
      <c r="AA1097" s="99"/>
      <c r="AB1097" s="99"/>
      <c r="AC1097" s="99"/>
      <c r="AD1097" s="99"/>
      <c r="AE1097" s="99"/>
      <c r="AF1097" s="99"/>
      <c r="AG1097" s="99"/>
      <c r="AH1097" s="99"/>
      <c r="AI1097" s="99"/>
      <c r="AJ1097" s="99"/>
      <c r="AK1097" s="99"/>
      <c r="AL1097" s="99"/>
      <c r="AM1097" s="99"/>
    </row>
    <row r="1098" ht="12.75" customHeight="1">
      <c r="A1098" s="144" t="s">
        <v>98</v>
      </c>
      <c r="D1098" s="144" t="s">
        <v>99</v>
      </c>
      <c r="G1098" s="104"/>
      <c r="H1098" s="128"/>
      <c r="I1098" s="104"/>
      <c r="J1098" s="129">
        <f t="shared" ref="J1098:K1098" si="1075">J1099+J1108</f>
        <v>6760000</v>
      </c>
      <c r="K1098" s="43">
        <f t="shared" si="1075"/>
        <v>0</v>
      </c>
      <c r="L1098" s="105"/>
      <c r="M1098" s="106"/>
      <c r="N1098" s="105"/>
      <c r="O1098" s="43">
        <f t="shared" ref="O1098:P1098" si="1076">O1099+O1108</f>
        <v>6760000</v>
      </c>
      <c r="P1098" s="43">
        <f t="shared" si="1076"/>
        <v>6760000</v>
      </c>
      <c r="Q1098" s="43">
        <v>6760000.0</v>
      </c>
      <c r="R1098" s="101"/>
      <c r="S1098" s="101"/>
      <c r="T1098" s="99"/>
      <c r="U1098" s="99"/>
      <c r="V1098" s="99"/>
      <c r="W1098" s="99"/>
      <c r="X1098" s="99"/>
      <c r="Y1098" s="99"/>
      <c r="Z1098" s="99"/>
      <c r="AA1098" s="99"/>
      <c r="AB1098" s="99"/>
      <c r="AC1098" s="99"/>
      <c r="AD1098" s="99"/>
      <c r="AE1098" s="99"/>
      <c r="AF1098" s="99"/>
      <c r="AG1098" s="99"/>
      <c r="AH1098" s="99"/>
      <c r="AI1098" s="99"/>
      <c r="AJ1098" s="99"/>
      <c r="AK1098" s="99"/>
      <c r="AL1098" s="99"/>
      <c r="AM1098" s="99"/>
    </row>
    <row r="1099" ht="12.75" customHeight="1">
      <c r="A1099" s="110" t="s">
        <v>100</v>
      </c>
      <c r="D1099" s="145" t="s">
        <v>101</v>
      </c>
      <c r="G1099" s="104"/>
      <c r="H1099" s="133"/>
      <c r="I1099" s="104"/>
      <c r="J1099" s="134">
        <f t="shared" ref="J1099:K1099" si="1077">SUM(J1101:J1107)</f>
        <v>5600000</v>
      </c>
      <c r="K1099" s="46">
        <f t="shared" si="1077"/>
        <v>0</v>
      </c>
      <c r="L1099" s="105"/>
      <c r="M1099" s="106"/>
      <c r="N1099" s="105"/>
      <c r="O1099" s="46">
        <f t="shared" ref="O1099:P1099" si="1078">SUM(O1101:O1107)</f>
        <v>5600000</v>
      </c>
      <c r="P1099" s="46">
        <f t="shared" si="1078"/>
        <v>5600000</v>
      </c>
      <c r="Q1099" s="46">
        <v>5600000.0</v>
      </c>
      <c r="R1099" s="101"/>
      <c r="S1099" s="101"/>
      <c r="T1099" s="99"/>
      <c r="U1099" s="99"/>
      <c r="V1099" s="99"/>
      <c r="W1099" s="99"/>
      <c r="X1099" s="99"/>
      <c r="Y1099" s="99"/>
      <c r="Z1099" s="99"/>
      <c r="AA1099" s="99"/>
      <c r="AB1099" s="99"/>
      <c r="AC1099" s="99"/>
      <c r="AD1099" s="99"/>
      <c r="AE1099" s="99"/>
      <c r="AF1099" s="99"/>
      <c r="AG1099" s="99"/>
      <c r="AH1099" s="99"/>
      <c r="AI1099" s="99"/>
      <c r="AJ1099" s="99"/>
      <c r="AK1099" s="99"/>
      <c r="AL1099" s="99"/>
      <c r="AM1099" s="99"/>
    </row>
    <row r="1100" ht="12.75" customHeight="1">
      <c r="A1100" s="104"/>
      <c r="B1100" s="104"/>
      <c r="C1100" s="104"/>
      <c r="D1100" s="110" t="s">
        <v>23</v>
      </c>
      <c r="G1100" s="104"/>
      <c r="H1100" s="104"/>
      <c r="I1100" s="104"/>
      <c r="J1100" s="111"/>
      <c r="K1100" s="111"/>
      <c r="L1100" s="105"/>
      <c r="M1100" s="106"/>
      <c r="N1100" s="105"/>
      <c r="O1100" s="111"/>
      <c r="P1100" s="111"/>
      <c r="Q1100" s="111"/>
      <c r="R1100" s="101"/>
      <c r="S1100" s="101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  <c r="AG1100" s="99"/>
      <c r="AH1100" s="99"/>
      <c r="AI1100" s="99"/>
      <c r="AJ1100" s="99"/>
      <c r="AK1100" s="99"/>
      <c r="AL1100" s="99"/>
      <c r="AM1100" s="99"/>
    </row>
    <row r="1101" ht="12.75" customHeight="1">
      <c r="A1101" s="104"/>
      <c r="B1101" s="104"/>
      <c r="C1101" s="104"/>
      <c r="D1101" s="110" t="s">
        <v>24</v>
      </c>
      <c r="E1101" s="110" t="s">
        <v>102</v>
      </c>
      <c r="G1101" s="136">
        <v>2.0</v>
      </c>
      <c r="H1101" s="136" t="s">
        <v>95</v>
      </c>
      <c r="I1101" s="137">
        <v>350000.0</v>
      </c>
      <c r="J1101" s="46">
        <f t="shared" ref="J1101:J1107" si="1079">G1101*I1101</f>
        <v>700000</v>
      </c>
      <c r="K1101" s="46"/>
      <c r="L1101" s="105"/>
      <c r="M1101" s="106"/>
      <c r="N1101" s="105"/>
      <c r="O1101" s="46">
        <f t="shared" ref="O1101:O1107" si="1080">J1101-K1101</f>
        <v>700000</v>
      </c>
      <c r="P1101" s="46">
        <f t="shared" ref="P1101:P1107" si="1081">J1101-M1101</f>
        <v>700000</v>
      </c>
      <c r="Q1101" s="46">
        <v>700000.0</v>
      </c>
      <c r="R1101" s="101"/>
      <c r="S1101" s="101"/>
      <c r="T1101" s="99"/>
      <c r="U1101" s="99"/>
      <c r="V1101" s="99"/>
      <c r="W1101" s="99"/>
      <c r="X1101" s="99"/>
      <c r="Y1101" s="99"/>
      <c r="Z1101" s="99"/>
      <c r="AA1101" s="99"/>
      <c r="AB1101" s="99"/>
      <c r="AC1101" s="99"/>
      <c r="AD1101" s="99"/>
      <c r="AE1101" s="99"/>
      <c r="AF1101" s="99"/>
      <c r="AG1101" s="99"/>
      <c r="AH1101" s="99"/>
      <c r="AI1101" s="99"/>
      <c r="AJ1101" s="99"/>
      <c r="AK1101" s="99"/>
      <c r="AL1101" s="99"/>
      <c r="AM1101" s="99"/>
    </row>
    <row r="1102" ht="12.75" customHeight="1">
      <c r="A1102" s="104"/>
      <c r="B1102" s="104"/>
      <c r="C1102" s="104"/>
      <c r="D1102" s="110" t="s">
        <v>24</v>
      </c>
      <c r="E1102" s="110" t="s">
        <v>103</v>
      </c>
      <c r="G1102" s="136">
        <v>2.0</v>
      </c>
      <c r="H1102" s="136" t="s">
        <v>95</v>
      </c>
      <c r="I1102" s="137">
        <v>225000.0</v>
      </c>
      <c r="J1102" s="46">
        <f t="shared" si="1079"/>
        <v>450000</v>
      </c>
      <c r="K1102" s="46"/>
      <c r="L1102" s="105"/>
      <c r="M1102" s="106"/>
      <c r="N1102" s="105"/>
      <c r="O1102" s="46">
        <f t="shared" si="1080"/>
        <v>450000</v>
      </c>
      <c r="P1102" s="46">
        <f t="shared" si="1081"/>
        <v>450000</v>
      </c>
      <c r="Q1102" s="46">
        <v>450000.0</v>
      </c>
      <c r="R1102" s="101"/>
      <c r="S1102" s="101"/>
      <c r="T1102" s="99"/>
      <c r="U1102" s="99"/>
      <c r="V1102" s="99"/>
      <c r="W1102" s="99"/>
      <c r="X1102" s="99"/>
      <c r="Y1102" s="99"/>
      <c r="Z1102" s="99"/>
      <c r="AA1102" s="99"/>
      <c r="AB1102" s="99"/>
      <c r="AC1102" s="99"/>
      <c r="AD1102" s="99"/>
      <c r="AE1102" s="99"/>
      <c r="AF1102" s="99"/>
      <c r="AG1102" s="99"/>
      <c r="AH1102" s="99"/>
      <c r="AI1102" s="99"/>
      <c r="AJ1102" s="99"/>
      <c r="AK1102" s="99"/>
      <c r="AL1102" s="99"/>
      <c r="AM1102" s="99"/>
    </row>
    <row r="1103" ht="15.75" customHeight="1">
      <c r="A1103" s="104"/>
      <c r="B1103" s="104"/>
      <c r="C1103" s="104"/>
      <c r="D1103" s="110" t="s">
        <v>24</v>
      </c>
      <c r="E1103" s="110" t="s">
        <v>104</v>
      </c>
      <c r="G1103" s="136">
        <v>2.0</v>
      </c>
      <c r="H1103" s="136" t="s">
        <v>95</v>
      </c>
      <c r="I1103" s="137">
        <v>450000.0</v>
      </c>
      <c r="J1103" s="46">
        <f t="shared" si="1079"/>
        <v>900000</v>
      </c>
      <c r="K1103" s="46"/>
      <c r="L1103" s="105"/>
      <c r="M1103" s="106"/>
      <c r="N1103" s="105"/>
      <c r="O1103" s="46">
        <f t="shared" si="1080"/>
        <v>900000</v>
      </c>
      <c r="P1103" s="46">
        <f t="shared" si="1081"/>
        <v>900000</v>
      </c>
      <c r="Q1103" s="46">
        <v>900000.0</v>
      </c>
      <c r="R1103" s="101"/>
      <c r="S1103" s="101"/>
      <c r="T1103" s="99"/>
      <c r="U1103" s="99"/>
      <c r="V1103" s="99"/>
      <c r="W1103" s="99"/>
      <c r="X1103" s="99"/>
      <c r="Y1103" s="99"/>
      <c r="Z1103" s="99"/>
      <c r="AA1103" s="99"/>
      <c r="AB1103" s="99"/>
      <c r="AC1103" s="99"/>
      <c r="AD1103" s="99"/>
      <c r="AE1103" s="99"/>
      <c r="AF1103" s="99"/>
      <c r="AG1103" s="99"/>
      <c r="AH1103" s="99"/>
      <c r="AI1103" s="99"/>
      <c r="AJ1103" s="99"/>
      <c r="AK1103" s="99"/>
      <c r="AL1103" s="99"/>
      <c r="AM1103" s="99"/>
    </row>
    <row r="1104" ht="12.75" customHeight="1">
      <c r="A1104" s="104"/>
      <c r="B1104" s="104"/>
      <c r="C1104" s="104"/>
      <c r="D1104" s="110" t="s">
        <v>24</v>
      </c>
      <c r="E1104" s="110" t="s">
        <v>105</v>
      </c>
      <c r="G1104" s="136">
        <v>2.0</v>
      </c>
      <c r="H1104" s="136" t="s">
        <v>95</v>
      </c>
      <c r="I1104" s="137">
        <v>250000.0</v>
      </c>
      <c r="J1104" s="46">
        <f t="shared" si="1079"/>
        <v>500000</v>
      </c>
      <c r="K1104" s="46"/>
      <c r="L1104" s="105"/>
      <c r="M1104" s="106"/>
      <c r="N1104" s="105"/>
      <c r="O1104" s="46">
        <f t="shared" si="1080"/>
        <v>500000</v>
      </c>
      <c r="P1104" s="46">
        <f t="shared" si="1081"/>
        <v>500000</v>
      </c>
      <c r="Q1104" s="46">
        <v>500000.0</v>
      </c>
      <c r="R1104" s="101"/>
      <c r="S1104" s="101"/>
      <c r="T1104" s="99"/>
      <c r="U1104" s="99"/>
      <c r="V1104" s="99"/>
      <c r="W1104" s="99"/>
      <c r="X1104" s="99"/>
      <c r="Y1104" s="99"/>
      <c r="Z1104" s="99"/>
      <c r="AA1104" s="99"/>
      <c r="AB1104" s="99"/>
      <c r="AC1104" s="99"/>
      <c r="AD1104" s="99"/>
      <c r="AE1104" s="99"/>
      <c r="AF1104" s="99"/>
      <c r="AG1104" s="99"/>
      <c r="AH1104" s="99"/>
      <c r="AI1104" s="99"/>
      <c r="AJ1104" s="99"/>
      <c r="AK1104" s="99"/>
      <c r="AL1104" s="99"/>
      <c r="AM1104" s="99"/>
    </row>
    <row r="1105" ht="12.75" customHeight="1">
      <c r="A1105" s="104"/>
      <c r="B1105" s="104"/>
      <c r="C1105" s="104"/>
      <c r="D1105" s="110" t="s">
        <v>24</v>
      </c>
      <c r="E1105" s="110" t="s">
        <v>106</v>
      </c>
      <c r="G1105" s="136">
        <v>2.0</v>
      </c>
      <c r="H1105" s="136" t="s">
        <v>95</v>
      </c>
      <c r="I1105" s="137">
        <v>100000.0</v>
      </c>
      <c r="J1105" s="46">
        <f t="shared" si="1079"/>
        <v>200000</v>
      </c>
      <c r="K1105" s="46"/>
      <c r="L1105" s="105"/>
      <c r="M1105" s="106"/>
      <c r="N1105" s="105"/>
      <c r="O1105" s="46">
        <f t="shared" si="1080"/>
        <v>200000</v>
      </c>
      <c r="P1105" s="46">
        <f t="shared" si="1081"/>
        <v>200000</v>
      </c>
      <c r="Q1105" s="46">
        <v>200000.0</v>
      </c>
      <c r="R1105" s="101"/>
      <c r="S1105" s="101"/>
      <c r="T1105" s="99"/>
      <c r="U1105" s="99"/>
      <c r="V1105" s="99"/>
      <c r="W1105" s="99"/>
      <c r="X1105" s="99"/>
      <c r="Y1105" s="99"/>
      <c r="Z1105" s="99"/>
      <c r="AA1105" s="99"/>
      <c r="AB1105" s="99"/>
      <c r="AC1105" s="99"/>
      <c r="AD1105" s="99"/>
      <c r="AE1105" s="99"/>
      <c r="AF1105" s="99"/>
      <c r="AG1105" s="99"/>
      <c r="AH1105" s="99"/>
      <c r="AI1105" s="99"/>
      <c r="AJ1105" s="99"/>
      <c r="AK1105" s="99"/>
      <c r="AL1105" s="99"/>
      <c r="AM1105" s="99"/>
    </row>
    <row r="1106" ht="12.75" customHeight="1">
      <c r="A1106" s="104"/>
      <c r="B1106" s="104"/>
      <c r="C1106" s="104"/>
      <c r="D1106" s="110" t="s">
        <v>24</v>
      </c>
      <c r="E1106" s="110" t="s">
        <v>107</v>
      </c>
      <c r="G1106" s="136">
        <v>2.0</v>
      </c>
      <c r="H1106" s="136" t="s">
        <v>95</v>
      </c>
      <c r="I1106" s="137">
        <v>725000.0</v>
      </c>
      <c r="J1106" s="46">
        <f t="shared" si="1079"/>
        <v>1450000</v>
      </c>
      <c r="K1106" s="46"/>
      <c r="L1106" s="105"/>
      <c r="M1106" s="106"/>
      <c r="N1106" s="105"/>
      <c r="O1106" s="46">
        <f t="shared" si="1080"/>
        <v>1450000</v>
      </c>
      <c r="P1106" s="46">
        <f t="shared" si="1081"/>
        <v>1450000</v>
      </c>
      <c r="Q1106" s="46">
        <v>1450000.0</v>
      </c>
      <c r="R1106" s="101"/>
      <c r="S1106" s="101"/>
      <c r="T1106" s="99"/>
      <c r="U1106" s="99"/>
      <c r="V1106" s="99"/>
      <c r="W1106" s="99"/>
      <c r="X1106" s="99"/>
      <c r="Y1106" s="99"/>
      <c r="Z1106" s="99"/>
      <c r="AA1106" s="99"/>
      <c r="AB1106" s="99"/>
      <c r="AC1106" s="99"/>
      <c r="AD1106" s="99"/>
      <c r="AE1106" s="99"/>
      <c r="AF1106" s="99"/>
      <c r="AG1106" s="99"/>
      <c r="AH1106" s="99"/>
      <c r="AI1106" s="99"/>
      <c r="AJ1106" s="99"/>
      <c r="AK1106" s="99"/>
      <c r="AL1106" s="99"/>
      <c r="AM1106" s="99"/>
    </row>
    <row r="1107" ht="15.75" customHeight="1">
      <c r="A1107" s="104"/>
      <c r="B1107" s="104"/>
      <c r="C1107" s="104"/>
      <c r="D1107" s="110" t="s">
        <v>24</v>
      </c>
      <c r="E1107" s="110" t="s">
        <v>108</v>
      </c>
      <c r="G1107" s="136">
        <v>2.0</v>
      </c>
      <c r="H1107" s="136" t="s">
        <v>95</v>
      </c>
      <c r="I1107" s="137">
        <v>700000.0</v>
      </c>
      <c r="J1107" s="46">
        <f t="shared" si="1079"/>
        <v>1400000</v>
      </c>
      <c r="K1107" s="46"/>
      <c r="L1107" s="105"/>
      <c r="M1107" s="106"/>
      <c r="N1107" s="105"/>
      <c r="O1107" s="46">
        <f t="shared" si="1080"/>
        <v>1400000</v>
      </c>
      <c r="P1107" s="46">
        <f t="shared" si="1081"/>
        <v>1400000</v>
      </c>
      <c r="Q1107" s="46">
        <v>1400000.0</v>
      </c>
      <c r="R1107" s="101"/>
      <c r="S1107" s="101"/>
      <c r="T1107" s="99"/>
      <c r="U1107" s="99"/>
      <c r="V1107" s="99"/>
      <c r="W1107" s="99"/>
      <c r="X1107" s="99"/>
      <c r="Y1107" s="99"/>
      <c r="Z1107" s="99"/>
      <c r="AA1107" s="99"/>
      <c r="AB1107" s="99"/>
      <c r="AC1107" s="99"/>
      <c r="AD1107" s="99"/>
      <c r="AE1107" s="99"/>
      <c r="AF1107" s="99"/>
      <c r="AG1107" s="99"/>
      <c r="AH1107" s="99"/>
      <c r="AI1107" s="99"/>
      <c r="AJ1107" s="99"/>
      <c r="AK1107" s="99"/>
      <c r="AL1107" s="99"/>
      <c r="AM1107" s="99"/>
    </row>
    <row r="1108" ht="12.75" customHeight="1">
      <c r="A1108" s="110" t="s">
        <v>68</v>
      </c>
      <c r="D1108" s="145" t="s">
        <v>69</v>
      </c>
      <c r="G1108" s="104"/>
      <c r="H1108" s="133"/>
      <c r="I1108" s="104"/>
      <c r="J1108" s="134">
        <f t="shared" ref="J1108:K1108" si="1082">SUM(J1110:J1113)</f>
        <v>1160000</v>
      </c>
      <c r="K1108" s="46">
        <f t="shared" si="1082"/>
        <v>0</v>
      </c>
      <c r="L1108" s="105"/>
      <c r="M1108" s="106"/>
      <c r="N1108" s="105"/>
      <c r="O1108" s="46">
        <f t="shared" ref="O1108:P1108" si="1083">SUM(O1110:O1113)</f>
        <v>1160000</v>
      </c>
      <c r="P1108" s="46">
        <f t="shared" si="1083"/>
        <v>1160000</v>
      </c>
      <c r="Q1108" s="46">
        <v>1160000.0</v>
      </c>
      <c r="R1108" s="101"/>
      <c r="S1108" s="101"/>
      <c r="T1108" s="99"/>
      <c r="U1108" s="99"/>
      <c r="V1108" s="99"/>
      <c r="W1108" s="99"/>
      <c r="X1108" s="99"/>
      <c r="Y1108" s="99"/>
      <c r="Z1108" s="99"/>
      <c r="AA1108" s="99"/>
      <c r="AB1108" s="99"/>
      <c r="AC1108" s="99"/>
      <c r="AD1108" s="99"/>
      <c r="AE1108" s="99"/>
      <c r="AF1108" s="99"/>
      <c r="AG1108" s="99"/>
      <c r="AH1108" s="99"/>
      <c r="AI1108" s="99"/>
      <c r="AJ1108" s="99"/>
      <c r="AK1108" s="99"/>
      <c r="AL1108" s="99"/>
      <c r="AM1108" s="99"/>
    </row>
    <row r="1109" ht="12.75" customHeight="1">
      <c r="A1109" s="104"/>
      <c r="B1109" s="104"/>
      <c r="C1109" s="104"/>
      <c r="D1109" s="110" t="s">
        <v>23</v>
      </c>
      <c r="G1109" s="104"/>
      <c r="H1109" s="104"/>
      <c r="I1109" s="104"/>
      <c r="J1109" s="111"/>
      <c r="K1109" s="111"/>
      <c r="L1109" s="105"/>
      <c r="M1109" s="106"/>
      <c r="N1109" s="105"/>
      <c r="O1109" s="111"/>
      <c r="P1109" s="111"/>
      <c r="Q1109" s="111"/>
      <c r="R1109" s="101"/>
      <c r="S1109" s="101"/>
      <c r="T1109" s="99"/>
      <c r="U1109" s="99"/>
      <c r="V1109" s="99"/>
      <c r="W1109" s="99"/>
      <c r="X1109" s="99"/>
      <c r="Y1109" s="99"/>
      <c r="Z1109" s="99"/>
      <c r="AA1109" s="99"/>
      <c r="AB1109" s="99"/>
      <c r="AC1109" s="99"/>
      <c r="AD1109" s="99"/>
      <c r="AE1109" s="99"/>
      <c r="AF1109" s="99"/>
      <c r="AG1109" s="99"/>
      <c r="AH1109" s="99"/>
      <c r="AI1109" s="99"/>
      <c r="AJ1109" s="99"/>
      <c r="AK1109" s="99"/>
      <c r="AL1109" s="99"/>
      <c r="AM1109" s="99"/>
    </row>
    <row r="1110" ht="12.75" customHeight="1">
      <c r="A1110" s="104"/>
      <c r="B1110" s="104"/>
      <c r="C1110" s="104"/>
      <c r="D1110" s="110" t="s">
        <v>24</v>
      </c>
      <c r="E1110" s="110" t="s">
        <v>109</v>
      </c>
      <c r="G1110" s="136">
        <v>10.0</v>
      </c>
      <c r="H1110" s="136" t="s">
        <v>95</v>
      </c>
      <c r="I1110" s="137">
        <v>50000.0</v>
      </c>
      <c r="J1110" s="46">
        <f t="shared" ref="J1110:J1113" si="1084">G1110*I1110</f>
        <v>500000</v>
      </c>
      <c r="K1110" s="46"/>
      <c r="L1110" s="105"/>
      <c r="M1110" s="106"/>
      <c r="N1110" s="105"/>
      <c r="O1110" s="46">
        <f t="shared" ref="O1110:O1113" si="1085">J1110-K1110</f>
        <v>500000</v>
      </c>
      <c r="P1110" s="46">
        <f t="shared" ref="P1110:P1113" si="1086">J1110-M1110</f>
        <v>500000</v>
      </c>
      <c r="Q1110" s="46">
        <v>500000.0</v>
      </c>
      <c r="R1110" s="101"/>
      <c r="S1110" s="101"/>
      <c r="T1110" s="99"/>
      <c r="U1110" s="99"/>
      <c r="V1110" s="99"/>
      <c r="W1110" s="99"/>
      <c r="X1110" s="99"/>
      <c r="Y1110" s="99"/>
      <c r="Z1110" s="99"/>
      <c r="AA1110" s="99"/>
      <c r="AB1110" s="99"/>
      <c r="AC1110" s="99"/>
      <c r="AD1110" s="99"/>
      <c r="AE1110" s="99"/>
      <c r="AF1110" s="99"/>
      <c r="AG1110" s="99"/>
      <c r="AH1110" s="99"/>
      <c r="AI1110" s="99"/>
      <c r="AJ1110" s="99"/>
      <c r="AK1110" s="99"/>
      <c r="AL1110" s="99"/>
      <c r="AM1110" s="99"/>
    </row>
    <row r="1111" ht="12.75" customHeight="1">
      <c r="A1111" s="104"/>
      <c r="B1111" s="104"/>
      <c r="C1111" s="104"/>
      <c r="D1111" s="110" t="s">
        <v>24</v>
      </c>
      <c r="E1111" s="110" t="s">
        <v>110</v>
      </c>
      <c r="G1111" s="136">
        <v>2.0</v>
      </c>
      <c r="H1111" s="136" t="s">
        <v>95</v>
      </c>
      <c r="I1111" s="137">
        <v>100000.0</v>
      </c>
      <c r="J1111" s="46">
        <f t="shared" si="1084"/>
        <v>200000</v>
      </c>
      <c r="K1111" s="46"/>
      <c r="L1111" s="105"/>
      <c r="M1111" s="106"/>
      <c r="N1111" s="105"/>
      <c r="O1111" s="46">
        <f t="shared" si="1085"/>
        <v>200000</v>
      </c>
      <c r="P1111" s="46">
        <f t="shared" si="1086"/>
        <v>200000</v>
      </c>
      <c r="Q1111" s="46">
        <v>200000.0</v>
      </c>
      <c r="R1111" s="101"/>
      <c r="S1111" s="101"/>
      <c r="T1111" s="99"/>
      <c r="U1111" s="99"/>
      <c r="V1111" s="99"/>
      <c r="W1111" s="99"/>
      <c r="X1111" s="99"/>
      <c r="Y1111" s="99"/>
      <c r="Z1111" s="99"/>
      <c r="AA1111" s="99"/>
      <c r="AB1111" s="99"/>
      <c r="AC1111" s="99"/>
      <c r="AD1111" s="99"/>
      <c r="AE1111" s="99"/>
      <c r="AF1111" s="99"/>
      <c r="AG1111" s="99"/>
      <c r="AH1111" s="99"/>
      <c r="AI1111" s="99"/>
      <c r="AJ1111" s="99"/>
      <c r="AK1111" s="99"/>
      <c r="AL1111" s="99"/>
      <c r="AM1111" s="99"/>
    </row>
    <row r="1112" ht="12.75" customHeight="1">
      <c r="A1112" s="104"/>
      <c r="B1112" s="104"/>
      <c r="C1112" s="104"/>
      <c r="D1112" s="110" t="s">
        <v>24</v>
      </c>
      <c r="E1112" s="110" t="s">
        <v>111</v>
      </c>
      <c r="G1112" s="136">
        <v>2.0</v>
      </c>
      <c r="H1112" s="136" t="s">
        <v>95</v>
      </c>
      <c r="I1112" s="137">
        <v>200000.0</v>
      </c>
      <c r="J1112" s="46">
        <f t="shared" si="1084"/>
        <v>400000</v>
      </c>
      <c r="K1112" s="46"/>
      <c r="L1112" s="105"/>
      <c r="M1112" s="106"/>
      <c r="N1112" s="105"/>
      <c r="O1112" s="46">
        <f t="shared" si="1085"/>
        <v>400000</v>
      </c>
      <c r="P1112" s="46">
        <f t="shared" si="1086"/>
        <v>400000</v>
      </c>
      <c r="Q1112" s="46">
        <v>400000.0</v>
      </c>
      <c r="R1112" s="101"/>
      <c r="S1112" s="101"/>
      <c r="T1112" s="99"/>
      <c r="U1112" s="99"/>
      <c r="V1112" s="99"/>
      <c r="W1112" s="99"/>
      <c r="X1112" s="99"/>
      <c r="Y1112" s="99"/>
      <c r="Z1112" s="99"/>
      <c r="AA1112" s="99"/>
      <c r="AB1112" s="99"/>
      <c r="AC1112" s="99"/>
      <c r="AD1112" s="99"/>
      <c r="AE1112" s="99"/>
      <c r="AF1112" s="99"/>
      <c r="AG1112" s="99"/>
      <c r="AH1112" s="99"/>
      <c r="AI1112" s="99"/>
      <c r="AJ1112" s="99"/>
      <c r="AK1112" s="99"/>
      <c r="AL1112" s="99"/>
      <c r="AM1112" s="99"/>
    </row>
    <row r="1113" ht="12.75" customHeight="1">
      <c r="A1113" s="104"/>
      <c r="B1113" s="104"/>
      <c r="C1113" s="104"/>
      <c r="D1113" s="110" t="s">
        <v>24</v>
      </c>
      <c r="E1113" s="110" t="s">
        <v>112</v>
      </c>
      <c r="G1113" s="136">
        <v>2.0</v>
      </c>
      <c r="H1113" s="136" t="s">
        <v>95</v>
      </c>
      <c r="I1113" s="137">
        <v>30000.0</v>
      </c>
      <c r="J1113" s="46">
        <f t="shared" si="1084"/>
        <v>60000</v>
      </c>
      <c r="K1113" s="46"/>
      <c r="L1113" s="105"/>
      <c r="M1113" s="106"/>
      <c r="N1113" s="105"/>
      <c r="O1113" s="46">
        <f t="shared" si="1085"/>
        <v>60000</v>
      </c>
      <c r="P1113" s="46">
        <f t="shared" si="1086"/>
        <v>60000</v>
      </c>
      <c r="Q1113" s="46">
        <v>60000.0</v>
      </c>
      <c r="R1113" s="101"/>
      <c r="S1113" s="101"/>
      <c r="T1113" s="99"/>
      <c r="U1113" s="99"/>
      <c r="V1113" s="99"/>
      <c r="W1113" s="99"/>
      <c r="X1113" s="99"/>
      <c r="Y1113" s="99"/>
      <c r="Z1113" s="99"/>
      <c r="AA1113" s="99"/>
      <c r="AB1113" s="99"/>
      <c r="AC1113" s="99"/>
      <c r="AD1113" s="99"/>
      <c r="AE1113" s="99"/>
      <c r="AF1113" s="99"/>
      <c r="AG1113" s="99"/>
      <c r="AH1113" s="99"/>
      <c r="AI1113" s="99"/>
      <c r="AJ1113" s="99"/>
      <c r="AK1113" s="99"/>
      <c r="AL1113" s="99"/>
      <c r="AM1113" s="99"/>
    </row>
    <row r="1114" ht="12.75" customHeight="1">
      <c r="A1114" s="144" t="s">
        <v>113</v>
      </c>
      <c r="D1114" s="144" t="s">
        <v>114</v>
      </c>
      <c r="G1114" s="104"/>
      <c r="H1114" s="128"/>
      <c r="I1114" s="104"/>
      <c r="J1114" s="129">
        <f t="shared" ref="J1114:K1114" si="1087">J1115</f>
        <v>410750000</v>
      </c>
      <c r="K1114" s="43">
        <f t="shared" si="1087"/>
        <v>0</v>
      </c>
      <c r="L1114" s="105"/>
      <c r="M1114" s="106"/>
      <c r="N1114" s="105"/>
      <c r="O1114" s="43">
        <f t="shared" ref="O1114:P1114" si="1088">O1115</f>
        <v>410750000</v>
      </c>
      <c r="P1114" s="43">
        <f t="shared" si="1088"/>
        <v>410750000</v>
      </c>
      <c r="Q1114" s="43">
        <v>4.1075E8</v>
      </c>
      <c r="R1114" s="101"/>
      <c r="S1114" s="101"/>
      <c r="T1114" s="99"/>
      <c r="U1114" s="99"/>
      <c r="V1114" s="99"/>
      <c r="W1114" s="99"/>
      <c r="X1114" s="99"/>
      <c r="Y1114" s="99"/>
      <c r="Z1114" s="99"/>
      <c r="AA1114" s="99"/>
      <c r="AB1114" s="99"/>
      <c r="AC1114" s="99"/>
      <c r="AD1114" s="99"/>
      <c r="AE1114" s="99"/>
      <c r="AF1114" s="99"/>
      <c r="AG1114" s="99"/>
      <c r="AH1114" s="99"/>
      <c r="AI1114" s="99"/>
      <c r="AJ1114" s="99"/>
      <c r="AK1114" s="99"/>
      <c r="AL1114" s="99"/>
      <c r="AM1114" s="99"/>
    </row>
    <row r="1115" ht="12.75" customHeight="1">
      <c r="A1115" s="110" t="s">
        <v>68</v>
      </c>
      <c r="D1115" s="145" t="s">
        <v>69</v>
      </c>
      <c r="G1115" s="104"/>
      <c r="H1115" s="133"/>
      <c r="I1115" s="104"/>
      <c r="J1115" s="134">
        <f t="shared" ref="J1115:K1115" si="1089">SUM(J1117:J1127)</f>
        <v>410750000</v>
      </c>
      <c r="K1115" s="46">
        <f t="shared" si="1089"/>
        <v>0</v>
      </c>
      <c r="L1115" s="105"/>
      <c r="M1115" s="106"/>
      <c r="N1115" s="105"/>
      <c r="O1115" s="46">
        <f t="shared" ref="O1115:P1115" si="1090">SUM(O1117:O1127)</f>
        <v>410750000</v>
      </c>
      <c r="P1115" s="46">
        <f t="shared" si="1090"/>
        <v>410750000</v>
      </c>
      <c r="Q1115" s="46">
        <v>4.1075E8</v>
      </c>
      <c r="R1115" s="101"/>
      <c r="S1115" s="101"/>
      <c r="T1115" s="99"/>
      <c r="U1115" s="99"/>
      <c r="V1115" s="99"/>
      <c r="W1115" s="99"/>
      <c r="X1115" s="99"/>
      <c r="Y1115" s="99"/>
      <c r="Z1115" s="99"/>
      <c r="AA1115" s="99"/>
      <c r="AB1115" s="99"/>
      <c r="AC1115" s="99"/>
      <c r="AD1115" s="99"/>
      <c r="AE1115" s="99"/>
      <c r="AF1115" s="99"/>
      <c r="AG1115" s="99"/>
      <c r="AH1115" s="99"/>
      <c r="AI1115" s="99"/>
      <c r="AJ1115" s="99"/>
      <c r="AK1115" s="99"/>
      <c r="AL1115" s="99"/>
      <c r="AM1115" s="99"/>
    </row>
    <row r="1116" ht="12.75" customHeight="1">
      <c r="A1116" s="104"/>
      <c r="B1116" s="104"/>
      <c r="C1116" s="104"/>
      <c r="D1116" s="110" t="s">
        <v>23</v>
      </c>
      <c r="G1116" s="104"/>
      <c r="H1116" s="104"/>
      <c r="I1116" s="104"/>
      <c r="J1116" s="111"/>
      <c r="K1116" s="111"/>
      <c r="L1116" s="105"/>
      <c r="M1116" s="106"/>
      <c r="N1116" s="105"/>
      <c r="O1116" s="111"/>
      <c r="P1116" s="111"/>
      <c r="Q1116" s="111"/>
      <c r="R1116" s="101"/>
      <c r="S1116" s="101"/>
      <c r="T1116" s="99"/>
      <c r="U1116" s="99"/>
      <c r="V1116" s="99"/>
      <c r="W1116" s="99"/>
      <c r="X1116" s="99"/>
      <c r="Y1116" s="99"/>
      <c r="Z1116" s="99"/>
      <c r="AA1116" s="99"/>
      <c r="AB1116" s="99"/>
      <c r="AC1116" s="99"/>
      <c r="AD1116" s="99"/>
      <c r="AE1116" s="99"/>
      <c r="AF1116" s="99"/>
      <c r="AG1116" s="99"/>
      <c r="AH1116" s="99"/>
      <c r="AI1116" s="99"/>
      <c r="AJ1116" s="99"/>
      <c r="AK1116" s="99"/>
      <c r="AL1116" s="99"/>
      <c r="AM1116" s="99"/>
    </row>
    <row r="1117" ht="12.75" customHeight="1">
      <c r="A1117" s="104"/>
      <c r="B1117" s="104"/>
      <c r="C1117" s="104"/>
      <c r="D1117" s="110" t="s">
        <v>24</v>
      </c>
      <c r="E1117" s="110" t="s">
        <v>172</v>
      </c>
      <c r="G1117" s="136">
        <v>100.0</v>
      </c>
      <c r="H1117" s="136" t="s">
        <v>95</v>
      </c>
      <c r="I1117" s="137">
        <v>110000.0</v>
      </c>
      <c r="J1117" s="46">
        <f t="shared" ref="J1117:J1127" si="1091">G1117*I1117</f>
        <v>11000000</v>
      </c>
      <c r="K1117" s="46"/>
      <c r="L1117" s="105"/>
      <c r="M1117" s="106"/>
      <c r="N1117" s="105"/>
      <c r="O1117" s="46">
        <f t="shared" ref="O1117:O1127" si="1092">J1117-K1117</f>
        <v>11000000</v>
      </c>
      <c r="P1117" s="46">
        <f t="shared" ref="P1117:P1127" si="1093">J1117-M1117</f>
        <v>11000000</v>
      </c>
      <c r="Q1117" s="46">
        <v>1.1E7</v>
      </c>
      <c r="R1117" s="101"/>
      <c r="S1117" s="101"/>
      <c r="T1117" s="99"/>
      <c r="U1117" s="99"/>
      <c r="V1117" s="99"/>
      <c r="W1117" s="99"/>
      <c r="X1117" s="99"/>
      <c r="Y1117" s="99"/>
      <c r="Z1117" s="99"/>
      <c r="AA1117" s="99"/>
      <c r="AB1117" s="99"/>
      <c r="AC1117" s="99"/>
      <c r="AD1117" s="99"/>
      <c r="AE1117" s="99"/>
      <c r="AF1117" s="99"/>
      <c r="AG1117" s="99"/>
      <c r="AH1117" s="99"/>
      <c r="AI1117" s="99"/>
      <c r="AJ1117" s="99"/>
      <c r="AK1117" s="99"/>
      <c r="AL1117" s="99"/>
      <c r="AM1117" s="99"/>
    </row>
    <row r="1118" ht="12.75" customHeight="1">
      <c r="A1118" s="104"/>
      <c r="B1118" s="104"/>
      <c r="C1118" s="104"/>
      <c r="D1118" s="110" t="s">
        <v>24</v>
      </c>
      <c r="E1118" s="110" t="s">
        <v>173</v>
      </c>
      <c r="G1118" s="136">
        <v>100.0</v>
      </c>
      <c r="H1118" s="136" t="s">
        <v>95</v>
      </c>
      <c r="I1118" s="137">
        <v>120000.0</v>
      </c>
      <c r="J1118" s="46">
        <f t="shared" si="1091"/>
        <v>12000000</v>
      </c>
      <c r="K1118" s="46"/>
      <c r="L1118" s="105"/>
      <c r="M1118" s="106"/>
      <c r="N1118" s="105"/>
      <c r="O1118" s="46">
        <f t="shared" si="1092"/>
        <v>12000000</v>
      </c>
      <c r="P1118" s="46">
        <f t="shared" si="1093"/>
        <v>12000000</v>
      </c>
      <c r="Q1118" s="46">
        <v>1.2E7</v>
      </c>
      <c r="R1118" s="101"/>
      <c r="S1118" s="101"/>
      <c r="T1118" s="99"/>
      <c r="U1118" s="99"/>
      <c r="V1118" s="99"/>
      <c r="W1118" s="99"/>
      <c r="X1118" s="99"/>
      <c r="Y1118" s="99"/>
      <c r="Z1118" s="99"/>
      <c r="AA1118" s="99"/>
      <c r="AB1118" s="99"/>
      <c r="AC1118" s="99"/>
      <c r="AD1118" s="99"/>
      <c r="AE1118" s="99"/>
      <c r="AF1118" s="99"/>
      <c r="AG1118" s="99"/>
      <c r="AH1118" s="99"/>
      <c r="AI1118" s="99"/>
      <c r="AJ1118" s="99"/>
      <c r="AK1118" s="99"/>
      <c r="AL1118" s="99"/>
      <c r="AM1118" s="99"/>
    </row>
    <row r="1119" ht="12.75" customHeight="1">
      <c r="A1119" s="104"/>
      <c r="B1119" s="104"/>
      <c r="C1119" s="104"/>
      <c r="D1119" s="110" t="s">
        <v>24</v>
      </c>
      <c r="E1119" s="110" t="s">
        <v>174</v>
      </c>
      <c r="G1119" s="136">
        <v>100.0</v>
      </c>
      <c r="H1119" s="136" t="s">
        <v>95</v>
      </c>
      <c r="I1119" s="137">
        <v>150000.0</v>
      </c>
      <c r="J1119" s="46">
        <f t="shared" si="1091"/>
        <v>15000000</v>
      </c>
      <c r="K1119" s="46"/>
      <c r="L1119" s="105"/>
      <c r="M1119" s="106"/>
      <c r="N1119" s="105"/>
      <c r="O1119" s="46">
        <f t="shared" si="1092"/>
        <v>15000000</v>
      </c>
      <c r="P1119" s="46">
        <f t="shared" si="1093"/>
        <v>15000000</v>
      </c>
      <c r="Q1119" s="46">
        <v>1.5E7</v>
      </c>
      <c r="R1119" s="101"/>
      <c r="S1119" s="101"/>
      <c r="T1119" s="99"/>
      <c r="U1119" s="99"/>
      <c r="V1119" s="99"/>
      <c r="W1119" s="99"/>
      <c r="X1119" s="99"/>
      <c r="Y1119" s="99"/>
      <c r="Z1119" s="99"/>
      <c r="AA1119" s="99"/>
      <c r="AB1119" s="99"/>
      <c r="AC1119" s="99"/>
      <c r="AD1119" s="99"/>
      <c r="AE1119" s="99"/>
      <c r="AF1119" s="99"/>
      <c r="AG1119" s="99"/>
      <c r="AH1119" s="99"/>
      <c r="AI1119" s="99"/>
      <c r="AJ1119" s="99"/>
      <c r="AK1119" s="99"/>
      <c r="AL1119" s="99"/>
      <c r="AM1119" s="99"/>
    </row>
    <row r="1120" ht="12.75" customHeight="1">
      <c r="A1120" s="104"/>
      <c r="B1120" s="104"/>
      <c r="C1120" s="104"/>
      <c r="D1120" s="110" t="s">
        <v>24</v>
      </c>
      <c r="E1120" s="110" t="s">
        <v>175</v>
      </c>
      <c r="G1120" s="136">
        <v>100.0</v>
      </c>
      <c r="H1120" s="136" t="s">
        <v>95</v>
      </c>
      <c r="I1120" s="137">
        <v>100000.0</v>
      </c>
      <c r="J1120" s="46">
        <f t="shared" si="1091"/>
        <v>10000000</v>
      </c>
      <c r="K1120" s="46"/>
      <c r="L1120" s="105"/>
      <c r="M1120" s="106"/>
      <c r="N1120" s="105"/>
      <c r="O1120" s="46">
        <f t="shared" si="1092"/>
        <v>10000000</v>
      </c>
      <c r="P1120" s="46">
        <f t="shared" si="1093"/>
        <v>10000000</v>
      </c>
      <c r="Q1120" s="46">
        <v>1.0E7</v>
      </c>
      <c r="R1120" s="101"/>
      <c r="S1120" s="101"/>
      <c r="T1120" s="99"/>
      <c r="U1120" s="99"/>
      <c r="V1120" s="99"/>
      <c r="W1120" s="99"/>
      <c r="X1120" s="99"/>
      <c r="Y1120" s="99"/>
      <c r="Z1120" s="99"/>
      <c r="AA1120" s="99"/>
      <c r="AB1120" s="99"/>
      <c r="AC1120" s="99"/>
      <c r="AD1120" s="99"/>
      <c r="AE1120" s="99"/>
      <c r="AF1120" s="99"/>
      <c r="AG1120" s="99"/>
      <c r="AH1120" s="99"/>
      <c r="AI1120" s="99"/>
      <c r="AJ1120" s="99"/>
      <c r="AK1120" s="99"/>
      <c r="AL1120" s="99"/>
      <c r="AM1120" s="99"/>
    </row>
    <row r="1121" ht="12.75" customHeight="1">
      <c r="A1121" s="104"/>
      <c r="B1121" s="104"/>
      <c r="C1121" s="104"/>
      <c r="D1121" s="110" t="s">
        <v>24</v>
      </c>
      <c r="E1121" s="110" t="s">
        <v>176</v>
      </c>
      <c r="G1121" s="136">
        <v>100.0</v>
      </c>
      <c r="H1121" s="136" t="s">
        <v>95</v>
      </c>
      <c r="I1121" s="137">
        <v>350000.0</v>
      </c>
      <c r="J1121" s="46">
        <f t="shared" si="1091"/>
        <v>35000000</v>
      </c>
      <c r="K1121" s="46"/>
      <c r="L1121" s="105"/>
      <c r="M1121" s="106"/>
      <c r="N1121" s="105"/>
      <c r="O1121" s="46">
        <f t="shared" si="1092"/>
        <v>35000000</v>
      </c>
      <c r="P1121" s="46">
        <f t="shared" si="1093"/>
        <v>35000000</v>
      </c>
      <c r="Q1121" s="46">
        <v>3.5E7</v>
      </c>
      <c r="R1121" s="101"/>
      <c r="S1121" s="101"/>
      <c r="T1121" s="99"/>
      <c r="U1121" s="99"/>
      <c r="V1121" s="99"/>
      <c r="W1121" s="99"/>
      <c r="X1121" s="99"/>
      <c r="Y1121" s="99"/>
      <c r="Z1121" s="99"/>
      <c r="AA1121" s="99"/>
      <c r="AB1121" s="99"/>
      <c r="AC1121" s="99"/>
      <c r="AD1121" s="99"/>
      <c r="AE1121" s="99"/>
      <c r="AF1121" s="99"/>
      <c r="AG1121" s="99"/>
      <c r="AH1121" s="99"/>
      <c r="AI1121" s="99"/>
      <c r="AJ1121" s="99"/>
      <c r="AK1121" s="99"/>
      <c r="AL1121" s="99"/>
      <c r="AM1121" s="99"/>
    </row>
    <row r="1122" ht="12.75" customHeight="1">
      <c r="A1122" s="104"/>
      <c r="B1122" s="104"/>
      <c r="C1122" s="104"/>
      <c r="D1122" s="110" t="s">
        <v>24</v>
      </c>
      <c r="E1122" s="110" t="s">
        <v>177</v>
      </c>
      <c r="G1122" s="136">
        <v>50.0</v>
      </c>
      <c r="H1122" s="136" t="s">
        <v>95</v>
      </c>
      <c r="I1122" s="137">
        <v>175000.0</v>
      </c>
      <c r="J1122" s="46">
        <f t="shared" si="1091"/>
        <v>8750000</v>
      </c>
      <c r="K1122" s="46"/>
      <c r="L1122" s="105"/>
      <c r="M1122" s="106"/>
      <c r="N1122" s="105"/>
      <c r="O1122" s="46">
        <f t="shared" si="1092"/>
        <v>8750000</v>
      </c>
      <c r="P1122" s="46">
        <f t="shared" si="1093"/>
        <v>8750000</v>
      </c>
      <c r="Q1122" s="46">
        <v>8750000.0</v>
      </c>
      <c r="R1122" s="101"/>
      <c r="S1122" s="101"/>
      <c r="T1122" s="99"/>
      <c r="U1122" s="99"/>
      <c r="V1122" s="99"/>
      <c r="W1122" s="99"/>
      <c r="X1122" s="99"/>
      <c r="Y1122" s="99"/>
      <c r="Z1122" s="99"/>
      <c r="AA1122" s="99"/>
      <c r="AB1122" s="99"/>
      <c r="AC1122" s="99"/>
      <c r="AD1122" s="99"/>
      <c r="AE1122" s="99"/>
      <c r="AF1122" s="99"/>
      <c r="AG1122" s="99"/>
      <c r="AH1122" s="99"/>
      <c r="AI1122" s="99"/>
      <c r="AJ1122" s="99"/>
      <c r="AK1122" s="99"/>
      <c r="AL1122" s="99"/>
      <c r="AM1122" s="99"/>
    </row>
    <row r="1123" ht="12.75" customHeight="1">
      <c r="A1123" s="104"/>
      <c r="B1123" s="104"/>
      <c r="C1123" s="104"/>
      <c r="D1123" s="110" t="s">
        <v>24</v>
      </c>
      <c r="E1123" s="110" t="s">
        <v>178</v>
      </c>
      <c r="G1123" s="136">
        <v>350.0</v>
      </c>
      <c r="H1123" s="136" t="s">
        <v>95</v>
      </c>
      <c r="I1123" s="137">
        <v>150000.0</v>
      </c>
      <c r="J1123" s="46">
        <f t="shared" si="1091"/>
        <v>52500000</v>
      </c>
      <c r="K1123" s="46"/>
      <c r="L1123" s="105"/>
      <c r="M1123" s="106"/>
      <c r="N1123" s="105"/>
      <c r="O1123" s="46">
        <f t="shared" si="1092"/>
        <v>52500000</v>
      </c>
      <c r="P1123" s="46">
        <f t="shared" si="1093"/>
        <v>52500000</v>
      </c>
      <c r="Q1123" s="46">
        <v>5.25E7</v>
      </c>
      <c r="R1123" s="101"/>
      <c r="S1123" s="101"/>
      <c r="T1123" s="99"/>
      <c r="U1123" s="99"/>
      <c r="V1123" s="99"/>
      <c r="W1123" s="99"/>
      <c r="X1123" s="99"/>
      <c r="Y1123" s="99"/>
      <c r="Z1123" s="99"/>
      <c r="AA1123" s="99"/>
      <c r="AB1123" s="99"/>
      <c r="AC1123" s="99"/>
      <c r="AD1123" s="99"/>
      <c r="AE1123" s="99"/>
      <c r="AF1123" s="99"/>
      <c r="AG1123" s="99"/>
      <c r="AH1123" s="99"/>
      <c r="AI1123" s="99"/>
      <c r="AJ1123" s="99"/>
      <c r="AK1123" s="99"/>
      <c r="AL1123" s="99"/>
      <c r="AM1123" s="99"/>
    </row>
    <row r="1124" ht="12.75" customHeight="1">
      <c r="A1124" s="104"/>
      <c r="B1124" s="104"/>
      <c r="C1124" s="104"/>
      <c r="D1124" s="110" t="s">
        <v>24</v>
      </c>
      <c r="E1124" s="110" t="s">
        <v>179</v>
      </c>
      <c r="G1124" s="136">
        <v>350.0</v>
      </c>
      <c r="H1124" s="136" t="s">
        <v>95</v>
      </c>
      <c r="I1124" s="137">
        <v>200000.0</v>
      </c>
      <c r="J1124" s="46">
        <f t="shared" si="1091"/>
        <v>70000000</v>
      </c>
      <c r="K1124" s="46"/>
      <c r="L1124" s="105"/>
      <c r="M1124" s="106"/>
      <c r="N1124" s="105"/>
      <c r="O1124" s="46">
        <f t="shared" si="1092"/>
        <v>70000000</v>
      </c>
      <c r="P1124" s="46">
        <f t="shared" si="1093"/>
        <v>70000000</v>
      </c>
      <c r="Q1124" s="46">
        <v>7.0E7</v>
      </c>
      <c r="R1124" s="101"/>
      <c r="S1124" s="101"/>
      <c r="T1124" s="99"/>
      <c r="U1124" s="99"/>
      <c r="V1124" s="99"/>
      <c r="W1124" s="99"/>
      <c r="X1124" s="99"/>
      <c r="Y1124" s="99"/>
      <c r="Z1124" s="99"/>
      <c r="AA1124" s="99"/>
      <c r="AB1124" s="99"/>
      <c r="AC1124" s="99"/>
      <c r="AD1124" s="99"/>
      <c r="AE1124" s="99"/>
      <c r="AF1124" s="99"/>
      <c r="AG1124" s="99"/>
      <c r="AH1124" s="99"/>
      <c r="AI1124" s="99"/>
      <c r="AJ1124" s="99"/>
      <c r="AK1124" s="99"/>
      <c r="AL1124" s="99"/>
      <c r="AM1124" s="99"/>
    </row>
    <row r="1125" ht="15.75" customHeight="1">
      <c r="A1125" s="104"/>
      <c r="B1125" s="104"/>
      <c r="C1125" s="104"/>
      <c r="D1125" s="110" t="s">
        <v>24</v>
      </c>
      <c r="E1125" s="110" t="s">
        <v>180</v>
      </c>
      <c r="G1125" s="136">
        <v>600.0</v>
      </c>
      <c r="H1125" s="136" t="s">
        <v>95</v>
      </c>
      <c r="I1125" s="137">
        <v>250000.0</v>
      </c>
      <c r="J1125" s="46">
        <f t="shared" si="1091"/>
        <v>150000000</v>
      </c>
      <c r="K1125" s="46"/>
      <c r="L1125" s="105"/>
      <c r="M1125" s="106"/>
      <c r="N1125" s="105"/>
      <c r="O1125" s="46">
        <f t="shared" si="1092"/>
        <v>150000000</v>
      </c>
      <c r="P1125" s="46">
        <f t="shared" si="1093"/>
        <v>150000000</v>
      </c>
      <c r="Q1125" s="46">
        <v>1.5E8</v>
      </c>
      <c r="R1125" s="101"/>
      <c r="S1125" s="101"/>
      <c r="T1125" s="99"/>
      <c r="U1125" s="99"/>
      <c r="V1125" s="99"/>
      <c r="W1125" s="99"/>
      <c r="X1125" s="99"/>
      <c r="Y1125" s="99"/>
      <c r="Z1125" s="99"/>
      <c r="AA1125" s="99"/>
      <c r="AB1125" s="99"/>
      <c r="AC1125" s="99"/>
      <c r="AD1125" s="99"/>
      <c r="AE1125" s="99"/>
      <c r="AF1125" s="99"/>
      <c r="AG1125" s="99"/>
      <c r="AH1125" s="99"/>
      <c r="AI1125" s="99"/>
      <c r="AJ1125" s="99"/>
      <c r="AK1125" s="99"/>
      <c r="AL1125" s="99"/>
      <c r="AM1125" s="99"/>
    </row>
    <row r="1126" ht="12.75" customHeight="1">
      <c r="A1126" s="104"/>
      <c r="B1126" s="104"/>
      <c r="C1126" s="104"/>
      <c r="D1126" s="110" t="s">
        <v>24</v>
      </c>
      <c r="E1126" s="110" t="s">
        <v>181</v>
      </c>
      <c r="G1126" s="136">
        <v>360.0</v>
      </c>
      <c r="H1126" s="136" t="s">
        <v>95</v>
      </c>
      <c r="I1126" s="137">
        <v>100000.0</v>
      </c>
      <c r="J1126" s="46">
        <f t="shared" si="1091"/>
        <v>36000000</v>
      </c>
      <c r="K1126" s="46"/>
      <c r="L1126" s="105"/>
      <c r="M1126" s="106"/>
      <c r="N1126" s="105"/>
      <c r="O1126" s="46">
        <f t="shared" si="1092"/>
        <v>36000000</v>
      </c>
      <c r="P1126" s="46">
        <f t="shared" si="1093"/>
        <v>36000000</v>
      </c>
      <c r="Q1126" s="46">
        <v>3.6E7</v>
      </c>
      <c r="R1126" s="101"/>
      <c r="S1126" s="101"/>
      <c r="T1126" s="99"/>
      <c r="U1126" s="99"/>
      <c r="V1126" s="99"/>
      <c r="W1126" s="99"/>
      <c r="X1126" s="99"/>
      <c r="Y1126" s="99"/>
      <c r="Z1126" s="99"/>
      <c r="AA1126" s="99"/>
      <c r="AB1126" s="99"/>
      <c r="AC1126" s="99"/>
      <c r="AD1126" s="99"/>
      <c r="AE1126" s="99"/>
      <c r="AF1126" s="99"/>
      <c r="AG1126" s="99"/>
      <c r="AH1126" s="99"/>
      <c r="AI1126" s="99"/>
      <c r="AJ1126" s="99"/>
      <c r="AK1126" s="99"/>
      <c r="AL1126" s="99"/>
      <c r="AM1126" s="99"/>
    </row>
    <row r="1127" ht="12.75" customHeight="1">
      <c r="A1127" s="104"/>
      <c r="B1127" s="104"/>
      <c r="C1127" s="104"/>
      <c r="D1127" s="110" t="s">
        <v>24</v>
      </c>
      <c r="E1127" s="110" t="s">
        <v>182</v>
      </c>
      <c r="G1127" s="136">
        <v>210.0</v>
      </c>
      <c r="H1127" s="136" t="s">
        <v>95</v>
      </c>
      <c r="I1127" s="137">
        <v>50000.0</v>
      </c>
      <c r="J1127" s="46">
        <f t="shared" si="1091"/>
        <v>10500000</v>
      </c>
      <c r="K1127" s="46"/>
      <c r="L1127" s="105"/>
      <c r="M1127" s="106"/>
      <c r="N1127" s="105"/>
      <c r="O1127" s="46">
        <f t="shared" si="1092"/>
        <v>10500000</v>
      </c>
      <c r="P1127" s="46">
        <f t="shared" si="1093"/>
        <v>10500000</v>
      </c>
      <c r="Q1127" s="46">
        <v>1.05E7</v>
      </c>
      <c r="R1127" s="101"/>
      <c r="S1127" s="101"/>
      <c r="T1127" s="99"/>
      <c r="U1127" s="99"/>
      <c r="V1127" s="99"/>
      <c r="W1127" s="99"/>
      <c r="X1127" s="99"/>
      <c r="Y1127" s="99"/>
      <c r="Z1127" s="99"/>
      <c r="AA1127" s="99"/>
      <c r="AB1127" s="99"/>
      <c r="AC1127" s="99"/>
      <c r="AD1127" s="99"/>
      <c r="AE1127" s="99"/>
      <c r="AF1127" s="99"/>
      <c r="AG1127" s="99"/>
      <c r="AH1127" s="99"/>
      <c r="AI1127" s="99"/>
      <c r="AJ1127" s="99"/>
      <c r="AK1127" s="99"/>
      <c r="AL1127" s="99"/>
      <c r="AM1127" s="99"/>
    </row>
    <row r="1128" ht="12.75" customHeight="1">
      <c r="A1128" s="144" t="s">
        <v>126</v>
      </c>
      <c r="D1128" s="144" t="s">
        <v>127</v>
      </c>
      <c r="G1128" s="104"/>
      <c r="H1128" s="128"/>
      <c r="I1128" s="104"/>
      <c r="J1128" s="129">
        <f t="shared" ref="J1128:K1128" si="1094">J1129</f>
        <v>190740000</v>
      </c>
      <c r="K1128" s="43">
        <f t="shared" si="1094"/>
        <v>0</v>
      </c>
      <c r="L1128" s="105"/>
      <c r="M1128" s="106"/>
      <c r="N1128" s="105"/>
      <c r="O1128" s="43">
        <f t="shared" ref="O1128:P1128" si="1095">O1129</f>
        <v>190740000</v>
      </c>
      <c r="P1128" s="43">
        <f t="shared" si="1095"/>
        <v>190740000</v>
      </c>
      <c r="Q1128" s="43">
        <v>1.9074E8</v>
      </c>
      <c r="R1128" s="101"/>
      <c r="S1128" s="101"/>
      <c r="T1128" s="99"/>
      <c r="U1128" s="99"/>
      <c r="V1128" s="99"/>
      <c r="W1128" s="99"/>
      <c r="X1128" s="99"/>
      <c r="Y1128" s="99"/>
      <c r="Z1128" s="99"/>
      <c r="AA1128" s="99"/>
      <c r="AB1128" s="99"/>
      <c r="AC1128" s="99"/>
      <c r="AD1128" s="99"/>
      <c r="AE1128" s="99"/>
      <c r="AF1128" s="99"/>
      <c r="AG1128" s="99"/>
      <c r="AH1128" s="99"/>
      <c r="AI1128" s="99"/>
      <c r="AJ1128" s="99"/>
      <c r="AK1128" s="99"/>
      <c r="AL1128" s="99"/>
      <c r="AM1128" s="99"/>
    </row>
    <row r="1129" ht="12.75" customHeight="1">
      <c r="A1129" s="110" t="s">
        <v>68</v>
      </c>
      <c r="D1129" s="145" t="s">
        <v>69</v>
      </c>
      <c r="G1129" s="104"/>
      <c r="H1129" s="133"/>
      <c r="I1129" s="104"/>
      <c r="J1129" s="134">
        <f t="shared" ref="J1129:K1129" si="1096">SUM(J1131:J1135)</f>
        <v>190740000</v>
      </c>
      <c r="K1129" s="46">
        <f t="shared" si="1096"/>
        <v>0</v>
      </c>
      <c r="L1129" s="105"/>
      <c r="M1129" s="106"/>
      <c r="N1129" s="105"/>
      <c r="O1129" s="46">
        <f t="shared" ref="O1129:P1129" si="1097">SUM(O1131:O1135)</f>
        <v>190740000</v>
      </c>
      <c r="P1129" s="46">
        <f t="shared" si="1097"/>
        <v>190740000</v>
      </c>
      <c r="Q1129" s="46">
        <v>1.9074E8</v>
      </c>
      <c r="R1129" s="101"/>
      <c r="S1129" s="101"/>
      <c r="T1129" s="99"/>
      <c r="U1129" s="99"/>
      <c r="V1129" s="99"/>
      <c r="W1129" s="99"/>
      <c r="X1129" s="99"/>
      <c r="Y1129" s="99"/>
      <c r="Z1129" s="99"/>
      <c r="AA1129" s="99"/>
      <c r="AB1129" s="99"/>
      <c r="AC1129" s="99"/>
      <c r="AD1129" s="99"/>
      <c r="AE1129" s="99"/>
      <c r="AF1129" s="99"/>
      <c r="AG1129" s="99"/>
      <c r="AH1129" s="99"/>
      <c r="AI1129" s="99"/>
      <c r="AJ1129" s="99"/>
      <c r="AK1129" s="99"/>
      <c r="AL1129" s="99"/>
      <c r="AM1129" s="99"/>
    </row>
    <row r="1130" ht="12.75" customHeight="1">
      <c r="A1130" s="104"/>
      <c r="B1130" s="104"/>
      <c r="C1130" s="104"/>
      <c r="D1130" s="110" t="s">
        <v>23</v>
      </c>
      <c r="G1130" s="104"/>
      <c r="H1130" s="104"/>
      <c r="I1130" s="104"/>
      <c r="J1130" s="111"/>
      <c r="K1130" s="111"/>
      <c r="L1130" s="105"/>
      <c r="M1130" s="106"/>
      <c r="N1130" s="105"/>
      <c r="O1130" s="111"/>
      <c r="P1130" s="111"/>
      <c r="Q1130" s="111"/>
      <c r="R1130" s="101"/>
      <c r="S1130" s="101"/>
      <c r="T1130" s="99"/>
      <c r="U1130" s="99"/>
      <c r="V1130" s="99"/>
      <c r="W1130" s="99"/>
      <c r="X1130" s="99"/>
      <c r="Y1130" s="99"/>
      <c r="Z1130" s="99"/>
      <c r="AA1130" s="99"/>
      <c r="AB1130" s="99"/>
      <c r="AC1130" s="99"/>
      <c r="AD1130" s="99"/>
      <c r="AE1130" s="99"/>
      <c r="AF1130" s="99"/>
      <c r="AG1130" s="99"/>
      <c r="AH1130" s="99"/>
      <c r="AI1130" s="99"/>
      <c r="AJ1130" s="99"/>
      <c r="AK1130" s="99"/>
      <c r="AL1130" s="99"/>
      <c r="AM1130" s="99"/>
    </row>
    <row r="1131" ht="12.75" customHeight="1">
      <c r="A1131" s="104"/>
      <c r="B1131" s="104"/>
      <c r="C1131" s="104"/>
      <c r="D1131" s="110" t="s">
        <v>24</v>
      </c>
      <c r="E1131" s="110" t="s">
        <v>128</v>
      </c>
      <c r="G1131" s="136">
        <v>88.0</v>
      </c>
      <c r="H1131" s="136" t="s">
        <v>233</v>
      </c>
      <c r="I1131" s="137">
        <v>110000.0</v>
      </c>
      <c r="J1131" s="46">
        <f t="shared" ref="J1131:J1135" si="1098">G1131*I1131</f>
        <v>9680000</v>
      </c>
      <c r="K1131" s="46"/>
      <c r="L1131" s="105"/>
      <c r="M1131" s="106"/>
      <c r="N1131" s="105"/>
      <c r="O1131" s="46">
        <f t="shared" ref="O1131:O1135" si="1099">J1131-K1131</f>
        <v>9680000</v>
      </c>
      <c r="P1131" s="46">
        <f t="shared" ref="P1131:P1135" si="1100">J1131-M1131</f>
        <v>9680000</v>
      </c>
      <c r="Q1131" s="46">
        <v>9680000.0</v>
      </c>
      <c r="R1131" s="101"/>
      <c r="S1131" s="101"/>
      <c r="T1131" s="99"/>
      <c r="U1131" s="99"/>
      <c r="V1131" s="99"/>
      <c r="W1131" s="99"/>
      <c r="X1131" s="99"/>
      <c r="Y1131" s="99"/>
      <c r="Z1131" s="99"/>
      <c r="AA1131" s="99"/>
      <c r="AB1131" s="99"/>
      <c r="AC1131" s="99"/>
      <c r="AD1131" s="99"/>
      <c r="AE1131" s="99"/>
      <c r="AF1131" s="99"/>
      <c r="AG1131" s="99"/>
      <c r="AH1131" s="99"/>
      <c r="AI1131" s="99"/>
      <c r="AJ1131" s="99"/>
      <c r="AK1131" s="99"/>
      <c r="AL1131" s="99"/>
      <c r="AM1131" s="99"/>
    </row>
    <row r="1132" ht="12.75" customHeight="1">
      <c r="A1132" s="104"/>
      <c r="B1132" s="104"/>
      <c r="C1132" s="104"/>
      <c r="D1132" s="110" t="s">
        <v>24</v>
      </c>
      <c r="E1132" s="110" t="s">
        <v>130</v>
      </c>
      <c r="G1132" s="136">
        <v>88.0</v>
      </c>
      <c r="H1132" s="136" t="s">
        <v>233</v>
      </c>
      <c r="I1132" s="137">
        <v>120000.0</v>
      </c>
      <c r="J1132" s="46">
        <f t="shared" si="1098"/>
        <v>10560000</v>
      </c>
      <c r="K1132" s="46"/>
      <c r="L1132" s="105"/>
      <c r="M1132" s="106"/>
      <c r="N1132" s="105"/>
      <c r="O1132" s="46">
        <f t="shared" si="1099"/>
        <v>10560000</v>
      </c>
      <c r="P1132" s="46">
        <f t="shared" si="1100"/>
        <v>10560000</v>
      </c>
      <c r="Q1132" s="46">
        <v>1.056E7</v>
      </c>
      <c r="R1132" s="101"/>
      <c r="S1132" s="101"/>
      <c r="T1132" s="99"/>
      <c r="U1132" s="99"/>
      <c r="V1132" s="99"/>
      <c r="W1132" s="99"/>
      <c r="X1132" s="99"/>
      <c r="Y1132" s="99"/>
      <c r="Z1132" s="99"/>
      <c r="AA1132" s="99"/>
      <c r="AB1132" s="99"/>
      <c r="AC1132" s="99"/>
      <c r="AD1132" s="99"/>
      <c r="AE1132" s="99"/>
      <c r="AF1132" s="99"/>
      <c r="AG1132" s="99"/>
      <c r="AH1132" s="99"/>
      <c r="AI1132" s="99"/>
      <c r="AJ1132" s="99"/>
      <c r="AK1132" s="99"/>
      <c r="AL1132" s="99"/>
      <c r="AM1132" s="99"/>
    </row>
    <row r="1133" ht="12.75" customHeight="1">
      <c r="A1133" s="104"/>
      <c r="B1133" s="104"/>
      <c r="C1133" s="104"/>
      <c r="D1133" s="110" t="s">
        <v>24</v>
      </c>
      <c r="E1133" s="110" t="s">
        <v>131</v>
      </c>
      <c r="G1133" s="136">
        <v>88.0</v>
      </c>
      <c r="H1133" s="136" t="s">
        <v>233</v>
      </c>
      <c r="I1133" s="137">
        <v>350000.0</v>
      </c>
      <c r="J1133" s="46">
        <f t="shared" si="1098"/>
        <v>30800000</v>
      </c>
      <c r="K1133" s="46"/>
      <c r="L1133" s="105"/>
      <c r="M1133" s="106"/>
      <c r="N1133" s="105"/>
      <c r="O1133" s="46">
        <f t="shared" si="1099"/>
        <v>30800000</v>
      </c>
      <c r="P1133" s="46">
        <f t="shared" si="1100"/>
        <v>30800000</v>
      </c>
      <c r="Q1133" s="46">
        <v>3.08E7</v>
      </c>
      <c r="R1133" s="101"/>
      <c r="S1133" s="101"/>
      <c r="T1133" s="99"/>
      <c r="U1133" s="99"/>
      <c r="V1133" s="99"/>
      <c r="W1133" s="99"/>
      <c r="X1133" s="99"/>
      <c r="Y1133" s="99"/>
      <c r="Z1133" s="99"/>
      <c r="AA1133" s="99"/>
      <c r="AB1133" s="99"/>
      <c r="AC1133" s="99"/>
      <c r="AD1133" s="99"/>
      <c r="AE1133" s="99"/>
      <c r="AF1133" s="99"/>
      <c r="AG1133" s="99"/>
      <c r="AH1133" s="99"/>
      <c r="AI1133" s="99"/>
      <c r="AJ1133" s="99"/>
      <c r="AK1133" s="99"/>
      <c r="AL1133" s="99"/>
      <c r="AM1133" s="99"/>
    </row>
    <row r="1134" ht="12.75" customHeight="1">
      <c r="A1134" s="104"/>
      <c r="B1134" s="104"/>
      <c r="C1134" s="104"/>
      <c r="D1134" s="110" t="s">
        <v>24</v>
      </c>
      <c r="E1134" s="110" t="s">
        <v>132</v>
      </c>
      <c r="G1134" s="136">
        <v>44.0</v>
      </c>
      <c r="H1134" s="136" t="s">
        <v>233</v>
      </c>
      <c r="I1134" s="137">
        <v>175000.0</v>
      </c>
      <c r="J1134" s="46">
        <f t="shared" si="1098"/>
        <v>7700000</v>
      </c>
      <c r="K1134" s="46"/>
      <c r="L1134" s="105"/>
      <c r="M1134" s="106"/>
      <c r="N1134" s="105"/>
      <c r="O1134" s="46">
        <f t="shared" si="1099"/>
        <v>7700000</v>
      </c>
      <c r="P1134" s="46">
        <f t="shared" si="1100"/>
        <v>7700000</v>
      </c>
      <c r="Q1134" s="46">
        <v>7700000.0</v>
      </c>
      <c r="R1134" s="101"/>
      <c r="S1134" s="101"/>
      <c r="T1134" s="99"/>
      <c r="U1134" s="99"/>
      <c r="V1134" s="99"/>
      <c r="W1134" s="99"/>
      <c r="X1134" s="99"/>
      <c r="Y1134" s="99"/>
      <c r="Z1134" s="99"/>
      <c r="AA1134" s="99"/>
      <c r="AB1134" s="99"/>
      <c r="AC1134" s="99"/>
      <c r="AD1134" s="99"/>
      <c r="AE1134" s="99"/>
      <c r="AF1134" s="99"/>
      <c r="AG1134" s="99"/>
      <c r="AH1134" s="99"/>
      <c r="AI1134" s="99"/>
      <c r="AJ1134" s="99"/>
      <c r="AK1134" s="99"/>
      <c r="AL1134" s="99"/>
      <c r="AM1134" s="99"/>
    </row>
    <row r="1135" ht="15.75" customHeight="1">
      <c r="A1135" s="104"/>
      <c r="B1135" s="104"/>
      <c r="C1135" s="104"/>
      <c r="D1135" s="110" t="s">
        <v>24</v>
      </c>
      <c r="E1135" s="110" t="s">
        <v>133</v>
      </c>
      <c r="G1135" s="136">
        <v>528.0</v>
      </c>
      <c r="H1135" s="136" t="s">
        <v>233</v>
      </c>
      <c r="I1135" s="137">
        <v>250000.0</v>
      </c>
      <c r="J1135" s="46">
        <f t="shared" si="1098"/>
        <v>132000000</v>
      </c>
      <c r="K1135" s="46"/>
      <c r="L1135" s="105"/>
      <c r="M1135" s="106"/>
      <c r="N1135" s="105"/>
      <c r="O1135" s="46">
        <f t="shared" si="1099"/>
        <v>132000000</v>
      </c>
      <c r="P1135" s="46">
        <f t="shared" si="1100"/>
        <v>132000000</v>
      </c>
      <c r="Q1135" s="46">
        <v>1.32E8</v>
      </c>
      <c r="R1135" s="101"/>
      <c r="S1135" s="101"/>
      <c r="T1135" s="99"/>
      <c r="U1135" s="99"/>
      <c r="V1135" s="99"/>
      <c r="W1135" s="99"/>
      <c r="X1135" s="99"/>
      <c r="Y1135" s="99"/>
      <c r="Z1135" s="99"/>
      <c r="AA1135" s="99"/>
      <c r="AB1135" s="99"/>
      <c r="AC1135" s="99"/>
      <c r="AD1135" s="99"/>
      <c r="AE1135" s="99"/>
      <c r="AF1135" s="99"/>
      <c r="AG1135" s="99"/>
      <c r="AH1135" s="99"/>
      <c r="AI1135" s="99"/>
      <c r="AJ1135" s="99"/>
      <c r="AK1135" s="99"/>
      <c r="AL1135" s="99"/>
      <c r="AM1135" s="99"/>
    </row>
    <row r="1136" ht="12.75" customHeight="1">
      <c r="A1136" s="144" t="s">
        <v>134</v>
      </c>
      <c r="D1136" s="144" t="s">
        <v>135</v>
      </c>
      <c r="G1136" s="104"/>
      <c r="H1136" s="128"/>
      <c r="I1136" s="104"/>
      <c r="J1136" s="129">
        <f t="shared" ref="J1136:K1136" si="1101">J1137</f>
        <v>20020000</v>
      </c>
      <c r="K1136" s="43">
        <f t="shared" si="1101"/>
        <v>0</v>
      </c>
      <c r="L1136" s="105"/>
      <c r="M1136" s="106"/>
      <c r="N1136" s="105"/>
      <c r="O1136" s="43">
        <f t="shared" ref="O1136:P1136" si="1102">O1137</f>
        <v>20020000</v>
      </c>
      <c r="P1136" s="43">
        <f t="shared" si="1102"/>
        <v>20020000</v>
      </c>
      <c r="Q1136" s="43">
        <v>2.002E7</v>
      </c>
      <c r="R1136" s="101"/>
      <c r="S1136" s="101"/>
      <c r="T1136" s="99"/>
      <c r="U1136" s="99"/>
      <c r="V1136" s="99"/>
      <c r="W1136" s="99"/>
      <c r="X1136" s="99"/>
      <c r="Y1136" s="99"/>
      <c r="Z1136" s="99"/>
      <c r="AA1136" s="99"/>
      <c r="AB1136" s="99"/>
      <c r="AC1136" s="99"/>
      <c r="AD1136" s="99"/>
      <c r="AE1136" s="99"/>
      <c r="AF1136" s="99"/>
      <c r="AG1136" s="99"/>
      <c r="AH1136" s="99"/>
      <c r="AI1136" s="99"/>
      <c r="AJ1136" s="99"/>
      <c r="AK1136" s="99"/>
      <c r="AL1136" s="99"/>
      <c r="AM1136" s="99"/>
    </row>
    <row r="1137" ht="12.75" customHeight="1">
      <c r="A1137" s="110" t="s">
        <v>68</v>
      </c>
      <c r="D1137" s="145" t="s">
        <v>69</v>
      </c>
      <c r="G1137" s="104"/>
      <c r="H1137" s="133"/>
      <c r="I1137" s="104"/>
      <c r="J1137" s="134">
        <f t="shared" ref="J1137:K1137" si="1103">SUM(J1139:J1143)</f>
        <v>20020000</v>
      </c>
      <c r="K1137" s="46">
        <f t="shared" si="1103"/>
        <v>0</v>
      </c>
      <c r="L1137" s="105"/>
      <c r="M1137" s="106"/>
      <c r="N1137" s="105"/>
      <c r="O1137" s="46">
        <f t="shared" ref="O1137:P1137" si="1104">SUM(O1139:O1143)</f>
        <v>20020000</v>
      </c>
      <c r="P1137" s="46">
        <f t="shared" si="1104"/>
        <v>20020000</v>
      </c>
      <c r="Q1137" s="46">
        <v>2.002E7</v>
      </c>
      <c r="R1137" s="101"/>
      <c r="S1137" s="101"/>
      <c r="T1137" s="99"/>
      <c r="U1137" s="99"/>
      <c r="V1137" s="99"/>
      <c r="W1137" s="99"/>
      <c r="X1137" s="99"/>
      <c r="Y1137" s="99"/>
      <c r="Z1137" s="99"/>
      <c r="AA1137" s="99"/>
      <c r="AB1137" s="99"/>
      <c r="AC1137" s="99"/>
      <c r="AD1137" s="99"/>
      <c r="AE1137" s="99"/>
      <c r="AF1137" s="99"/>
      <c r="AG1137" s="99"/>
      <c r="AH1137" s="99"/>
      <c r="AI1137" s="99"/>
      <c r="AJ1137" s="99"/>
      <c r="AK1137" s="99"/>
      <c r="AL1137" s="99"/>
      <c r="AM1137" s="99"/>
    </row>
    <row r="1138" ht="12.75" customHeight="1">
      <c r="A1138" s="104"/>
      <c r="B1138" s="104"/>
      <c r="C1138" s="104"/>
      <c r="D1138" s="110" t="s">
        <v>23</v>
      </c>
      <c r="G1138" s="104"/>
      <c r="H1138" s="104"/>
      <c r="I1138" s="104"/>
      <c r="J1138" s="111"/>
      <c r="K1138" s="111"/>
      <c r="L1138" s="105"/>
      <c r="M1138" s="106"/>
      <c r="N1138" s="105"/>
      <c r="O1138" s="111"/>
      <c r="P1138" s="111"/>
      <c r="Q1138" s="111"/>
      <c r="R1138" s="101"/>
      <c r="S1138" s="101"/>
      <c r="T1138" s="99"/>
      <c r="U1138" s="99"/>
      <c r="V1138" s="99"/>
      <c r="W1138" s="99"/>
      <c r="X1138" s="99"/>
      <c r="Y1138" s="99"/>
      <c r="Z1138" s="99"/>
      <c r="AA1138" s="99"/>
      <c r="AB1138" s="99"/>
      <c r="AC1138" s="99"/>
      <c r="AD1138" s="99"/>
      <c r="AE1138" s="99"/>
      <c r="AF1138" s="99"/>
      <c r="AG1138" s="99"/>
      <c r="AH1138" s="99"/>
      <c r="AI1138" s="99"/>
      <c r="AJ1138" s="99"/>
      <c r="AK1138" s="99"/>
      <c r="AL1138" s="99"/>
      <c r="AM1138" s="99"/>
    </row>
    <row r="1139" ht="12.75" customHeight="1">
      <c r="A1139" s="104"/>
      <c r="B1139" s="104"/>
      <c r="C1139" s="104"/>
      <c r="D1139" s="110" t="s">
        <v>24</v>
      </c>
      <c r="E1139" s="110" t="s">
        <v>183</v>
      </c>
      <c r="G1139" s="136">
        <v>150.0</v>
      </c>
      <c r="H1139" s="136" t="s">
        <v>95</v>
      </c>
      <c r="I1139" s="137">
        <v>75000.0</v>
      </c>
      <c r="J1139" s="46">
        <f t="shared" ref="J1139:J1143" si="1105">G1139*I1139</f>
        <v>11250000</v>
      </c>
      <c r="K1139" s="46"/>
      <c r="L1139" s="105"/>
      <c r="M1139" s="106"/>
      <c r="N1139" s="105"/>
      <c r="O1139" s="46">
        <f t="shared" ref="O1139:O1143" si="1106">J1139-K1139</f>
        <v>11250000</v>
      </c>
      <c r="P1139" s="46">
        <f t="shared" ref="P1139:P1143" si="1107">J1139-M1139</f>
        <v>11250000</v>
      </c>
      <c r="Q1139" s="46">
        <v>1.125E7</v>
      </c>
      <c r="R1139" s="101"/>
      <c r="S1139" s="101"/>
      <c r="T1139" s="99"/>
      <c r="U1139" s="99"/>
      <c r="V1139" s="99"/>
      <c r="W1139" s="99"/>
      <c r="X1139" s="99"/>
      <c r="Y1139" s="99"/>
      <c r="Z1139" s="99"/>
      <c r="AA1139" s="99"/>
      <c r="AB1139" s="99"/>
      <c r="AC1139" s="99"/>
      <c r="AD1139" s="99"/>
      <c r="AE1139" s="99"/>
      <c r="AF1139" s="99"/>
      <c r="AG1139" s="99"/>
      <c r="AH1139" s="99"/>
      <c r="AI1139" s="99"/>
      <c r="AJ1139" s="99"/>
      <c r="AK1139" s="99"/>
      <c r="AL1139" s="99"/>
      <c r="AM1139" s="99"/>
    </row>
    <row r="1140" ht="12.75" customHeight="1">
      <c r="A1140" s="104"/>
      <c r="B1140" s="104"/>
      <c r="C1140" s="104"/>
      <c r="D1140" s="110" t="s">
        <v>24</v>
      </c>
      <c r="E1140" s="110" t="s">
        <v>137</v>
      </c>
      <c r="G1140" s="136">
        <v>2.0</v>
      </c>
      <c r="H1140" s="136" t="s">
        <v>95</v>
      </c>
      <c r="I1140" s="137">
        <v>360000.0</v>
      </c>
      <c r="J1140" s="46">
        <f t="shared" si="1105"/>
        <v>720000</v>
      </c>
      <c r="K1140" s="46"/>
      <c r="L1140" s="105"/>
      <c r="M1140" s="106"/>
      <c r="N1140" s="105"/>
      <c r="O1140" s="46">
        <f t="shared" si="1106"/>
        <v>720000</v>
      </c>
      <c r="P1140" s="46">
        <f t="shared" si="1107"/>
        <v>720000</v>
      </c>
      <c r="Q1140" s="46">
        <v>720000.0</v>
      </c>
      <c r="R1140" s="101"/>
      <c r="S1140" s="101"/>
      <c r="T1140" s="99"/>
      <c r="U1140" s="99"/>
      <c r="V1140" s="99"/>
      <c r="W1140" s="99"/>
      <c r="X1140" s="99"/>
      <c r="Y1140" s="99"/>
      <c r="Z1140" s="99"/>
      <c r="AA1140" s="99"/>
      <c r="AB1140" s="99"/>
      <c r="AC1140" s="99"/>
      <c r="AD1140" s="99"/>
      <c r="AE1140" s="99"/>
      <c r="AF1140" s="99"/>
      <c r="AG1140" s="99"/>
      <c r="AH1140" s="99"/>
      <c r="AI1140" s="99"/>
      <c r="AJ1140" s="99"/>
      <c r="AK1140" s="99"/>
      <c r="AL1140" s="99"/>
      <c r="AM1140" s="99"/>
    </row>
    <row r="1141" ht="15.75" customHeight="1">
      <c r="A1141" s="104"/>
      <c r="B1141" s="104"/>
      <c r="C1141" s="104"/>
      <c r="D1141" s="110" t="s">
        <v>24</v>
      </c>
      <c r="E1141" s="110" t="s">
        <v>184</v>
      </c>
      <c r="G1141" s="136">
        <v>50.0</v>
      </c>
      <c r="H1141" s="136" t="s">
        <v>95</v>
      </c>
      <c r="I1141" s="137">
        <v>93000.0</v>
      </c>
      <c r="J1141" s="46">
        <f t="shared" si="1105"/>
        <v>4650000</v>
      </c>
      <c r="K1141" s="46"/>
      <c r="L1141" s="105"/>
      <c r="M1141" s="106"/>
      <c r="N1141" s="105"/>
      <c r="O1141" s="46">
        <f t="shared" si="1106"/>
        <v>4650000</v>
      </c>
      <c r="P1141" s="46">
        <f t="shared" si="1107"/>
        <v>4650000</v>
      </c>
      <c r="Q1141" s="46">
        <v>4650000.0</v>
      </c>
      <c r="R1141" s="101"/>
      <c r="S1141" s="101"/>
      <c r="T1141" s="99"/>
      <c r="U1141" s="99"/>
      <c r="V1141" s="99"/>
      <c r="W1141" s="99"/>
      <c r="X1141" s="99"/>
      <c r="Y1141" s="99"/>
      <c r="Z1141" s="99"/>
      <c r="AA1141" s="99"/>
      <c r="AB1141" s="99"/>
      <c r="AC1141" s="99"/>
      <c r="AD1141" s="99"/>
      <c r="AE1141" s="99"/>
      <c r="AF1141" s="99"/>
      <c r="AG1141" s="99"/>
      <c r="AH1141" s="99"/>
      <c r="AI1141" s="99"/>
      <c r="AJ1141" s="99"/>
      <c r="AK1141" s="99"/>
      <c r="AL1141" s="99"/>
      <c r="AM1141" s="99"/>
    </row>
    <row r="1142" ht="12.75" customHeight="1">
      <c r="A1142" s="104"/>
      <c r="B1142" s="104"/>
      <c r="C1142" s="104"/>
      <c r="D1142" s="110" t="s">
        <v>24</v>
      </c>
      <c r="E1142" s="110" t="s">
        <v>185</v>
      </c>
      <c r="G1142" s="136">
        <v>50.0</v>
      </c>
      <c r="H1142" s="136" t="s">
        <v>95</v>
      </c>
      <c r="I1142" s="137">
        <v>53000.0</v>
      </c>
      <c r="J1142" s="46">
        <f t="shared" si="1105"/>
        <v>2650000</v>
      </c>
      <c r="K1142" s="46"/>
      <c r="L1142" s="105"/>
      <c r="M1142" s="106"/>
      <c r="N1142" s="105"/>
      <c r="O1142" s="46">
        <f t="shared" si="1106"/>
        <v>2650000</v>
      </c>
      <c r="P1142" s="46">
        <f t="shared" si="1107"/>
        <v>2650000</v>
      </c>
      <c r="Q1142" s="46">
        <v>2650000.0</v>
      </c>
      <c r="R1142" s="101"/>
      <c r="S1142" s="101"/>
      <c r="T1142" s="99"/>
      <c r="U1142" s="99"/>
      <c r="V1142" s="99"/>
      <c r="W1142" s="99"/>
      <c r="X1142" s="99"/>
      <c r="Y1142" s="99"/>
      <c r="Z1142" s="99"/>
      <c r="AA1142" s="99"/>
      <c r="AB1142" s="99"/>
      <c r="AC1142" s="99"/>
      <c r="AD1142" s="99"/>
      <c r="AE1142" s="99"/>
      <c r="AF1142" s="99"/>
      <c r="AG1142" s="99"/>
      <c r="AH1142" s="99"/>
      <c r="AI1142" s="99"/>
      <c r="AJ1142" s="99"/>
      <c r="AK1142" s="99"/>
      <c r="AL1142" s="99"/>
      <c r="AM1142" s="99"/>
    </row>
    <row r="1143" ht="12.75" customHeight="1">
      <c r="A1143" s="104"/>
      <c r="B1143" s="104"/>
      <c r="C1143" s="104"/>
      <c r="D1143" s="110" t="s">
        <v>24</v>
      </c>
      <c r="E1143" s="110" t="s">
        <v>186</v>
      </c>
      <c r="G1143" s="136">
        <v>50.0</v>
      </c>
      <c r="H1143" s="136" t="s">
        <v>95</v>
      </c>
      <c r="I1143" s="137">
        <v>15000.0</v>
      </c>
      <c r="J1143" s="46">
        <f t="shared" si="1105"/>
        <v>750000</v>
      </c>
      <c r="K1143" s="46"/>
      <c r="L1143" s="105"/>
      <c r="M1143" s="106"/>
      <c r="N1143" s="105"/>
      <c r="O1143" s="46">
        <f t="shared" si="1106"/>
        <v>750000</v>
      </c>
      <c r="P1143" s="46">
        <f t="shared" si="1107"/>
        <v>750000</v>
      </c>
      <c r="Q1143" s="46">
        <v>750000.0</v>
      </c>
      <c r="R1143" s="101"/>
      <c r="S1143" s="101"/>
      <c r="T1143" s="99"/>
      <c r="U1143" s="99"/>
      <c r="V1143" s="99"/>
      <c r="W1143" s="99"/>
      <c r="X1143" s="99"/>
      <c r="Y1143" s="99"/>
      <c r="Z1143" s="99"/>
      <c r="AA1143" s="99"/>
      <c r="AB1143" s="99"/>
      <c r="AC1143" s="99"/>
      <c r="AD1143" s="99"/>
      <c r="AE1143" s="99"/>
      <c r="AF1143" s="99"/>
      <c r="AG1143" s="99"/>
      <c r="AH1143" s="99"/>
      <c r="AI1143" s="99"/>
      <c r="AJ1143" s="99"/>
      <c r="AK1143" s="99"/>
      <c r="AL1143" s="99"/>
      <c r="AM1143" s="99"/>
    </row>
    <row r="1144" ht="12.75" customHeight="1">
      <c r="A1144" s="144" t="s">
        <v>141</v>
      </c>
      <c r="D1144" s="144" t="s">
        <v>142</v>
      </c>
      <c r="G1144" s="104"/>
      <c r="H1144" s="128"/>
      <c r="I1144" s="104"/>
      <c r="J1144" s="129">
        <f t="shared" ref="J1144:K1144" si="1108">J1145</f>
        <v>145500000</v>
      </c>
      <c r="K1144" s="43">
        <f t="shared" si="1108"/>
        <v>0</v>
      </c>
      <c r="L1144" s="105"/>
      <c r="M1144" s="106"/>
      <c r="N1144" s="105"/>
      <c r="O1144" s="43">
        <f t="shared" ref="O1144:P1144" si="1109">O1145</f>
        <v>145500000</v>
      </c>
      <c r="P1144" s="43">
        <f t="shared" si="1109"/>
        <v>145500000</v>
      </c>
      <c r="Q1144" s="43">
        <v>1.455E8</v>
      </c>
      <c r="R1144" s="101"/>
      <c r="S1144" s="101"/>
      <c r="T1144" s="99"/>
      <c r="U1144" s="99"/>
      <c r="V1144" s="99"/>
      <c r="W1144" s="99"/>
      <c r="X1144" s="99"/>
      <c r="Y1144" s="99"/>
      <c r="Z1144" s="99"/>
      <c r="AA1144" s="99"/>
      <c r="AB1144" s="99"/>
      <c r="AC1144" s="99"/>
      <c r="AD1144" s="99"/>
      <c r="AE1144" s="99"/>
      <c r="AF1144" s="99"/>
      <c r="AG1144" s="99"/>
      <c r="AH1144" s="99"/>
      <c r="AI1144" s="99"/>
      <c r="AJ1144" s="99"/>
      <c r="AK1144" s="99"/>
      <c r="AL1144" s="99"/>
      <c r="AM1144" s="99"/>
    </row>
    <row r="1145" ht="12.75" customHeight="1">
      <c r="A1145" s="110" t="s">
        <v>68</v>
      </c>
      <c r="D1145" s="145" t="s">
        <v>69</v>
      </c>
      <c r="G1145" s="104"/>
      <c r="H1145" s="133"/>
      <c r="I1145" s="104"/>
      <c r="J1145" s="134">
        <f t="shared" ref="J1145:K1145" si="1110">SUM(J1147:J1149)</f>
        <v>145500000</v>
      </c>
      <c r="K1145" s="46">
        <f t="shared" si="1110"/>
        <v>0</v>
      </c>
      <c r="L1145" s="105"/>
      <c r="M1145" s="106"/>
      <c r="N1145" s="105"/>
      <c r="O1145" s="46">
        <f t="shared" ref="O1145:P1145" si="1111">SUM(O1147:O1149)</f>
        <v>145500000</v>
      </c>
      <c r="P1145" s="46">
        <f t="shared" si="1111"/>
        <v>145500000</v>
      </c>
      <c r="Q1145" s="46">
        <v>1.455E8</v>
      </c>
      <c r="R1145" s="101"/>
      <c r="S1145" s="101"/>
      <c r="T1145" s="99"/>
      <c r="U1145" s="99"/>
      <c r="V1145" s="99"/>
      <c r="W1145" s="99"/>
      <c r="X1145" s="99"/>
      <c r="Y1145" s="99"/>
      <c r="Z1145" s="99"/>
      <c r="AA1145" s="99"/>
      <c r="AB1145" s="99"/>
      <c r="AC1145" s="99"/>
      <c r="AD1145" s="99"/>
      <c r="AE1145" s="99"/>
      <c r="AF1145" s="99"/>
      <c r="AG1145" s="99"/>
      <c r="AH1145" s="99"/>
      <c r="AI1145" s="99"/>
      <c r="AJ1145" s="99"/>
      <c r="AK1145" s="99"/>
      <c r="AL1145" s="99"/>
      <c r="AM1145" s="99"/>
    </row>
    <row r="1146" ht="12.75" customHeight="1">
      <c r="A1146" s="104"/>
      <c r="B1146" s="104"/>
      <c r="C1146" s="104"/>
      <c r="D1146" s="110" t="s">
        <v>23</v>
      </c>
      <c r="G1146" s="104"/>
      <c r="H1146" s="104"/>
      <c r="I1146" s="104"/>
      <c r="J1146" s="111"/>
      <c r="K1146" s="111"/>
      <c r="L1146" s="105"/>
      <c r="M1146" s="106"/>
      <c r="N1146" s="105"/>
      <c r="O1146" s="111"/>
      <c r="P1146" s="111"/>
      <c r="Q1146" s="111"/>
      <c r="R1146" s="101"/>
      <c r="S1146" s="101"/>
      <c r="T1146" s="99"/>
      <c r="U1146" s="99"/>
      <c r="V1146" s="99"/>
      <c r="W1146" s="99"/>
      <c r="X1146" s="99"/>
      <c r="Y1146" s="99"/>
      <c r="Z1146" s="99"/>
      <c r="AA1146" s="99"/>
      <c r="AB1146" s="99"/>
      <c r="AC1146" s="99"/>
      <c r="AD1146" s="99"/>
      <c r="AE1146" s="99"/>
      <c r="AF1146" s="99"/>
      <c r="AG1146" s="99"/>
      <c r="AH1146" s="99"/>
      <c r="AI1146" s="99"/>
      <c r="AJ1146" s="99"/>
      <c r="AK1146" s="99"/>
      <c r="AL1146" s="99"/>
      <c r="AM1146" s="99"/>
    </row>
    <row r="1147" ht="15.75" customHeight="1">
      <c r="A1147" s="104"/>
      <c r="B1147" s="104"/>
      <c r="C1147" s="104"/>
      <c r="D1147" s="110" t="s">
        <v>24</v>
      </c>
      <c r="E1147" s="110" t="s">
        <v>187</v>
      </c>
      <c r="G1147" s="136">
        <v>50.0</v>
      </c>
      <c r="H1147" s="136" t="s">
        <v>95</v>
      </c>
      <c r="I1147" s="137">
        <v>2000000.0</v>
      </c>
      <c r="J1147" s="46">
        <f t="shared" ref="J1147:J1149" si="1112">G1147*I1147</f>
        <v>100000000</v>
      </c>
      <c r="K1147" s="46"/>
      <c r="L1147" s="105"/>
      <c r="M1147" s="106"/>
      <c r="N1147" s="105"/>
      <c r="O1147" s="46">
        <f t="shared" ref="O1147:O1149" si="1113">J1147-K1147</f>
        <v>100000000</v>
      </c>
      <c r="P1147" s="46">
        <f t="shared" ref="P1147:P1149" si="1114">J1147-M1147</f>
        <v>100000000</v>
      </c>
      <c r="Q1147" s="46">
        <v>1.0E8</v>
      </c>
      <c r="R1147" s="101"/>
      <c r="S1147" s="101"/>
      <c r="T1147" s="99"/>
      <c r="U1147" s="99"/>
      <c r="V1147" s="99"/>
      <c r="W1147" s="99"/>
      <c r="X1147" s="99"/>
      <c r="Y1147" s="99"/>
      <c r="Z1147" s="99"/>
      <c r="AA1147" s="99"/>
      <c r="AB1147" s="99"/>
      <c r="AC1147" s="99"/>
      <c r="AD1147" s="99"/>
      <c r="AE1147" s="99"/>
      <c r="AF1147" s="99"/>
      <c r="AG1147" s="99"/>
      <c r="AH1147" s="99"/>
      <c r="AI1147" s="99"/>
      <c r="AJ1147" s="99"/>
      <c r="AK1147" s="99"/>
      <c r="AL1147" s="99"/>
      <c r="AM1147" s="99"/>
    </row>
    <row r="1148" ht="15.75" customHeight="1">
      <c r="A1148" s="104"/>
      <c r="B1148" s="104"/>
      <c r="C1148" s="104"/>
      <c r="D1148" s="110" t="s">
        <v>24</v>
      </c>
      <c r="E1148" s="110" t="s">
        <v>188</v>
      </c>
      <c r="G1148" s="136">
        <v>50.0</v>
      </c>
      <c r="H1148" s="136" t="s">
        <v>95</v>
      </c>
      <c r="I1148" s="137">
        <v>750000.0</v>
      </c>
      <c r="J1148" s="46">
        <f t="shared" si="1112"/>
        <v>37500000</v>
      </c>
      <c r="K1148" s="46"/>
      <c r="L1148" s="105"/>
      <c r="M1148" s="106"/>
      <c r="N1148" s="105"/>
      <c r="O1148" s="46">
        <f t="shared" si="1113"/>
        <v>37500000</v>
      </c>
      <c r="P1148" s="46">
        <f t="shared" si="1114"/>
        <v>37500000</v>
      </c>
      <c r="Q1148" s="46">
        <v>3.75E7</v>
      </c>
      <c r="R1148" s="101"/>
      <c r="S1148" s="101"/>
      <c r="T1148" s="99"/>
      <c r="U1148" s="99"/>
      <c r="V1148" s="99"/>
      <c r="W1148" s="99"/>
      <c r="X1148" s="99"/>
      <c r="Y1148" s="99"/>
      <c r="Z1148" s="99"/>
      <c r="AA1148" s="99"/>
      <c r="AB1148" s="99"/>
      <c r="AC1148" s="99"/>
      <c r="AD1148" s="99"/>
      <c r="AE1148" s="99"/>
      <c r="AF1148" s="99"/>
      <c r="AG1148" s="99"/>
      <c r="AH1148" s="99"/>
      <c r="AI1148" s="99"/>
      <c r="AJ1148" s="99"/>
      <c r="AK1148" s="99"/>
      <c r="AL1148" s="99"/>
      <c r="AM1148" s="99"/>
    </row>
    <row r="1149" ht="15.75" customHeight="1">
      <c r="A1149" s="104"/>
      <c r="B1149" s="104"/>
      <c r="C1149" s="104"/>
      <c r="D1149" s="110" t="s">
        <v>24</v>
      </c>
      <c r="E1149" s="110" t="s">
        <v>145</v>
      </c>
      <c r="G1149" s="136">
        <v>4.0</v>
      </c>
      <c r="H1149" s="136" t="s">
        <v>95</v>
      </c>
      <c r="I1149" s="137">
        <v>2000000.0</v>
      </c>
      <c r="J1149" s="46">
        <f t="shared" si="1112"/>
        <v>8000000</v>
      </c>
      <c r="K1149" s="46"/>
      <c r="L1149" s="105"/>
      <c r="M1149" s="106"/>
      <c r="N1149" s="105"/>
      <c r="O1149" s="46">
        <f t="shared" si="1113"/>
        <v>8000000</v>
      </c>
      <c r="P1149" s="46">
        <f t="shared" si="1114"/>
        <v>8000000</v>
      </c>
      <c r="Q1149" s="46">
        <v>8000000.0</v>
      </c>
      <c r="R1149" s="101"/>
      <c r="S1149" s="101"/>
      <c r="T1149" s="99"/>
      <c r="U1149" s="99"/>
      <c r="V1149" s="99"/>
      <c r="W1149" s="99"/>
      <c r="X1149" s="99"/>
      <c r="Y1149" s="99"/>
      <c r="Z1149" s="99"/>
      <c r="AA1149" s="99"/>
      <c r="AB1149" s="99"/>
      <c r="AC1149" s="99"/>
      <c r="AD1149" s="99"/>
      <c r="AE1149" s="99"/>
      <c r="AF1149" s="99"/>
      <c r="AG1149" s="99"/>
      <c r="AH1149" s="99"/>
      <c r="AI1149" s="99"/>
      <c r="AJ1149" s="99"/>
      <c r="AK1149" s="99"/>
      <c r="AL1149" s="99"/>
      <c r="AM1149" s="99"/>
    </row>
    <row r="1150" ht="12.75" customHeight="1">
      <c r="A1150" s="144" t="s">
        <v>146</v>
      </c>
      <c r="D1150" s="144" t="s">
        <v>147</v>
      </c>
      <c r="G1150" s="104"/>
      <c r="H1150" s="128"/>
      <c r="I1150" s="104"/>
      <c r="J1150" s="129">
        <f t="shared" ref="J1150:K1150" si="1115">J1151+J1158</f>
        <v>219800000</v>
      </c>
      <c r="K1150" s="43">
        <f t="shared" si="1115"/>
        <v>0</v>
      </c>
      <c r="L1150" s="105"/>
      <c r="M1150" s="106"/>
      <c r="N1150" s="105"/>
      <c r="O1150" s="43">
        <f t="shared" ref="O1150:P1150" si="1116">O1151+O1158</f>
        <v>219800000</v>
      </c>
      <c r="P1150" s="43">
        <f t="shared" si="1116"/>
        <v>219800000</v>
      </c>
      <c r="Q1150" s="43">
        <v>2.198E8</v>
      </c>
      <c r="R1150" s="101"/>
      <c r="S1150" s="101"/>
      <c r="T1150" s="99"/>
      <c r="U1150" s="99"/>
      <c r="V1150" s="99"/>
      <c r="W1150" s="99"/>
      <c r="X1150" s="99"/>
      <c r="Y1150" s="99"/>
      <c r="Z1150" s="99"/>
      <c r="AA1150" s="99"/>
      <c r="AB1150" s="99"/>
      <c r="AC1150" s="99"/>
      <c r="AD1150" s="99"/>
      <c r="AE1150" s="99"/>
      <c r="AF1150" s="99"/>
      <c r="AG1150" s="99"/>
      <c r="AH1150" s="99"/>
      <c r="AI1150" s="99"/>
      <c r="AJ1150" s="99"/>
      <c r="AK1150" s="99"/>
      <c r="AL1150" s="99"/>
      <c r="AM1150" s="99"/>
    </row>
    <row r="1151" ht="12.75" customHeight="1">
      <c r="A1151" s="110" t="s">
        <v>74</v>
      </c>
      <c r="D1151" s="145" t="s">
        <v>75</v>
      </c>
      <c r="G1151" s="104"/>
      <c r="H1151" s="133"/>
      <c r="I1151" s="104"/>
      <c r="J1151" s="134">
        <f t="shared" ref="J1151:K1151" si="1117">SUM(J1153:J1157)</f>
        <v>195800000</v>
      </c>
      <c r="K1151" s="46">
        <f t="shared" si="1117"/>
        <v>0</v>
      </c>
      <c r="L1151" s="105"/>
      <c r="M1151" s="106"/>
      <c r="N1151" s="105"/>
      <c r="O1151" s="46">
        <f t="shared" ref="O1151:P1151" si="1118">SUM(O1153:O1157)</f>
        <v>195800000</v>
      </c>
      <c r="P1151" s="46">
        <f t="shared" si="1118"/>
        <v>195800000</v>
      </c>
      <c r="Q1151" s="46">
        <v>1.958E8</v>
      </c>
      <c r="R1151" s="101"/>
      <c r="S1151" s="101"/>
      <c r="T1151" s="99"/>
      <c r="U1151" s="99"/>
      <c r="V1151" s="99"/>
      <c r="W1151" s="99"/>
      <c r="X1151" s="99"/>
      <c r="Y1151" s="99"/>
      <c r="Z1151" s="99"/>
      <c r="AA1151" s="99"/>
      <c r="AB1151" s="99"/>
      <c r="AC1151" s="99"/>
      <c r="AD1151" s="99"/>
      <c r="AE1151" s="99"/>
      <c r="AF1151" s="99"/>
      <c r="AG1151" s="99"/>
      <c r="AH1151" s="99"/>
      <c r="AI1151" s="99"/>
      <c r="AJ1151" s="99"/>
      <c r="AK1151" s="99"/>
      <c r="AL1151" s="99"/>
      <c r="AM1151" s="99"/>
    </row>
    <row r="1152" ht="12.75" customHeight="1">
      <c r="A1152" s="104"/>
      <c r="B1152" s="104"/>
      <c r="C1152" s="104"/>
      <c r="D1152" s="110" t="s">
        <v>23</v>
      </c>
      <c r="G1152" s="104"/>
      <c r="H1152" s="104"/>
      <c r="I1152" s="104"/>
      <c r="J1152" s="111"/>
      <c r="K1152" s="111"/>
      <c r="L1152" s="105"/>
      <c r="M1152" s="106"/>
      <c r="N1152" s="105"/>
      <c r="O1152" s="111"/>
      <c r="P1152" s="111"/>
      <c r="Q1152" s="111"/>
      <c r="R1152" s="101"/>
      <c r="S1152" s="101"/>
      <c r="T1152" s="99"/>
      <c r="U1152" s="99"/>
      <c r="V1152" s="99"/>
      <c r="W1152" s="99"/>
      <c r="X1152" s="99"/>
      <c r="Y1152" s="99"/>
      <c r="Z1152" s="99"/>
      <c r="AA1152" s="99"/>
      <c r="AB1152" s="99"/>
      <c r="AC1152" s="99"/>
      <c r="AD1152" s="99"/>
      <c r="AE1152" s="99"/>
      <c r="AF1152" s="99"/>
      <c r="AG1152" s="99"/>
      <c r="AH1152" s="99"/>
      <c r="AI1152" s="99"/>
      <c r="AJ1152" s="99"/>
      <c r="AK1152" s="99"/>
      <c r="AL1152" s="99"/>
      <c r="AM1152" s="99"/>
    </row>
    <row r="1153" ht="12.75" customHeight="1">
      <c r="A1153" s="104"/>
      <c r="B1153" s="104"/>
      <c r="C1153" s="104"/>
      <c r="D1153" s="110" t="s">
        <v>24</v>
      </c>
      <c r="E1153" s="110" t="s">
        <v>291</v>
      </c>
      <c r="G1153" s="136">
        <v>75.0</v>
      </c>
      <c r="H1153" s="136" t="s">
        <v>95</v>
      </c>
      <c r="I1153" s="137">
        <v>430000.0</v>
      </c>
      <c r="J1153" s="46">
        <f t="shared" ref="J1153:J1157" si="1119">G1153*I1153</f>
        <v>32250000</v>
      </c>
      <c r="K1153" s="46"/>
      <c r="L1153" s="105"/>
      <c r="M1153" s="106"/>
      <c r="N1153" s="105"/>
      <c r="O1153" s="46">
        <f t="shared" ref="O1153:O1157" si="1120">J1153-K1153</f>
        <v>32250000</v>
      </c>
      <c r="P1153" s="46">
        <f t="shared" ref="P1153:P1157" si="1121">J1153-M1153</f>
        <v>32250000</v>
      </c>
      <c r="Q1153" s="46">
        <v>3.225E7</v>
      </c>
      <c r="R1153" s="101"/>
      <c r="S1153" s="101"/>
      <c r="T1153" s="99"/>
      <c r="U1153" s="99"/>
      <c r="V1153" s="99"/>
      <c r="W1153" s="99"/>
      <c r="X1153" s="99"/>
      <c r="Y1153" s="99"/>
      <c r="Z1153" s="99"/>
      <c r="AA1153" s="99"/>
      <c r="AB1153" s="99"/>
      <c r="AC1153" s="99"/>
      <c r="AD1153" s="99"/>
      <c r="AE1153" s="99"/>
      <c r="AF1153" s="99"/>
      <c r="AG1153" s="99"/>
      <c r="AH1153" s="99"/>
      <c r="AI1153" s="99"/>
      <c r="AJ1153" s="99"/>
      <c r="AK1153" s="99"/>
      <c r="AL1153" s="99"/>
      <c r="AM1153" s="99"/>
    </row>
    <row r="1154" ht="15.75" customHeight="1">
      <c r="A1154" s="104"/>
      <c r="B1154" s="104"/>
      <c r="C1154" s="104"/>
      <c r="D1154" s="110" t="s">
        <v>24</v>
      </c>
      <c r="E1154" s="110" t="s">
        <v>292</v>
      </c>
      <c r="G1154" s="136">
        <v>50.0</v>
      </c>
      <c r="H1154" s="136" t="s">
        <v>95</v>
      </c>
      <c r="I1154" s="137">
        <v>783500.0</v>
      </c>
      <c r="J1154" s="46">
        <f t="shared" si="1119"/>
        <v>39175000</v>
      </c>
      <c r="K1154" s="46"/>
      <c r="L1154" s="105"/>
      <c r="M1154" s="106"/>
      <c r="N1154" s="105"/>
      <c r="O1154" s="46">
        <f t="shared" si="1120"/>
        <v>39175000</v>
      </c>
      <c r="P1154" s="46">
        <f t="shared" si="1121"/>
        <v>39175000</v>
      </c>
      <c r="Q1154" s="46">
        <v>3.9175E7</v>
      </c>
      <c r="R1154" s="101"/>
      <c r="S1154" s="101"/>
      <c r="T1154" s="99"/>
      <c r="U1154" s="99"/>
      <c r="V1154" s="99"/>
      <c r="W1154" s="99"/>
      <c r="X1154" s="99"/>
      <c r="Y1154" s="99"/>
      <c r="Z1154" s="99"/>
      <c r="AA1154" s="99"/>
      <c r="AB1154" s="99"/>
      <c r="AC1154" s="99"/>
      <c r="AD1154" s="99"/>
      <c r="AE1154" s="99"/>
      <c r="AF1154" s="99"/>
      <c r="AG1154" s="99"/>
      <c r="AH1154" s="99"/>
      <c r="AI1154" s="99"/>
      <c r="AJ1154" s="99"/>
      <c r="AK1154" s="99"/>
      <c r="AL1154" s="99"/>
      <c r="AM1154" s="99"/>
    </row>
    <row r="1155" ht="12.75" customHeight="1">
      <c r="A1155" s="104"/>
      <c r="B1155" s="104"/>
      <c r="C1155" s="104"/>
      <c r="D1155" s="110" t="s">
        <v>24</v>
      </c>
      <c r="E1155" s="110" t="s">
        <v>293</v>
      </c>
      <c r="G1155" s="136">
        <v>25.0</v>
      </c>
      <c r="H1155" s="136" t="s">
        <v>95</v>
      </c>
      <c r="I1155" s="137">
        <v>875000.0</v>
      </c>
      <c r="J1155" s="46">
        <f t="shared" si="1119"/>
        <v>21875000</v>
      </c>
      <c r="K1155" s="46"/>
      <c r="L1155" s="105"/>
      <c r="M1155" s="106"/>
      <c r="N1155" s="105"/>
      <c r="O1155" s="46">
        <f t="shared" si="1120"/>
        <v>21875000</v>
      </c>
      <c r="P1155" s="46">
        <f t="shared" si="1121"/>
        <v>21875000</v>
      </c>
      <c r="Q1155" s="46">
        <v>2.1875E7</v>
      </c>
      <c r="R1155" s="101"/>
      <c r="S1155" s="101"/>
      <c r="T1155" s="99"/>
      <c r="U1155" s="99"/>
      <c r="V1155" s="99"/>
      <c r="W1155" s="99"/>
      <c r="X1155" s="99"/>
      <c r="Y1155" s="99"/>
      <c r="Z1155" s="99"/>
      <c r="AA1155" s="99"/>
      <c r="AB1155" s="99"/>
      <c r="AC1155" s="99"/>
      <c r="AD1155" s="99"/>
      <c r="AE1155" s="99"/>
      <c r="AF1155" s="99"/>
      <c r="AG1155" s="99"/>
      <c r="AH1155" s="99"/>
      <c r="AI1155" s="99"/>
      <c r="AJ1155" s="99"/>
      <c r="AK1155" s="99"/>
      <c r="AL1155" s="99"/>
      <c r="AM1155" s="99"/>
    </row>
    <row r="1156" ht="15.75" customHeight="1">
      <c r="A1156" s="104"/>
      <c r="B1156" s="104"/>
      <c r="C1156" s="104"/>
      <c r="D1156" s="110" t="s">
        <v>24</v>
      </c>
      <c r="E1156" s="110" t="s">
        <v>294</v>
      </c>
      <c r="G1156" s="136">
        <v>100.0</v>
      </c>
      <c r="H1156" s="136" t="s">
        <v>95</v>
      </c>
      <c r="I1156" s="137">
        <v>500000.0</v>
      </c>
      <c r="J1156" s="46">
        <f t="shared" si="1119"/>
        <v>50000000</v>
      </c>
      <c r="K1156" s="46"/>
      <c r="L1156" s="105"/>
      <c r="M1156" s="106"/>
      <c r="N1156" s="105"/>
      <c r="O1156" s="46">
        <f t="shared" si="1120"/>
        <v>50000000</v>
      </c>
      <c r="P1156" s="46">
        <f t="shared" si="1121"/>
        <v>50000000</v>
      </c>
      <c r="Q1156" s="46">
        <v>5.0E7</v>
      </c>
      <c r="R1156" s="101"/>
      <c r="S1156" s="101"/>
      <c r="T1156" s="99"/>
      <c r="U1156" s="99"/>
      <c r="V1156" s="99"/>
      <c r="W1156" s="99"/>
      <c r="X1156" s="99"/>
      <c r="Y1156" s="99"/>
      <c r="Z1156" s="99"/>
      <c r="AA1156" s="99"/>
      <c r="AB1156" s="99"/>
      <c r="AC1156" s="99"/>
      <c r="AD1156" s="99"/>
      <c r="AE1156" s="99"/>
      <c r="AF1156" s="99"/>
      <c r="AG1156" s="99"/>
      <c r="AH1156" s="99"/>
      <c r="AI1156" s="99"/>
      <c r="AJ1156" s="99"/>
      <c r="AK1156" s="99"/>
      <c r="AL1156" s="99"/>
      <c r="AM1156" s="99"/>
    </row>
    <row r="1157" ht="15.75" customHeight="1">
      <c r="A1157" s="104"/>
      <c r="B1157" s="104"/>
      <c r="C1157" s="104"/>
      <c r="D1157" s="110" t="s">
        <v>24</v>
      </c>
      <c r="E1157" s="110" t="s">
        <v>295</v>
      </c>
      <c r="G1157" s="136">
        <v>150.0</v>
      </c>
      <c r="H1157" s="136" t="s">
        <v>95</v>
      </c>
      <c r="I1157" s="137">
        <v>350000.0</v>
      </c>
      <c r="J1157" s="46">
        <f t="shared" si="1119"/>
        <v>52500000</v>
      </c>
      <c r="K1157" s="46"/>
      <c r="L1157" s="105"/>
      <c r="M1157" s="106"/>
      <c r="N1157" s="105"/>
      <c r="O1157" s="46">
        <f t="shared" si="1120"/>
        <v>52500000</v>
      </c>
      <c r="P1157" s="46">
        <f t="shared" si="1121"/>
        <v>52500000</v>
      </c>
      <c r="Q1157" s="46">
        <v>5.25E7</v>
      </c>
      <c r="R1157" s="101"/>
      <c r="S1157" s="101"/>
      <c r="T1157" s="99"/>
      <c r="U1157" s="99"/>
      <c r="V1157" s="99"/>
      <c r="W1157" s="99"/>
      <c r="X1157" s="99"/>
      <c r="Y1157" s="99"/>
      <c r="Z1157" s="99"/>
      <c r="AA1157" s="99"/>
      <c r="AB1157" s="99"/>
      <c r="AC1157" s="99"/>
      <c r="AD1157" s="99"/>
      <c r="AE1157" s="99"/>
      <c r="AF1157" s="99"/>
      <c r="AG1157" s="99"/>
      <c r="AH1157" s="99"/>
      <c r="AI1157" s="99"/>
      <c r="AJ1157" s="99"/>
      <c r="AK1157" s="99"/>
      <c r="AL1157" s="99"/>
      <c r="AM1157" s="99"/>
    </row>
    <row r="1158" ht="12.75" customHeight="1">
      <c r="A1158" s="110" t="s">
        <v>79</v>
      </c>
      <c r="D1158" s="145" t="s">
        <v>80</v>
      </c>
      <c r="G1158" s="104"/>
      <c r="H1158" s="133"/>
      <c r="I1158" s="104"/>
      <c r="J1158" s="134">
        <f t="shared" ref="J1158:K1158" si="1122">J1160</f>
        <v>24000000</v>
      </c>
      <c r="K1158" s="46" t="str">
        <f t="shared" si="1122"/>
        <v/>
      </c>
      <c r="L1158" s="105"/>
      <c r="M1158" s="106"/>
      <c r="N1158" s="105"/>
      <c r="O1158" s="46">
        <f t="shared" ref="O1158:P1158" si="1123">O1160</f>
        <v>24000000</v>
      </c>
      <c r="P1158" s="46">
        <f t="shared" si="1123"/>
        <v>24000000</v>
      </c>
      <c r="Q1158" s="46">
        <v>2.4E7</v>
      </c>
      <c r="R1158" s="101"/>
      <c r="S1158" s="101"/>
      <c r="T1158" s="99"/>
      <c r="U1158" s="99"/>
      <c r="V1158" s="99"/>
      <c r="W1158" s="99"/>
      <c r="X1158" s="99"/>
      <c r="Y1158" s="99"/>
      <c r="Z1158" s="99"/>
      <c r="AA1158" s="99"/>
      <c r="AB1158" s="99"/>
      <c r="AC1158" s="99"/>
      <c r="AD1158" s="99"/>
      <c r="AE1158" s="99"/>
      <c r="AF1158" s="99"/>
      <c r="AG1158" s="99"/>
      <c r="AH1158" s="99"/>
      <c r="AI1158" s="99"/>
      <c r="AJ1158" s="99"/>
      <c r="AK1158" s="99"/>
      <c r="AL1158" s="99"/>
      <c r="AM1158" s="99"/>
    </row>
    <row r="1159" ht="12.75" customHeight="1">
      <c r="A1159" s="104"/>
      <c r="B1159" s="104"/>
      <c r="C1159" s="104"/>
      <c r="D1159" s="110" t="s">
        <v>23</v>
      </c>
      <c r="G1159" s="104"/>
      <c r="H1159" s="104"/>
      <c r="I1159" s="104"/>
      <c r="J1159" s="111"/>
      <c r="K1159" s="111"/>
      <c r="L1159" s="105"/>
      <c r="M1159" s="106"/>
      <c r="N1159" s="105"/>
      <c r="O1159" s="111"/>
      <c r="P1159" s="111"/>
      <c r="Q1159" s="111"/>
      <c r="R1159" s="101"/>
      <c r="S1159" s="101"/>
      <c r="T1159" s="99"/>
      <c r="U1159" s="99"/>
      <c r="V1159" s="99"/>
      <c r="W1159" s="99"/>
      <c r="X1159" s="99"/>
      <c r="Y1159" s="99"/>
      <c r="Z1159" s="99"/>
      <c r="AA1159" s="99"/>
      <c r="AB1159" s="99"/>
      <c r="AC1159" s="99"/>
      <c r="AD1159" s="99"/>
      <c r="AE1159" s="99"/>
      <c r="AF1159" s="99"/>
      <c r="AG1159" s="99"/>
      <c r="AH1159" s="99"/>
      <c r="AI1159" s="99"/>
      <c r="AJ1159" s="99"/>
      <c r="AK1159" s="99"/>
      <c r="AL1159" s="99"/>
      <c r="AM1159" s="99"/>
    </row>
    <row r="1160" ht="12.75" customHeight="1">
      <c r="A1160" s="104"/>
      <c r="B1160" s="104"/>
      <c r="C1160" s="104"/>
      <c r="D1160" s="110" t="s">
        <v>24</v>
      </c>
      <c r="E1160" s="110" t="s">
        <v>296</v>
      </c>
      <c r="G1160" s="136">
        <v>160.0</v>
      </c>
      <c r="H1160" s="136" t="s">
        <v>95</v>
      </c>
      <c r="I1160" s="137">
        <v>150000.0</v>
      </c>
      <c r="J1160" s="46">
        <f>G1160*I1160</f>
        <v>24000000</v>
      </c>
      <c r="K1160" s="46"/>
      <c r="L1160" s="105"/>
      <c r="M1160" s="106"/>
      <c r="N1160" s="105"/>
      <c r="O1160" s="46">
        <f>J1160-K1160</f>
        <v>24000000</v>
      </c>
      <c r="P1160" s="46">
        <f>J1160-M1160</f>
        <v>24000000</v>
      </c>
      <c r="Q1160" s="46">
        <v>2.4E7</v>
      </c>
      <c r="R1160" s="101"/>
      <c r="S1160" s="101"/>
      <c r="T1160" s="99"/>
      <c r="U1160" s="99"/>
      <c r="V1160" s="99"/>
      <c r="W1160" s="99"/>
      <c r="X1160" s="99"/>
      <c r="Y1160" s="99"/>
      <c r="Z1160" s="99"/>
      <c r="AA1160" s="99"/>
      <c r="AB1160" s="99"/>
      <c r="AC1160" s="99"/>
      <c r="AD1160" s="99"/>
      <c r="AE1160" s="99"/>
      <c r="AF1160" s="99"/>
      <c r="AG1160" s="99"/>
      <c r="AH1160" s="99"/>
      <c r="AI1160" s="99"/>
      <c r="AJ1160" s="99"/>
      <c r="AK1160" s="99"/>
      <c r="AL1160" s="99"/>
      <c r="AM1160" s="99"/>
    </row>
    <row r="1161" ht="21.0" customHeight="1">
      <c r="A1161" s="140" t="s">
        <v>191</v>
      </c>
      <c r="B1161" s="121"/>
      <c r="C1161" s="122"/>
      <c r="D1161" s="140" t="s">
        <v>358</v>
      </c>
      <c r="E1161" s="121"/>
      <c r="F1161" s="122"/>
      <c r="G1161" s="141" t="s">
        <v>306</v>
      </c>
      <c r="H1161" s="141" t="s">
        <v>306</v>
      </c>
      <c r="I1161" s="142"/>
      <c r="J1161" s="125">
        <f t="shared" ref="J1161:K1161" si="1124">J1162+J1176+J1188+J1201+J1218+J1227+J1237+J1242+J1258+J1272+J1280+J1288+J1294</f>
        <v>3064496000</v>
      </c>
      <c r="K1161" s="84">
        <f t="shared" si="1124"/>
        <v>0</v>
      </c>
      <c r="L1161" s="105"/>
      <c r="M1161" s="106"/>
      <c r="N1161" s="105"/>
      <c r="O1161" s="84">
        <f t="shared" ref="O1161:P1161" si="1125">O1162+O1176+O1188+O1201+O1218+O1227+O1237+O1242+O1258+O1272+O1280+O1288+O1294</f>
        <v>3064496000</v>
      </c>
      <c r="P1161" s="84">
        <f t="shared" si="1125"/>
        <v>2606523376</v>
      </c>
      <c r="Q1161" s="143">
        <v>3.064496E9</v>
      </c>
      <c r="R1161" s="101">
        <v>2.43147897E8</v>
      </c>
      <c r="S1161" s="101" t="s">
        <v>359</v>
      </c>
      <c r="T1161" s="99"/>
      <c r="U1161" s="99"/>
      <c r="V1161" s="99"/>
      <c r="W1161" s="99"/>
      <c r="X1161" s="99"/>
      <c r="Y1161" s="99"/>
      <c r="Z1161" s="99"/>
      <c r="AA1161" s="99"/>
      <c r="AB1161" s="99"/>
      <c r="AC1161" s="99"/>
      <c r="AD1161" s="99"/>
      <c r="AE1161" s="99"/>
      <c r="AF1161" s="99"/>
      <c r="AG1161" s="99"/>
      <c r="AH1161" s="99"/>
      <c r="AI1161" s="99"/>
      <c r="AJ1161" s="99"/>
      <c r="AK1161" s="99"/>
      <c r="AL1161" s="99"/>
      <c r="AM1161" s="99"/>
    </row>
    <row r="1162" ht="12.75" customHeight="1">
      <c r="A1162" s="144" t="s">
        <v>20</v>
      </c>
      <c r="D1162" s="144" t="s">
        <v>21</v>
      </c>
      <c r="G1162" s="104"/>
      <c r="H1162" s="104"/>
      <c r="I1162" s="104"/>
      <c r="J1162" s="129">
        <f t="shared" ref="J1162:K1162" si="1126">J1163+J1172</f>
        <v>142640000</v>
      </c>
      <c r="K1162" s="43">
        <f t="shared" si="1126"/>
        <v>0</v>
      </c>
      <c r="L1162" s="105"/>
      <c r="M1162" s="106"/>
      <c r="N1162" s="105"/>
      <c r="O1162" s="43">
        <f t="shared" ref="O1162:P1162" si="1127">O1163+O1172</f>
        <v>142640000</v>
      </c>
      <c r="P1162" s="43">
        <f t="shared" si="1127"/>
        <v>63005336</v>
      </c>
      <c r="Q1162" s="43">
        <v>1.4264E8</v>
      </c>
      <c r="R1162" s="153"/>
      <c r="S1162" s="153"/>
      <c r="T1162" s="99"/>
      <c r="U1162" s="99"/>
      <c r="V1162" s="99"/>
      <c r="W1162" s="99"/>
      <c r="X1162" s="99"/>
      <c r="Y1162" s="99"/>
      <c r="Z1162" s="99"/>
      <c r="AA1162" s="99"/>
      <c r="AB1162" s="99"/>
      <c r="AC1162" s="99"/>
      <c r="AD1162" s="99"/>
      <c r="AE1162" s="99"/>
      <c r="AF1162" s="99"/>
      <c r="AG1162" s="99"/>
      <c r="AH1162" s="99"/>
      <c r="AI1162" s="99"/>
      <c r="AJ1162" s="99"/>
      <c r="AK1162" s="99"/>
      <c r="AL1162" s="99"/>
      <c r="AM1162" s="99"/>
    </row>
    <row r="1163" ht="12.75" customHeight="1">
      <c r="A1163" s="110" t="s">
        <v>40</v>
      </c>
      <c r="D1163" s="145" t="s">
        <v>22</v>
      </c>
      <c r="G1163" s="104"/>
      <c r="H1163" s="104"/>
      <c r="I1163" s="104"/>
      <c r="J1163" s="134">
        <f t="shared" ref="J1163:K1163" si="1128">SUM(J1165:J1171)</f>
        <v>130640000</v>
      </c>
      <c r="K1163" s="46">
        <f t="shared" si="1128"/>
        <v>0</v>
      </c>
      <c r="L1163" s="105"/>
      <c r="M1163" s="106"/>
      <c r="N1163" s="105"/>
      <c r="O1163" s="46">
        <f t="shared" ref="O1163:P1163" si="1129">SUM(O1165:O1171)</f>
        <v>130640000</v>
      </c>
      <c r="P1163" s="46">
        <f t="shared" si="1129"/>
        <v>51005336</v>
      </c>
      <c r="Q1163" s="46">
        <v>1.3064E8</v>
      </c>
      <c r="R1163" s="153"/>
      <c r="S1163" s="153"/>
      <c r="T1163" s="99"/>
      <c r="U1163" s="99"/>
      <c r="V1163" s="99"/>
      <c r="W1163" s="99"/>
      <c r="X1163" s="99"/>
      <c r="Y1163" s="99"/>
      <c r="Z1163" s="99"/>
      <c r="AA1163" s="99"/>
      <c r="AB1163" s="99"/>
      <c r="AC1163" s="99"/>
      <c r="AD1163" s="99"/>
      <c r="AE1163" s="99"/>
      <c r="AF1163" s="99"/>
      <c r="AG1163" s="99"/>
      <c r="AH1163" s="99"/>
      <c r="AI1163" s="99"/>
      <c r="AJ1163" s="99"/>
      <c r="AK1163" s="99"/>
      <c r="AL1163" s="99"/>
      <c r="AM1163" s="99"/>
    </row>
    <row r="1164" ht="12.75" customHeight="1">
      <c r="A1164" s="104"/>
      <c r="B1164" s="104"/>
      <c r="C1164" s="104"/>
      <c r="D1164" s="110" t="s">
        <v>23</v>
      </c>
      <c r="G1164" s="104"/>
      <c r="H1164" s="104"/>
      <c r="I1164" s="104"/>
      <c r="J1164" s="111"/>
      <c r="K1164" s="111"/>
      <c r="L1164" s="105"/>
      <c r="M1164" s="106"/>
      <c r="N1164" s="105"/>
      <c r="O1164" s="111"/>
      <c r="P1164" s="111"/>
      <c r="Q1164" s="111"/>
      <c r="R1164" s="153"/>
      <c r="S1164" s="153"/>
      <c r="T1164" s="99"/>
      <c r="U1164" s="99"/>
      <c r="V1164" s="99"/>
      <c r="W1164" s="99"/>
      <c r="X1164" s="99"/>
      <c r="Y1164" s="99"/>
      <c r="Z1164" s="99"/>
      <c r="AA1164" s="99"/>
      <c r="AB1164" s="99"/>
      <c r="AC1164" s="99"/>
      <c r="AD1164" s="99"/>
      <c r="AE1164" s="99"/>
      <c r="AF1164" s="99"/>
      <c r="AG1164" s="99"/>
      <c r="AH1164" s="99"/>
      <c r="AI1164" s="99"/>
      <c r="AJ1164" s="99"/>
      <c r="AK1164" s="99"/>
      <c r="AL1164" s="99"/>
      <c r="AM1164" s="99"/>
    </row>
    <row r="1165" ht="12.75" customHeight="1">
      <c r="A1165" s="104"/>
      <c r="B1165" s="104"/>
      <c r="C1165" s="104"/>
      <c r="D1165" s="110" t="s">
        <v>24</v>
      </c>
      <c r="E1165" s="110" t="s">
        <v>156</v>
      </c>
      <c r="G1165" s="136">
        <v>24.0</v>
      </c>
      <c r="H1165" s="136" t="s">
        <v>26</v>
      </c>
      <c r="I1165" s="137">
        <v>500000.0</v>
      </c>
      <c r="J1165" s="46">
        <f t="shared" ref="J1165:J1171" si="1130">G1165*I1165</f>
        <v>12000000</v>
      </c>
      <c r="K1165" s="46"/>
      <c r="L1165" s="105"/>
      <c r="M1165" s="106"/>
      <c r="N1165" s="105"/>
      <c r="O1165" s="46">
        <f t="shared" ref="O1165:O1171" si="1131">J1165-K1165</f>
        <v>12000000</v>
      </c>
      <c r="P1165" s="46">
        <f t="shared" ref="P1165:P1171" si="1132">J1165-M1165</f>
        <v>12000000</v>
      </c>
      <c r="Q1165" s="46">
        <v>1.2E7</v>
      </c>
      <c r="R1165" s="153"/>
      <c r="S1165" s="153"/>
      <c r="T1165" s="99"/>
      <c r="U1165" s="99"/>
      <c r="V1165" s="99"/>
      <c r="W1165" s="99"/>
      <c r="X1165" s="99"/>
      <c r="Y1165" s="99"/>
      <c r="Z1165" s="99"/>
      <c r="AA1165" s="99"/>
      <c r="AB1165" s="99"/>
      <c r="AC1165" s="99"/>
      <c r="AD1165" s="99"/>
      <c r="AE1165" s="99"/>
      <c r="AF1165" s="99"/>
      <c r="AG1165" s="99"/>
      <c r="AH1165" s="99"/>
      <c r="AI1165" s="99"/>
      <c r="AJ1165" s="99"/>
      <c r="AK1165" s="99"/>
      <c r="AL1165" s="99"/>
      <c r="AM1165" s="99"/>
    </row>
    <row r="1166" ht="12.75" customHeight="1">
      <c r="A1166" s="104"/>
      <c r="B1166" s="104"/>
      <c r="C1166" s="104"/>
      <c r="D1166" s="110" t="s">
        <v>24</v>
      </c>
      <c r="E1166" s="110" t="s">
        <v>27</v>
      </c>
      <c r="G1166" s="136">
        <v>2.0</v>
      </c>
      <c r="H1166" s="136" t="s">
        <v>26</v>
      </c>
      <c r="I1166" s="137">
        <v>2000000.0</v>
      </c>
      <c r="J1166" s="46">
        <f t="shared" si="1130"/>
        <v>4000000</v>
      </c>
      <c r="K1166" s="46"/>
      <c r="L1166" s="105"/>
      <c r="M1166" s="106"/>
      <c r="N1166" s="105"/>
      <c r="O1166" s="46">
        <f t="shared" si="1131"/>
        <v>4000000</v>
      </c>
      <c r="P1166" s="46">
        <f t="shared" si="1132"/>
        <v>4000000</v>
      </c>
      <c r="Q1166" s="46">
        <v>4000000.0</v>
      </c>
      <c r="R1166" s="153"/>
      <c r="S1166" s="153"/>
      <c r="T1166" s="99"/>
      <c r="U1166" s="99"/>
      <c r="V1166" s="99"/>
      <c r="W1166" s="99"/>
      <c r="X1166" s="99"/>
      <c r="Y1166" s="99"/>
      <c r="Z1166" s="99"/>
      <c r="AA1166" s="99"/>
      <c r="AB1166" s="99"/>
      <c r="AC1166" s="99"/>
      <c r="AD1166" s="99"/>
      <c r="AE1166" s="99"/>
      <c r="AF1166" s="99"/>
      <c r="AG1166" s="99"/>
      <c r="AH1166" s="99"/>
      <c r="AI1166" s="99"/>
      <c r="AJ1166" s="99"/>
      <c r="AK1166" s="99"/>
      <c r="AL1166" s="99"/>
      <c r="AM1166" s="99"/>
    </row>
    <row r="1167" ht="15.75" customHeight="1">
      <c r="A1167" s="104"/>
      <c r="B1167" s="104"/>
      <c r="C1167" s="104"/>
      <c r="D1167" s="110" t="s">
        <v>24</v>
      </c>
      <c r="E1167" s="110" t="s">
        <v>28</v>
      </c>
      <c r="G1167" s="136">
        <v>10.0</v>
      </c>
      <c r="H1167" s="136" t="s">
        <v>26</v>
      </c>
      <c r="I1167" s="137">
        <v>500000.0</v>
      </c>
      <c r="J1167" s="46">
        <f t="shared" si="1130"/>
        <v>5000000</v>
      </c>
      <c r="K1167" s="46"/>
      <c r="L1167" s="105"/>
      <c r="M1167" s="106"/>
      <c r="N1167" s="105"/>
      <c r="O1167" s="46">
        <f t="shared" si="1131"/>
        <v>5000000</v>
      </c>
      <c r="P1167" s="46">
        <f t="shared" si="1132"/>
        <v>5000000</v>
      </c>
      <c r="Q1167" s="46">
        <v>5000000.0</v>
      </c>
      <c r="R1167" s="153"/>
      <c r="S1167" s="153"/>
      <c r="T1167" s="99"/>
      <c r="U1167" s="99"/>
      <c r="V1167" s="99"/>
      <c r="W1167" s="99"/>
      <c r="X1167" s="99"/>
      <c r="Y1167" s="99"/>
      <c r="Z1167" s="99"/>
      <c r="AA1167" s="99"/>
      <c r="AB1167" s="99"/>
      <c r="AC1167" s="99"/>
      <c r="AD1167" s="99"/>
      <c r="AE1167" s="99"/>
      <c r="AF1167" s="99"/>
      <c r="AG1167" s="99"/>
      <c r="AH1167" s="99"/>
      <c r="AI1167" s="99"/>
      <c r="AJ1167" s="99"/>
      <c r="AK1167" s="99"/>
      <c r="AL1167" s="99"/>
      <c r="AM1167" s="99"/>
    </row>
    <row r="1168" ht="12.75" customHeight="1">
      <c r="A1168" s="104"/>
      <c r="B1168" s="104"/>
      <c r="C1168" s="104"/>
      <c r="D1168" s="110" t="s">
        <v>24</v>
      </c>
      <c r="E1168" s="110" t="s">
        <v>157</v>
      </c>
      <c r="G1168" s="136">
        <v>200.0</v>
      </c>
      <c r="H1168" s="136" t="s">
        <v>26</v>
      </c>
      <c r="I1168" s="137">
        <v>25000.0</v>
      </c>
      <c r="J1168" s="46">
        <f t="shared" si="1130"/>
        <v>5000000</v>
      </c>
      <c r="K1168" s="46"/>
      <c r="L1168" s="105"/>
      <c r="M1168" s="106"/>
      <c r="N1168" s="105"/>
      <c r="O1168" s="46">
        <f t="shared" si="1131"/>
        <v>5000000</v>
      </c>
      <c r="P1168" s="46">
        <f t="shared" si="1132"/>
        <v>5000000</v>
      </c>
      <c r="Q1168" s="46">
        <v>5000000.0</v>
      </c>
      <c r="R1168" s="153"/>
      <c r="S1168" s="153"/>
      <c r="T1168" s="99"/>
      <c r="U1168" s="99"/>
      <c r="V1168" s="99"/>
      <c r="W1168" s="99"/>
      <c r="X1168" s="99"/>
      <c r="Y1168" s="99"/>
      <c r="Z1168" s="99"/>
      <c r="AA1168" s="99"/>
      <c r="AB1168" s="99"/>
      <c r="AC1168" s="99"/>
      <c r="AD1168" s="99"/>
      <c r="AE1168" s="99"/>
      <c r="AF1168" s="99"/>
      <c r="AG1168" s="99"/>
      <c r="AH1168" s="99"/>
      <c r="AI1168" s="99"/>
      <c r="AJ1168" s="99"/>
      <c r="AK1168" s="99"/>
      <c r="AL1168" s="99"/>
      <c r="AM1168" s="99"/>
    </row>
    <row r="1169" ht="15.75" customHeight="1">
      <c r="A1169" s="104"/>
      <c r="B1169" s="104"/>
      <c r="C1169" s="104"/>
      <c r="D1169" s="110" t="s">
        <v>24</v>
      </c>
      <c r="E1169" s="110" t="s">
        <v>31</v>
      </c>
      <c r="G1169" s="136">
        <v>320.0</v>
      </c>
      <c r="H1169" s="136" t="s">
        <v>26</v>
      </c>
      <c r="I1169" s="137">
        <v>53000.0</v>
      </c>
      <c r="J1169" s="46">
        <f t="shared" si="1130"/>
        <v>16960000</v>
      </c>
      <c r="K1169" s="46"/>
      <c r="L1169" s="105"/>
      <c r="M1169" s="138">
        <v>2120000.0</v>
      </c>
      <c r="N1169" s="105"/>
      <c r="O1169" s="46">
        <f t="shared" si="1131"/>
        <v>16960000</v>
      </c>
      <c r="P1169" s="46">
        <f t="shared" si="1132"/>
        <v>14840000</v>
      </c>
      <c r="Q1169" s="46">
        <v>1.696E7</v>
      </c>
      <c r="R1169" s="154"/>
      <c r="S1169" s="155" t="s">
        <v>360</v>
      </c>
      <c r="T1169" s="99"/>
      <c r="U1169" s="99"/>
      <c r="V1169" s="99"/>
      <c r="W1169" s="99"/>
      <c r="X1169" s="99"/>
      <c r="Y1169" s="99"/>
      <c r="Z1169" s="99"/>
      <c r="AA1169" s="99"/>
      <c r="AB1169" s="99"/>
      <c r="AC1169" s="99"/>
      <c r="AD1169" s="99"/>
      <c r="AE1169" s="99"/>
      <c r="AF1169" s="99"/>
      <c r="AG1169" s="99"/>
      <c r="AH1169" s="99"/>
      <c r="AI1169" s="99"/>
      <c r="AJ1169" s="99"/>
      <c r="AK1169" s="99"/>
      <c r="AL1169" s="99"/>
      <c r="AM1169" s="99"/>
    </row>
    <row r="1170" ht="15.75" customHeight="1">
      <c r="A1170" s="104"/>
      <c r="B1170" s="104"/>
      <c r="C1170" s="104"/>
      <c r="D1170" s="110" t="s">
        <v>24</v>
      </c>
      <c r="E1170" s="110" t="s">
        <v>32</v>
      </c>
      <c r="G1170" s="136">
        <v>320.0</v>
      </c>
      <c r="H1170" s="136" t="s">
        <v>26</v>
      </c>
      <c r="I1170" s="137">
        <v>24000.0</v>
      </c>
      <c r="J1170" s="46">
        <f t="shared" si="1130"/>
        <v>7680000</v>
      </c>
      <c r="K1170" s="46"/>
      <c r="L1170" s="105"/>
      <c r="M1170" s="156">
        <v>795000.0</v>
      </c>
      <c r="N1170" s="105"/>
      <c r="O1170" s="46">
        <f t="shared" si="1131"/>
        <v>7680000</v>
      </c>
      <c r="P1170" s="46">
        <f t="shared" si="1132"/>
        <v>6885000</v>
      </c>
      <c r="Q1170" s="46">
        <v>7680000.0</v>
      </c>
      <c r="R1170" s="154"/>
      <c r="S1170" s="155" t="s">
        <v>360</v>
      </c>
      <c r="T1170" s="99"/>
      <c r="U1170" s="99"/>
      <c r="V1170" s="99"/>
      <c r="W1170" s="99"/>
      <c r="X1170" s="99"/>
      <c r="Y1170" s="99"/>
      <c r="Z1170" s="99"/>
      <c r="AA1170" s="99"/>
      <c r="AB1170" s="99"/>
      <c r="AC1170" s="99"/>
      <c r="AD1170" s="99"/>
      <c r="AE1170" s="99"/>
      <c r="AF1170" s="99"/>
      <c r="AG1170" s="99"/>
      <c r="AH1170" s="99"/>
      <c r="AI1170" s="99"/>
      <c r="AJ1170" s="99"/>
      <c r="AK1170" s="99"/>
      <c r="AL1170" s="99"/>
      <c r="AM1170" s="99"/>
    </row>
    <row r="1171" ht="15.75" customHeight="1">
      <c r="A1171" s="104"/>
      <c r="B1171" s="104"/>
      <c r="C1171" s="104"/>
      <c r="D1171" s="110" t="s">
        <v>24</v>
      </c>
      <c r="E1171" s="110" t="s">
        <v>288</v>
      </c>
      <c r="G1171" s="136">
        <v>100.0</v>
      </c>
      <c r="H1171" s="136" t="s">
        <v>26</v>
      </c>
      <c r="I1171" s="137">
        <v>800000.0</v>
      </c>
      <c r="J1171" s="46">
        <f t="shared" si="1130"/>
        <v>80000000</v>
      </c>
      <c r="K1171" s="46"/>
      <c r="L1171" s="105"/>
      <c r="M1171" s="156">
        <v>7.6719664E7</v>
      </c>
      <c r="N1171" s="105"/>
      <c r="O1171" s="46">
        <f t="shared" si="1131"/>
        <v>80000000</v>
      </c>
      <c r="P1171" s="46">
        <f t="shared" si="1132"/>
        <v>3280336</v>
      </c>
      <c r="Q1171" s="46">
        <v>8.0E7</v>
      </c>
      <c r="R1171" s="154"/>
      <c r="S1171" s="155" t="s">
        <v>361</v>
      </c>
      <c r="T1171" s="99"/>
      <c r="U1171" s="99"/>
      <c r="V1171" s="99"/>
      <c r="W1171" s="99"/>
      <c r="X1171" s="99"/>
      <c r="Y1171" s="99"/>
      <c r="Z1171" s="99"/>
      <c r="AA1171" s="99"/>
      <c r="AB1171" s="99"/>
      <c r="AC1171" s="99"/>
      <c r="AD1171" s="99"/>
      <c r="AE1171" s="99"/>
      <c r="AF1171" s="99"/>
      <c r="AG1171" s="99"/>
      <c r="AH1171" s="99"/>
      <c r="AI1171" s="99"/>
      <c r="AJ1171" s="99"/>
      <c r="AK1171" s="99"/>
      <c r="AL1171" s="99"/>
      <c r="AM1171" s="99"/>
    </row>
    <row r="1172" ht="12.75" customHeight="1">
      <c r="A1172" s="110" t="s">
        <v>58</v>
      </c>
      <c r="D1172" s="145" t="s">
        <v>34</v>
      </c>
      <c r="G1172" s="104"/>
      <c r="H1172" s="133"/>
      <c r="I1172" s="104"/>
      <c r="J1172" s="134">
        <f t="shared" ref="J1172:K1172" si="1133">SUM(J1174:J1175)</f>
        <v>12000000</v>
      </c>
      <c r="K1172" s="46">
        <f t="shared" si="1133"/>
        <v>0</v>
      </c>
      <c r="L1172" s="105"/>
      <c r="M1172" s="106"/>
      <c r="N1172" s="105"/>
      <c r="O1172" s="46">
        <f t="shared" ref="O1172:P1172" si="1134">SUM(O1174:O1175)</f>
        <v>12000000</v>
      </c>
      <c r="P1172" s="46">
        <f t="shared" si="1134"/>
        <v>12000000</v>
      </c>
      <c r="Q1172" s="46">
        <v>1.2E7</v>
      </c>
      <c r="R1172" s="153"/>
      <c r="S1172" s="153"/>
      <c r="T1172" s="99"/>
      <c r="U1172" s="99"/>
      <c r="V1172" s="99"/>
      <c r="W1172" s="99"/>
      <c r="X1172" s="99"/>
      <c r="Y1172" s="99"/>
      <c r="Z1172" s="99"/>
      <c r="AA1172" s="99"/>
      <c r="AB1172" s="99"/>
      <c r="AC1172" s="99"/>
      <c r="AD1172" s="99"/>
      <c r="AE1172" s="99"/>
      <c r="AF1172" s="99"/>
      <c r="AG1172" s="99"/>
      <c r="AH1172" s="99"/>
      <c r="AI1172" s="99"/>
      <c r="AJ1172" s="99"/>
      <c r="AK1172" s="99"/>
      <c r="AL1172" s="99"/>
      <c r="AM1172" s="99"/>
    </row>
    <row r="1173" ht="12.75" customHeight="1">
      <c r="A1173" s="104"/>
      <c r="B1173" s="104"/>
      <c r="C1173" s="104"/>
      <c r="D1173" s="110" t="s">
        <v>23</v>
      </c>
      <c r="G1173" s="104"/>
      <c r="H1173" s="104"/>
      <c r="I1173" s="104"/>
      <c r="J1173" s="111"/>
      <c r="K1173" s="111"/>
      <c r="L1173" s="105"/>
      <c r="M1173" s="106"/>
      <c r="N1173" s="105"/>
      <c r="O1173" s="111"/>
      <c r="P1173" s="111"/>
      <c r="Q1173" s="111"/>
      <c r="R1173" s="153"/>
      <c r="S1173" s="153"/>
      <c r="T1173" s="99"/>
      <c r="U1173" s="99"/>
      <c r="V1173" s="99"/>
      <c r="W1173" s="99"/>
      <c r="X1173" s="99"/>
      <c r="Y1173" s="99"/>
      <c r="Z1173" s="99"/>
      <c r="AA1173" s="99"/>
      <c r="AB1173" s="99"/>
      <c r="AC1173" s="99"/>
      <c r="AD1173" s="99"/>
      <c r="AE1173" s="99"/>
      <c r="AF1173" s="99"/>
      <c r="AG1173" s="99"/>
      <c r="AH1173" s="99"/>
      <c r="AI1173" s="99"/>
      <c r="AJ1173" s="99"/>
      <c r="AK1173" s="99"/>
      <c r="AL1173" s="99"/>
      <c r="AM1173" s="99"/>
    </row>
    <row r="1174" ht="12.75" customHeight="1">
      <c r="A1174" s="104"/>
      <c r="B1174" s="104"/>
      <c r="C1174" s="104"/>
      <c r="D1174" s="110" t="s">
        <v>24</v>
      </c>
      <c r="E1174" s="110" t="s">
        <v>159</v>
      </c>
      <c r="G1174" s="136">
        <v>16.0</v>
      </c>
      <c r="H1174" s="136" t="s">
        <v>26</v>
      </c>
      <c r="I1174" s="137">
        <v>500000.0</v>
      </c>
      <c r="J1174" s="46">
        <f t="shared" ref="J1174:J1175" si="1135">G1174*I1174</f>
        <v>8000000</v>
      </c>
      <c r="K1174" s="46"/>
      <c r="L1174" s="105"/>
      <c r="M1174" s="106"/>
      <c r="N1174" s="105"/>
      <c r="O1174" s="46">
        <f t="shared" ref="O1174:O1175" si="1136">J1174-K1174</f>
        <v>8000000</v>
      </c>
      <c r="P1174" s="46">
        <f t="shared" ref="P1174:P1175" si="1137">J1174-M1174</f>
        <v>8000000</v>
      </c>
      <c r="Q1174" s="46">
        <v>8000000.0</v>
      </c>
      <c r="R1174" s="153"/>
      <c r="S1174" s="153"/>
      <c r="T1174" s="99"/>
      <c r="U1174" s="99"/>
      <c r="V1174" s="99"/>
      <c r="W1174" s="99"/>
      <c r="X1174" s="99"/>
      <c r="Y1174" s="99"/>
      <c r="Z1174" s="99"/>
      <c r="AA1174" s="99"/>
      <c r="AB1174" s="99"/>
      <c r="AC1174" s="99"/>
      <c r="AD1174" s="99"/>
      <c r="AE1174" s="99"/>
      <c r="AF1174" s="99"/>
      <c r="AG1174" s="99"/>
      <c r="AH1174" s="99"/>
      <c r="AI1174" s="99"/>
      <c r="AJ1174" s="99"/>
      <c r="AK1174" s="99"/>
      <c r="AL1174" s="99"/>
      <c r="AM1174" s="99"/>
    </row>
    <row r="1175" ht="12.75" customHeight="1">
      <c r="A1175" s="104"/>
      <c r="B1175" s="104"/>
      <c r="C1175" s="104"/>
      <c r="D1175" s="110" t="s">
        <v>24</v>
      </c>
      <c r="E1175" s="110" t="s">
        <v>230</v>
      </c>
      <c r="G1175" s="136">
        <v>8.0</v>
      </c>
      <c r="H1175" s="136" t="s">
        <v>26</v>
      </c>
      <c r="I1175" s="137">
        <v>500000.0</v>
      </c>
      <c r="J1175" s="46">
        <f t="shared" si="1135"/>
        <v>4000000</v>
      </c>
      <c r="K1175" s="46"/>
      <c r="L1175" s="105"/>
      <c r="M1175" s="106"/>
      <c r="N1175" s="105"/>
      <c r="O1175" s="46">
        <f t="shared" si="1136"/>
        <v>4000000</v>
      </c>
      <c r="P1175" s="46">
        <f t="shared" si="1137"/>
        <v>4000000</v>
      </c>
      <c r="Q1175" s="46">
        <v>4000000.0</v>
      </c>
      <c r="R1175" s="153"/>
      <c r="S1175" s="153"/>
      <c r="T1175" s="99"/>
      <c r="U1175" s="99"/>
      <c r="V1175" s="99"/>
      <c r="W1175" s="99"/>
      <c r="X1175" s="99"/>
      <c r="Y1175" s="99"/>
      <c r="Z1175" s="99"/>
      <c r="AA1175" s="99"/>
      <c r="AB1175" s="99"/>
      <c r="AC1175" s="99"/>
      <c r="AD1175" s="99"/>
      <c r="AE1175" s="99"/>
      <c r="AF1175" s="99"/>
      <c r="AG1175" s="99"/>
      <c r="AH1175" s="99"/>
      <c r="AI1175" s="99"/>
      <c r="AJ1175" s="99"/>
      <c r="AK1175" s="99"/>
      <c r="AL1175" s="99"/>
      <c r="AM1175" s="99"/>
    </row>
    <row r="1176" ht="12.75" customHeight="1">
      <c r="A1176" s="144" t="s">
        <v>37</v>
      </c>
      <c r="D1176" s="144" t="s">
        <v>38</v>
      </c>
      <c r="G1176" s="104"/>
      <c r="H1176" s="128"/>
      <c r="I1176" s="104"/>
      <c r="J1176" s="129">
        <f t="shared" ref="J1176:K1176" si="1138">J1177+J1182+J1185</f>
        <v>24400000</v>
      </c>
      <c r="K1176" s="43">
        <f t="shared" si="1138"/>
        <v>0</v>
      </c>
      <c r="L1176" s="105"/>
      <c r="M1176" s="106"/>
      <c r="N1176" s="105"/>
      <c r="O1176" s="43">
        <f t="shared" ref="O1176:P1176" si="1139">O1177+O1182+O1185</f>
        <v>24400000</v>
      </c>
      <c r="P1176" s="43">
        <f t="shared" si="1139"/>
        <v>19540000</v>
      </c>
      <c r="Q1176" s="43">
        <v>2.44E7</v>
      </c>
      <c r="R1176" s="153"/>
      <c r="S1176" s="153"/>
      <c r="T1176" s="99"/>
      <c r="U1176" s="99"/>
      <c r="V1176" s="99"/>
      <c r="W1176" s="99"/>
      <c r="X1176" s="99"/>
      <c r="Y1176" s="99"/>
      <c r="Z1176" s="99"/>
      <c r="AA1176" s="99"/>
      <c r="AB1176" s="99"/>
      <c r="AC1176" s="99"/>
      <c r="AD1176" s="99"/>
      <c r="AE1176" s="99"/>
      <c r="AF1176" s="99"/>
      <c r="AG1176" s="99"/>
      <c r="AH1176" s="99"/>
      <c r="AI1176" s="99"/>
      <c r="AJ1176" s="99"/>
      <c r="AK1176" s="99"/>
      <c r="AL1176" s="99"/>
      <c r="AM1176" s="99"/>
    </row>
    <row r="1177" ht="12.75" customHeight="1">
      <c r="A1177" s="110" t="s">
        <v>40</v>
      </c>
      <c r="D1177" s="145" t="s">
        <v>22</v>
      </c>
      <c r="G1177" s="104"/>
      <c r="H1177" s="133"/>
      <c r="I1177" s="104"/>
      <c r="J1177" s="134">
        <f t="shared" ref="J1177:K1177" si="1140">SUM(J1179:J1181)</f>
        <v>6400000</v>
      </c>
      <c r="K1177" s="46">
        <f t="shared" si="1140"/>
        <v>0</v>
      </c>
      <c r="L1177" s="105"/>
      <c r="M1177" s="106"/>
      <c r="N1177" s="105"/>
      <c r="O1177" s="46">
        <f t="shared" ref="O1177:P1177" si="1141">SUM(O1179:O1181)</f>
        <v>6400000</v>
      </c>
      <c r="P1177" s="46">
        <f t="shared" si="1141"/>
        <v>2040000</v>
      </c>
      <c r="Q1177" s="46">
        <v>6400000.0</v>
      </c>
      <c r="R1177" s="153"/>
      <c r="S1177" s="153"/>
      <c r="T1177" s="99"/>
      <c r="U1177" s="99"/>
      <c r="V1177" s="99"/>
      <c r="W1177" s="99"/>
      <c r="X1177" s="99"/>
      <c r="Y1177" s="99"/>
      <c r="Z1177" s="99"/>
      <c r="AA1177" s="99"/>
      <c r="AB1177" s="99"/>
      <c r="AC1177" s="99"/>
      <c r="AD1177" s="99"/>
      <c r="AE1177" s="99"/>
      <c r="AF1177" s="99"/>
      <c r="AG1177" s="99"/>
      <c r="AH1177" s="99"/>
      <c r="AI1177" s="99"/>
      <c r="AJ1177" s="99"/>
      <c r="AK1177" s="99"/>
      <c r="AL1177" s="99"/>
      <c r="AM1177" s="99"/>
    </row>
    <row r="1178" ht="12.75" customHeight="1">
      <c r="A1178" s="104"/>
      <c r="B1178" s="104"/>
      <c r="C1178" s="104"/>
      <c r="D1178" s="110" t="s">
        <v>23</v>
      </c>
      <c r="G1178" s="104"/>
      <c r="H1178" s="104"/>
      <c r="I1178" s="104"/>
      <c r="J1178" s="111"/>
      <c r="K1178" s="111"/>
      <c r="L1178" s="105"/>
      <c r="M1178" s="106"/>
      <c r="N1178" s="105"/>
      <c r="O1178" s="111"/>
      <c r="P1178" s="111"/>
      <c r="Q1178" s="111"/>
      <c r="R1178" s="153"/>
      <c r="S1178" s="153"/>
      <c r="T1178" s="99"/>
      <c r="U1178" s="99"/>
      <c r="V1178" s="99"/>
      <c r="W1178" s="99"/>
      <c r="X1178" s="99"/>
      <c r="Y1178" s="99"/>
      <c r="Z1178" s="99"/>
      <c r="AA1178" s="99"/>
      <c r="AB1178" s="99"/>
      <c r="AC1178" s="99"/>
      <c r="AD1178" s="99"/>
      <c r="AE1178" s="99"/>
      <c r="AF1178" s="99"/>
      <c r="AG1178" s="99"/>
      <c r="AH1178" s="99"/>
      <c r="AI1178" s="99"/>
      <c r="AJ1178" s="99"/>
      <c r="AK1178" s="99"/>
      <c r="AL1178" s="99"/>
      <c r="AM1178" s="99"/>
    </row>
    <row r="1179" ht="12.75" customHeight="1">
      <c r="A1179" s="104"/>
      <c r="B1179" s="104"/>
      <c r="C1179" s="104"/>
      <c r="D1179" s="110" t="s">
        <v>24</v>
      </c>
      <c r="E1179" s="110" t="s">
        <v>160</v>
      </c>
      <c r="G1179" s="136">
        <v>100.0</v>
      </c>
      <c r="H1179" s="136" t="s">
        <v>26</v>
      </c>
      <c r="I1179" s="137">
        <v>53000.0</v>
      </c>
      <c r="J1179" s="46">
        <f t="shared" ref="J1179:J1181" si="1142">G1179*I1179</f>
        <v>5300000</v>
      </c>
      <c r="K1179" s="46"/>
      <c r="L1179" s="105"/>
      <c r="M1179" s="138">
        <v>4200000.0</v>
      </c>
      <c r="N1179" s="105"/>
      <c r="O1179" s="46">
        <f t="shared" ref="O1179:O1181" si="1143">J1179-K1179</f>
        <v>5300000</v>
      </c>
      <c r="P1179" s="46">
        <f t="shared" ref="P1179:P1181" si="1144">J1179-M1179</f>
        <v>1100000</v>
      </c>
      <c r="Q1179" s="46">
        <v>5300000.0</v>
      </c>
      <c r="R1179" s="154"/>
      <c r="S1179" s="155" t="s">
        <v>361</v>
      </c>
      <c r="T1179" s="99"/>
      <c r="U1179" s="99"/>
      <c r="V1179" s="99"/>
      <c r="W1179" s="99"/>
      <c r="X1179" s="99"/>
      <c r="Y1179" s="99"/>
      <c r="Z1179" s="99"/>
      <c r="AA1179" s="99"/>
      <c r="AB1179" s="99"/>
      <c r="AC1179" s="99"/>
      <c r="AD1179" s="99"/>
      <c r="AE1179" s="99"/>
      <c r="AF1179" s="99"/>
      <c r="AG1179" s="99"/>
      <c r="AH1179" s="99"/>
      <c r="AI1179" s="99"/>
      <c r="AJ1179" s="99"/>
      <c r="AK1179" s="99"/>
      <c r="AL1179" s="99"/>
      <c r="AM1179" s="99"/>
    </row>
    <row r="1180" ht="12.75" customHeight="1">
      <c r="A1180" s="104"/>
      <c r="B1180" s="104"/>
      <c r="C1180" s="104"/>
      <c r="D1180" s="110" t="s">
        <v>24</v>
      </c>
      <c r="E1180" s="110" t="s">
        <v>42</v>
      </c>
      <c r="G1180" s="136">
        <v>2.0</v>
      </c>
      <c r="H1180" s="136" t="s">
        <v>26</v>
      </c>
      <c r="I1180" s="137">
        <v>250000.0</v>
      </c>
      <c r="J1180" s="46">
        <f t="shared" si="1142"/>
        <v>500000</v>
      </c>
      <c r="K1180" s="46"/>
      <c r="L1180" s="105"/>
      <c r="M1180" s="106"/>
      <c r="N1180" s="105"/>
      <c r="O1180" s="46">
        <f t="shared" si="1143"/>
        <v>500000</v>
      </c>
      <c r="P1180" s="46">
        <f t="shared" si="1144"/>
        <v>500000</v>
      </c>
      <c r="Q1180" s="46">
        <v>500000.0</v>
      </c>
      <c r="R1180" s="153"/>
      <c r="S1180" s="153"/>
      <c r="T1180" s="99"/>
      <c r="U1180" s="99"/>
      <c r="V1180" s="99"/>
      <c r="W1180" s="99"/>
      <c r="X1180" s="99"/>
      <c r="Y1180" s="99"/>
      <c r="Z1180" s="99"/>
      <c r="AA1180" s="99"/>
      <c r="AB1180" s="99"/>
      <c r="AC1180" s="99"/>
      <c r="AD1180" s="99"/>
      <c r="AE1180" s="99"/>
      <c r="AF1180" s="99"/>
      <c r="AG1180" s="99"/>
      <c r="AH1180" s="99"/>
      <c r="AI1180" s="99"/>
      <c r="AJ1180" s="99"/>
      <c r="AK1180" s="99"/>
      <c r="AL1180" s="99"/>
      <c r="AM1180" s="99"/>
    </row>
    <row r="1181" ht="12.75" customHeight="1">
      <c r="A1181" s="104"/>
      <c r="B1181" s="104"/>
      <c r="C1181" s="104"/>
      <c r="D1181" s="110" t="s">
        <v>24</v>
      </c>
      <c r="E1181" s="110" t="s">
        <v>43</v>
      </c>
      <c r="G1181" s="136">
        <v>2.0</v>
      </c>
      <c r="H1181" s="136" t="s">
        <v>26</v>
      </c>
      <c r="I1181" s="137">
        <v>300000.0</v>
      </c>
      <c r="J1181" s="46">
        <f t="shared" si="1142"/>
        <v>600000</v>
      </c>
      <c r="K1181" s="46"/>
      <c r="L1181" s="105"/>
      <c r="M1181" s="156">
        <v>160000.0</v>
      </c>
      <c r="N1181" s="105"/>
      <c r="O1181" s="46">
        <f t="shared" si="1143"/>
        <v>600000</v>
      </c>
      <c r="P1181" s="46">
        <f t="shared" si="1144"/>
        <v>440000</v>
      </c>
      <c r="Q1181" s="46">
        <v>600000.0</v>
      </c>
      <c r="R1181" s="154"/>
      <c r="S1181" s="155" t="s">
        <v>361</v>
      </c>
      <c r="T1181" s="99"/>
      <c r="U1181" s="99"/>
      <c r="V1181" s="99"/>
      <c r="W1181" s="99"/>
      <c r="X1181" s="99"/>
      <c r="Y1181" s="99"/>
      <c r="Z1181" s="99"/>
      <c r="AA1181" s="99"/>
      <c r="AB1181" s="99"/>
      <c r="AC1181" s="99"/>
      <c r="AD1181" s="99"/>
      <c r="AE1181" s="99"/>
      <c r="AF1181" s="99"/>
      <c r="AG1181" s="99"/>
      <c r="AH1181" s="99"/>
      <c r="AI1181" s="99"/>
      <c r="AJ1181" s="99"/>
      <c r="AK1181" s="99"/>
      <c r="AL1181" s="99"/>
      <c r="AM1181" s="99"/>
    </row>
    <row r="1182" ht="12.75" customHeight="1">
      <c r="A1182" s="110" t="s">
        <v>44</v>
      </c>
      <c r="D1182" s="145" t="s">
        <v>45</v>
      </c>
      <c r="G1182" s="104"/>
      <c r="H1182" s="133"/>
      <c r="I1182" s="104"/>
      <c r="J1182" s="134">
        <f t="shared" ref="J1182:K1182" si="1145">J1184</f>
        <v>2000000</v>
      </c>
      <c r="K1182" s="46" t="str">
        <f t="shared" si="1145"/>
        <v/>
      </c>
      <c r="L1182" s="105"/>
      <c r="M1182" s="157"/>
      <c r="N1182" s="105"/>
      <c r="O1182" s="46">
        <f t="shared" ref="O1182:P1182" si="1146">O1184</f>
        <v>2000000</v>
      </c>
      <c r="P1182" s="46">
        <f t="shared" si="1146"/>
        <v>1500000</v>
      </c>
      <c r="Q1182" s="46">
        <v>2000000.0</v>
      </c>
      <c r="R1182" s="153"/>
      <c r="S1182" s="153"/>
      <c r="T1182" s="99"/>
      <c r="U1182" s="99"/>
      <c r="V1182" s="99"/>
      <c r="W1182" s="99"/>
      <c r="X1182" s="99"/>
      <c r="Y1182" s="99"/>
      <c r="Z1182" s="99"/>
      <c r="AA1182" s="99"/>
      <c r="AB1182" s="99"/>
      <c r="AC1182" s="99"/>
      <c r="AD1182" s="99"/>
      <c r="AE1182" s="99"/>
      <c r="AF1182" s="99"/>
      <c r="AG1182" s="99"/>
      <c r="AH1182" s="99"/>
      <c r="AI1182" s="99"/>
      <c r="AJ1182" s="99"/>
      <c r="AK1182" s="99"/>
      <c r="AL1182" s="99"/>
      <c r="AM1182" s="99"/>
    </row>
    <row r="1183" ht="12.75" customHeight="1">
      <c r="A1183" s="104"/>
      <c r="B1183" s="104"/>
      <c r="C1183" s="104"/>
      <c r="D1183" s="110" t="s">
        <v>23</v>
      </c>
      <c r="G1183" s="104"/>
      <c r="H1183" s="104"/>
      <c r="I1183" s="104"/>
      <c r="J1183" s="111"/>
      <c r="K1183" s="111"/>
      <c r="L1183" s="105"/>
      <c r="M1183" s="157"/>
      <c r="N1183" s="105"/>
      <c r="O1183" s="111"/>
      <c r="P1183" s="111"/>
      <c r="Q1183" s="111"/>
      <c r="R1183" s="153"/>
      <c r="S1183" s="153"/>
      <c r="T1183" s="99"/>
      <c r="U1183" s="99"/>
      <c r="V1183" s="99"/>
      <c r="W1183" s="99"/>
      <c r="X1183" s="99"/>
      <c r="Y1183" s="99"/>
      <c r="Z1183" s="99"/>
      <c r="AA1183" s="99"/>
      <c r="AB1183" s="99"/>
      <c r="AC1183" s="99"/>
      <c r="AD1183" s="99"/>
      <c r="AE1183" s="99"/>
      <c r="AF1183" s="99"/>
      <c r="AG1183" s="99"/>
      <c r="AH1183" s="99"/>
      <c r="AI1183" s="99"/>
      <c r="AJ1183" s="99"/>
      <c r="AK1183" s="99"/>
      <c r="AL1183" s="99"/>
      <c r="AM1183" s="99"/>
    </row>
    <row r="1184" ht="12.75" customHeight="1">
      <c r="A1184" s="104"/>
      <c r="B1184" s="104"/>
      <c r="C1184" s="104"/>
      <c r="D1184" s="110" t="s">
        <v>24</v>
      </c>
      <c r="E1184" s="110" t="s">
        <v>161</v>
      </c>
      <c r="G1184" s="136">
        <v>4.0</v>
      </c>
      <c r="H1184" s="136" t="s">
        <v>26</v>
      </c>
      <c r="I1184" s="137">
        <v>500000.0</v>
      </c>
      <c r="J1184" s="46">
        <f>G1184*I1184</f>
        <v>2000000</v>
      </c>
      <c r="K1184" s="46"/>
      <c r="L1184" s="105"/>
      <c r="M1184" s="156">
        <v>500000.0</v>
      </c>
      <c r="N1184" s="105"/>
      <c r="O1184" s="46">
        <f>J1184-K1184</f>
        <v>2000000</v>
      </c>
      <c r="P1184" s="46">
        <f>J1184-M1184</f>
        <v>1500000</v>
      </c>
      <c r="Q1184" s="46">
        <v>2000000.0</v>
      </c>
      <c r="R1184" s="154"/>
      <c r="S1184" s="155" t="s">
        <v>361</v>
      </c>
      <c r="T1184" s="99"/>
      <c r="U1184" s="99"/>
      <c r="V1184" s="99"/>
      <c r="W1184" s="99"/>
      <c r="X1184" s="99"/>
      <c r="Y1184" s="99"/>
      <c r="Z1184" s="99"/>
      <c r="AA1184" s="99"/>
      <c r="AB1184" s="99"/>
      <c r="AC1184" s="99"/>
      <c r="AD1184" s="99"/>
      <c r="AE1184" s="99"/>
      <c r="AF1184" s="99"/>
      <c r="AG1184" s="99"/>
      <c r="AH1184" s="99"/>
      <c r="AI1184" s="99"/>
      <c r="AJ1184" s="99"/>
      <c r="AK1184" s="99"/>
      <c r="AL1184" s="99"/>
      <c r="AM1184" s="99"/>
    </row>
    <row r="1185" ht="12.75" customHeight="1">
      <c r="A1185" s="110" t="s">
        <v>47</v>
      </c>
      <c r="D1185" s="145" t="s">
        <v>48</v>
      </c>
      <c r="G1185" s="104"/>
      <c r="H1185" s="133"/>
      <c r="I1185" s="104"/>
      <c r="J1185" s="134">
        <f t="shared" ref="J1185:K1185" si="1147">J1187</f>
        <v>16000000</v>
      </c>
      <c r="K1185" s="46" t="str">
        <f t="shared" si="1147"/>
        <v/>
      </c>
      <c r="L1185" s="105"/>
      <c r="M1185" s="106"/>
      <c r="N1185" s="105"/>
      <c r="O1185" s="46">
        <f t="shared" ref="O1185:P1185" si="1148">O1187</f>
        <v>16000000</v>
      </c>
      <c r="P1185" s="46">
        <f t="shared" si="1148"/>
        <v>16000000</v>
      </c>
      <c r="Q1185" s="46">
        <v>1.6E7</v>
      </c>
      <c r="R1185" s="153"/>
      <c r="S1185" s="153"/>
      <c r="T1185" s="99"/>
      <c r="U1185" s="99"/>
      <c r="V1185" s="99"/>
      <c r="W1185" s="99"/>
      <c r="X1185" s="99"/>
      <c r="Y1185" s="99"/>
      <c r="Z1185" s="99"/>
      <c r="AA1185" s="99"/>
      <c r="AB1185" s="99"/>
      <c r="AC1185" s="99"/>
      <c r="AD1185" s="99"/>
      <c r="AE1185" s="99"/>
      <c r="AF1185" s="99"/>
      <c r="AG1185" s="99"/>
      <c r="AH1185" s="99"/>
      <c r="AI1185" s="99"/>
      <c r="AJ1185" s="99"/>
      <c r="AK1185" s="99"/>
      <c r="AL1185" s="99"/>
      <c r="AM1185" s="99"/>
    </row>
    <row r="1186" ht="12.75" customHeight="1">
      <c r="A1186" s="104"/>
      <c r="B1186" s="104"/>
      <c r="C1186" s="104"/>
      <c r="D1186" s="110" t="s">
        <v>23</v>
      </c>
      <c r="G1186" s="104"/>
      <c r="H1186" s="104"/>
      <c r="I1186" s="104"/>
      <c r="J1186" s="111"/>
      <c r="K1186" s="111"/>
      <c r="L1186" s="105"/>
      <c r="M1186" s="106"/>
      <c r="N1186" s="105"/>
      <c r="O1186" s="111"/>
      <c r="P1186" s="111"/>
      <c r="Q1186" s="111"/>
      <c r="R1186" s="153"/>
      <c r="S1186" s="153"/>
      <c r="T1186" s="99"/>
      <c r="U1186" s="99"/>
      <c r="V1186" s="99"/>
      <c r="W1186" s="99"/>
      <c r="X1186" s="99"/>
      <c r="Y1186" s="99"/>
      <c r="Z1186" s="99"/>
      <c r="AA1186" s="99"/>
      <c r="AB1186" s="99"/>
      <c r="AC1186" s="99"/>
      <c r="AD1186" s="99"/>
      <c r="AE1186" s="99"/>
      <c r="AF1186" s="99"/>
      <c r="AG1186" s="99"/>
      <c r="AH1186" s="99"/>
      <c r="AI1186" s="99"/>
      <c r="AJ1186" s="99"/>
      <c r="AK1186" s="99"/>
      <c r="AL1186" s="99"/>
      <c r="AM1186" s="99"/>
    </row>
    <row r="1187" ht="12.75" customHeight="1">
      <c r="A1187" s="104"/>
      <c r="B1187" s="104"/>
      <c r="C1187" s="104"/>
      <c r="D1187" s="110" t="s">
        <v>24</v>
      </c>
      <c r="E1187" s="110" t="s">
        <v>162</v>
      </c>
      <c r="G1187" s="136">
        <v>4.0</v>
      </c>
      <c r="H1187" s="136" t="s">
        <v>26</v>
      </c>
      <c r="I1187" s="137">
        <v>4000000.0</v>
      </c>
      <c r="J1187" s="46">
        <f>G1187*I1187</f>
        <v>16000000</v>
      </c>
      <c r="K1187" s="46"/>
      <c r="L1187" s="105"/>
      <c r="M1187" s="106"/>
      <c r="N1187" s="105"/>
      <c r="O1187" s="46">
        <f>J1187-K1187</f>
        <v>16000000</v>
      </c>
      <c r="P1187" s="46">
        <f>J1187-M1187</f>
        <v>16000000</v>
      </c>
      <c r="Q1187" s="46">
        <v>1.6E7</v>
      </c>
      <c r="R1187" s="153"/>
      <c r="S1187" s="153"/>
      <c r="T1187" s="99"/>
      <c r="U1187" s="99"/>
      <c r="V1187" s="99"/>
      <c r="W1187" s="99"/>
      <c r="X1187" s="99"/>
      <c r="Y1187" s="99"/>
      <c r="Z1187" s="99"/>
      <c r="AA1187" s="99"/>
      <c r="AB1187" s="99"/>
      <c r="AC1187" s="99"/>
      <c r="AD1187" s="99"/>
      <c r="AE1187" s="99"/>
      <c r="AF1187" s="99"/>
      <c r="AG1187" s="99"/>
      <c r="AH1187" s="99"/>
      <c r="AI1187" s="99"/>
      <c r="AJ1187" s="99"/>
      <c r="AK1187" s="99"/>
      <c r="AL1187" s="99"/>
      <c r="AM1187" s="99"/>
    </row>
    <row r="1188" ht="12.75" customHeight="1">
      <c r="A1188" s="144" t="s">
        <v>50</v>
      </c>
      <c r="D1188" s="144" t="s">
        <v>51</v>
      </c>
      <c r="G1188" s="104"/>
      <c r="H1188" s="128"/>
      <c r="I1188" s="104"/>
      <c r="J1188" s="129">
        <f t="shared" ref="J1188:K1188" si="1149">J1189+J1195+J1198</f>
        <v>56050000</v>
      </c>
      <c r="K1188" s="43">
        <f t="shared" si="1149"/>
        <v>0</v>
      </c>
      <c r="L1188" s="105"/>
      <c r="M1188" s="106"/>
      <c r="N1188" s="105"/>
      <c r="O1188" s="43">
        <f t="shared" ref="O1188:P1188" si="1150">O1189+O1195+O1198</f>
        <v>56050000</v>
      </c>
      <c r="P1188" s="43">
        <f t="shared" si="1150"/>
        <v>40516424</v>
      </c>
      <c r="Q1188" s="43">
        <v>5.605E7</v>
      </c>
      <c r="R1188" s="153"/>
      <c r="S1188" s="153"/>
      <c r="T1188" s="99"/>
      <c r="U1188" s="99"/>
      <c r="V1188" s="99"/>
      <c r="W1188" s="99"/>
      <c r="X1188" s="99"/>
      <c r="Y1188" s="99"/>
      <c r="Z1188" s="99"/>
      <c r="AA1188" s="99"/>
      <c r="AB1188" s="99"/>
      <c r="AC1188" s="99"/>
      <c r="AD1188" s="99"/>
      <c r="AE1188" s="99"/>
      <c r="AF1188" s="99"/>
      <c r="AG1188" s="99"/>
      <c r="AH1188" s="99"/>
      <c r="AI1188" s="99"/>
      <c r="AJ1188" s="99"/>
      <c r="AK1188" s="99"/>
      <c r="AL1188" s="99"/>
      <c r="AM1188" s="99"/>
    </row>
    <row r="1189" ht="12.75" customHeight="1">
      <c r="A1189" s="110" t="s">
        <v>40</v>
      </c>
      <c r="D1189" s="145" t="s">
        <v>22</v>
      </c>
      <c r="G1189" s="104"/>
      <c r="H1189" s="133"/>
      <c r="I1189" s="104"/>
      <c r="J1189" s="134">
        <f t="shared" ref="J1189:K1189" si="1151">SUM(J1191:J1194)</f>
        <v>38050000</v>
      </c>
      <c r="K1189" s="46">
        <f t="shared" si="1151"/>
        <v>0</v>
      </c>
      <c r="L1189" s="105"/>
      <c r="M1189" s="106"/>
      <c r="N1189" s="105"/>
      <c r="O1189" s="46">
        <f t="shared" ref="O1189:P1189" si="1152">SUM(O1191:O1194)</f>
        <v>38050000</v>
      </c>
      <c r="P1189" s="46">
        <f t="shared" si="1152"/>
        <v>28408424</v>
      </c>
      <c r="Q1189" s="46">
        <v>3.805E7</v>
      </c>
      <c r="R1189" s="153"/>
      <c r="S1189" s="153"/>
      <c r="T1189" s="99"/>
      <c r="U1189" s="99"/>
      <c r="V1189" s="99"/>
      <c r="W1189" s="99"/>
      <c r="X1189" s="99"/>
      <c r="Y1189" s="99"/>
      <c r="Z1189" s="99"/>
      <c r="AA1189" s="99"/>
      <c r="AB1189" s="99"/>
      <c r="AC1189" s="99"/>
      <c r="AD1189" s="99"/>
      <c r="AE1189" s="99"/>
      <c r="AF1189" s="99"/>
      <c r="AG1189" s="99"/>
      <c r="AH1189" s="99"/>
      <c r="AI1189" s="99"/>
      <c r="AJ1189" s="99"/>
      <c r="AK1189" s="99"/>
      <c r="AL1189" s="99"/>
      <c r="AM1189" s="99"/>
    </row>
    <row r="1190" ht="12.75" customHeight="1">
      <c r="A1190" s="104"/>
      <c r="B1190" s="104"/>
      <c r="C1190" s="104"/>
      <c r="D1190" s="110" t="s">
        <v>23</v>
      </c>
      <c r="G1190" s="104"/>
      <c r="H1190" s="104"/>
      <c r="I1190" s="104"/>
      <c r="J1190" s="111"/>
      <c r="K1190" s="111"/>
      <c r="L1190" s="105"/>
      <c r="M1190" s="106"/>
      <c r="N1190" s="105"/>
      <c r="O1190" s="111"/>
      <c r="P1190" s="111"/>
      <c r="Q1190" s="111"/>
      <c r="R1190" s="153"/>
      <c r="S1190" s="153"/>
      <c r="T1190" s="99"/>
      <c r="U1190" s="99"/>
      <c r="V1190" s="99"/>
      <c r="W1190" s="99"/>
      <c r="X1190" s="99"/>
      <c r="Y1190" s="99"/>
      <c r="Z1190" s="99"/>
      <c r="AA1190" s="99"/>
      <c r="AB1190" s="99"/>
      <c r="AC1190" s="99"/>
      <c r="AD1190" s="99"/>
      <c r="AE1190" s="99"/>
      <c r="AF1190" s="99"/>
      <c r="AG1190" s="99"/>
      <c r="AH1190" s="99"/>
      <c r="AI1190" s="99"/>
      <c r="AJ1190" s="99"/>
      <c r="AK1190" s="99"/>
      <c r="AL1190" s="99"/>
      <c r="AM1190" s="99"/>
    </row>
    <row r="1191" ht="12.75" customHeight="1">
      <c r="A1191" s="104"/>
      <c r="B1191" s="104"/>
      <c r="C1191" s="104"/>
      <c r="D1191" s="110" t="s">
        <v>24</v>
      </c>
      <c r="E1191" s="110" t="s">
        <v>163</v>
      </c>
      <c r="G1191" s="136">
        <v>100.0</v>
      </c>
      <c r="H1191" s="136" t="s">
        <v>26</v>
      </c>
      <c r="I1191" s="137">
        <v>53000.0</v>
      </c>
      <c r="J1191" s="46">
        <f t="shared" ref="J1191:J1194" si="1153">G1191*I1191</f>
        <v>5300000</v>
      </c>
      <c r="K1191" s="46"/>
      <c r="L1191" s="105"/>
      <c r="M1191" s="106"/>
      <c r="N1191" s="105"/>
      <c r="O1191" s="46">
        <f t="shared" ref="O1191:O1194" si="1154">J1191-K1191</f>
        <v>5300000</v>
      </c>
      <c r="P1191" s="46">
        <f t="shared" ref="P1191:P1194" si="1155">J1191-M1191</f>
        <v>5300000</v>
      </c>
      <c r="Q1191" s="46">
        <v>5300000.0</v>
      </c>
      <c r="R1191" s="153"/>
      <c r="S1191" s="153"/>
      <c r="T1191" s="99"/>
      <c r="U1191" s="99"/>
      <c r="V1191" s="99"/>
      <c r="W1191" s="99"/>
      <c r="X1191" s="99"/>
      <c r="Y1191" s="99"/>
      <c r="Z1191" s="99"/>
      <c r="AA1191" s="99"/>
      <c r="AB1191" s="99"/>
      <c r="AC1191" s="99"/>
      <c r="AD1191" s="99"/>
      <c r="AE1191" s="99"/>
      <c r="AF1191" s="99"/>
      <c r="AG1191" s="99"/>
      <c r="AH1191" s="99"/>
      <c r="AI1191" s="99"/>
      <c r="AJ1191" s="99"/>
      <c r="AK1191" s="99"/>
      <c r="AL1191" s="99"/>
      <c r="AM1191" s="99"/>
    </row>
    <row r="1192" ht="12.75" customHeight="1">
      <c r="A1192" s="104"/>
      <c r="B1192" s="104"/>
      <c r="C1192" s="104"/>
      <c r="D1192" s="110" t="s">
        <v>24</v>
      </c>
      <c r="E1192" s="110" t="s">
        <v>53</v>
      </c>
      <c r="G1192" s="136">
        <v>5.0</v>
      </c>
      <c r="H1192" s="136" t="s">
        <v>26</v>
      </c>
      <c r="I1192" s="137">
        <v>500000.0</v>
      </c>
      <c r="J1192" s="46">
        <f t="shared" si="1153"/>
        <v>2500000</v>
      </c>
      <c r="K1192" s="46"/>
      <c r="L1192" s="105"/>
      <c r="M1192" s="106"/>
      <c r="N1192" s="105"/>
      <c r="O1192" s="46">
        <f t="shared" si="1154"/>
        <v>2500000</v>
      </c>
      <c r="P1192" s="46">
        <f t="shared" si="1155"/>
        <v>2500000</v>
      </c>
      <c r="Q1192" s="46">
        <v>2500000.0</v>
      </c>
      <c r="R1192" s="153"/>
      <c r="S1192" s="153"/>
      <c r="T1192" s="99"/>
      <c r="U1192" s="99"/>
      <c r="V1192" s="99"/>
      <c r="W1192" s="99"/>
      <c r="X1192" s="99"/>
      <c r="Y1192" s="99"/>
      <c r="Z1192" s="99"/>
      <c r="AA1192" s="99"/>
      <c r="AB1192" s="99"/>
      <c r="AC1192" s="99"/>
      <c r="AD1192" s="99"/>
      <c r="AE1192" s="99"/>
      <c r="AF1192" s="99"/>
      <c r="AG1192" s="99"/>
      <c r="AH1192" s="99"/>
      <c r="AI1192" s="99"/>
      <c r="AJ1192" s="99"/>
      <c r="AK1192" s="99"/>
      <c r="AL1192" s="99"/>
      <c r="AM1192" s="99"/>
    </row>
    <row r="1193" ht="12.75" customHeight="1">
      <c r="A1193" s="104"/>
      <c r="B1193" s="104"/>
      <c r="C1193" s="104"/>
      <c r="D1193" s="110" t="s">
        <v>24</v>
      </c>
      <c r="E1193" s="110" t="s">
        <v>54</v>
      </c>
      <c r="G1193" s="136">
        <v>1.0</v>
      </c>
      <c r="H1193" s="136" t="s">
        <v>55</v>
      </c>
      <c r="I1193" s="137">
        <v>250000.0</v>
      </c>
      <c r="J1193" s="46">
        <f t="shared" si="1153"/>
        <v>250000</v>
      </c>
      <c r="K1193" s="46"/>
      <c r="L1193" s="105"/>
      <c r="M1193" s="106"/>
      <c r="N1193" s="105"/>
      <c r="O1193" s="46">
        <f t="shared" si="1154"/>
        <v>250000</v>
      </c>
      <c r="P1193" s="46">
        <f t="shared" si="1155"/>
        <v>250000</v>
      </c>
      <c r="Q1193" s="46">
        <v>250000.0</v>
      </c>
      <c r="R1193" s="153"/>
      <c r="S1193" s="153"/>
      <c r="T1193" s="99"/>
      <c r="U1193" s="99"/>
      <c r="V1193" s="99"/>
      <c r="W1193" s="99"/>
      <c r="X1193" s="99"/>
      <c r="Y1193" s="99"/>
      <c r="Z1193" s="99"/>
      <c r="AA1193" s="99"/>
      <c r="AB1193" s="99"/>
      <c r="AC1193" s="99"/>
      <c r="AD1193" s="99"/>
      <c r="AE1193" s="99"/>
      <c r="AF1193" s="99"/>
      <c r="AG1193" s="99"/>
      <c r="AH1193" s="99"/>
      <c r="AI1193" s="99"/>
      <c r="AJ1193" s="99"/>
      <c r="AK1193" s="99"/>
      <c r="AL1193" s="99"/>
      <c r="AM1193" s="99"/>
    </row>
    <row r="1194" ht="12.75" customHeight="1">
      <c r="A1194" s="104"/>
      <c r="B1194" s="104"/>
      <c r="C1194" s="104"/>
      <c r="D1194" s="110" t="s">
        <v>24</v>
      </c>
      <c r="E1194" s="110" t="s">
        <v>164</v>
      </c>
      <c r="G1194" s="136">
        <v>100.0</v>
      </c>
      <c r="H1194" s="136" t="s">
        <v>26</v>
      </c>
      <c r="I1194" s="137">
        <v>300000.0</v>
      </c>
      <c r="J1194" s="46">
        <f t="shared" si="1153"/>
        <v>30000000</v>
      </c>
      <c r="K1194" s="46"/>
      <c r="L1194" s="105"/>
      <c r="M1194" s="156">
        <v>9641576.0</v>
      </c>
      <c r="N1194" s="105"/>
      <c r="O1194" s="46">
        <f t="shared" si="1154"/>
        <v>30000000</v>
      </c>
      <c r="P1194" s="46">
        <f t="shared" si="1155"/>
        <v>20358424</v>
      </c>
      <c r="Q1194" s="46">
        <v>3.0E7</v>
      </c>
      <c r="R1194" s="154"/>
      <c r="S1194" s="155" t="s">
        <v>195</v>
      </c>
      <c r="T1194" s="99"/>
      <c r="U1194" s="99"/>
      <c r="V1194" s="99"/>
      <c r="W1194" s="99"/>
      <c r="X1194" s="99"/>
      <c r="Y1194" s="99"/>
      <c r="Z1194" s="99"/>
      <c r="AA1194" s="99"/>
      <c r="AB1194" s="99"/>
      <c r="AC1194" s="99"/>
      <c r="AD1194" s="99"/>
      <c r="AE1194" s="99"/>
      <c r="AF1194" s="99"/>
      <c r="AG1194" s="99"/>
      <c r="AH1194" s="99"/>
      <c r="AI1194" s="99"/>
      <c r="AJ1194" s="99"/>
      <c r="AK1194" s="99"/>
      <c r="AL1194" s="99"/>
      <c r="AM1194" s="99"/>
    </row>
    <row r="1195" ht="12.75" customHeight="1">
      <c r="A1195" s="110" t="s">
        <v>47</v>
      </c>
      <c r="D1195" s="145" t="s">
        <v>48</v>
      </c>
      <c r="G1195" s="104"/>
      <c r="H1195" s="133"/>
      <c r="I1195" s="104"/>
      <c r="J1195" s="134">
        <f t="shared" ref="J1195:K1195" si="1156">J1197</f>
        <v>16000000</v>
      </c>
      <c r="K1195" s="46" t="str">
        <f t="shared" si="1156"/>
        <v/>
      </c>
      <c r="L1195" s="105"/>
      <c r="M1195" s="157"/>
      <c r="N1195" s="105"/>
      <c r="O1195" s="46">
        <f t="shared" ref="O1195:P1195" si="1157">O1197</f>
        <v>16000000</v>
      </c>
      <c r="P1195" s="46">
        <f t="shared" si="1157"/>
        <v>11108000</v>
      </c>
      <c r="Q1195" s="46">
        <v>1.6E7</v>
      </c>
      <c r="R1195" s="153"/>
      <c r="S1195" s="153"/>
      <c r="T1195" s="99"/>
      <c r="U1195" s="99"/>
      <c r="V1195" s="99"/>
      <c r="W1195" s="99"/>
      <c r="X1195" s="99"/>
      <c r="Y1195" s="99"/>
      <c r="Z1195" s="99"/>
      <c r="AA1195" s="99"/>
      <c r="AB1195" s="99"/>
      <c r="AC1195" s="99"/>
      <c r="AD1195" s="99"/>
      <c r="AE1195" s="99"/>
      <c r="AF1195" s="99"/>
      <c r="AG1195" s="99"/>
      <c r="AH1195" s="99"/>
      <c r="AI1195" s="99"/>
      <c r="AJ1195" s="99"/>
      <c r="AK1195" s="99"/>
      <c r="AL1195" s="99"/>
      <c r="AM1195" s="99"/>
    </row>
    <row r="1196" ht="12.75" customHeight="1">
      <c r="A1196" s="104"/>
      <c r="B1196" s="104"/>
      <c r="C1196" s="104"/>
      <c r="D1196" s="110" t="s">
        <v>23</v>
      </c>
      <c r="G1196" s="104"/>
      <c r="H1196" s="104"/>
      <c r="I1196" s="104"/>
      <c r="J1196" s="111"/>
      <c r="K1196" s="111"/>
      <c r="L1196" s="105"/>
      <c r="M1196" s="157"/>
      <c r="N1196" s="105"/>
      <c r="O1196" s="111"/>
      <c r="P1196" s="111"/>
      <c r="Q1196" s="111"/>
      <c r="R1196" s="153"/>
      <c r="S1196" s="153"/>
      <c r="T1196" s="99"/>
      <c r="U1196" s="99"/>
      <c r="V1196" s="99"/>
      <c r="W1196" s="99"/>
      <c r="X1196" s="99"/>
      <c r="Y1196" s="99"/>
      <c r="Z1196" s="99"/>
      <c r="AA1196" s="99"/>
      <c r="AB1196" s="99"/>
      <c r="AC1196" s="99"/>
      <c r="AD1196" s="99"/>
      <c r="AE1196" s="99"/>
      <c r="AF1196" s="99"/>
      <c r="AG1196" s="99"/>
      <c r="AH1196" s="99"/>
      <c r="AI1196" s="99"/>
      <c r="AJ1196" s="99"/>
      <c r="AK1196" s="99"/>
      <c r="AL1196" s="99"/>
      <c r="AM1196" s="99"/>
    </row>
    <row r="1197" ht="12.75" customHeight="1">
      <c r="A1197" s="104"/>
      <c r="B1197" s="104"/>
      <c r="C1197" s="104"/>
      <c r="D1197" s="110" t="s">
        <v>24</v>
      </c>
      <c r="E1197" s="110" t="s">
        <v>165</v>
      </c>
      <c r="G1197" s="136">
        <v>4.0</v>
      </c>
      <c r="H1197" s="136" t="s">
        <v>26</v>
      </c>
      <c r="I1197" s="137">
        <v>4000000.0</v>
      </c>
      <c r="J1197" s="46">
        <f>G1197*I1197</f>
        <v>16000000</v>
      </c>
      <c r="K1197" s="46"/>
      <c r="L1197" s="105"/>
      <c r="M1197" s="156">
        <v>4892000.0</v>
      </c>
      <c r="N1197" s="105"/>
      <c r="O1197" s="46">
        <f>J1197-K1197</f>
        <v>16000000</v>
      </c>
      <c r="P1197" s="46">
        <f>J1197-M1197</f>
        <v>11108000</v>
      </c>
      <c r="Q1197" s="46">
        <v>1.6E7</v>
      </c>
      <c r="R1197" s="154"/>
      <c r="S1197" s="155" t="s">
        <v>195</v>
      </c>
      <c r="T1197" s="99"/>
      <c r="U1197" s="99"/>
      <c r="V1197" s="99"/>
      <c r="W1197" s="99"/>
      <c r="X1197" s="99"/>
      <c r="Y1197" s="99"/>
      <c r="Z1197" s="99"/>
      <c r="AA1197" s="99"/>
      <c r="AB1197" s="99"/>
      <c r="AC1197" s="99"/>
      <c r="AD1197" s="99"/>
      <c r="AE1197" s="99"/>
      <c r="AF1197" s="99"/>
      <c r="AG1197" s="99"/>
      <c r="AH1197" s="99"/>
      <c r="AI1197" s="99"/>
      <c r="AJ1197" s="99"/>
      <c r="AK1197" s="99"/>
      <c r="AL1197" s="99"/>
      <c r="AM1197" s="99"/>
    </row>
    <row r="1198" ht="12.75" customHeight="1">
      <c r="A1198" s="110" t="s">
        <v>58</v>
      </c>
      <c r="D1198" s="145" t="s">
        <v>34</v>
      </c>
      <c r="G1198" s="104"/>
      <c r="H1198" s="133"/>
      <c r="I1198" s="104"/>
      <c r="J1198" s="134">
        <f t="shared" ref="J1198:K1198" si="1158">J1200</f>
        <v>2000000</v>
      </c>
      <c r="K1198" s="46" t="str">
        <f t="shared" si="1158"/>
        <v/>
      </c>
      <c r="L1198" s="105"/>
      <c r="M1198" s="157"/>
      <c r="N1198" s="105"/>
      <c r="O1198" s="46">
        <f t="shared" ref="O1198:P1198" si="1159">O1200</f>
        <v>2000000</v>
      </c>
      <c r="P1198" s="46">
        <f t="shared" si="1159"/>
        <v>1000000</v>
      </c>
      <c r="Q1198" s="46">
        <v>2000000.0</v>
      </c>
      <c r="R1198" s="153"/>
      <c r="S1198" s="153"/>
      <c r="T1198" s="99"/>
      <c r="U1198" s="99"/>
      <c r="V1198" s="99"/>
      <c r="W1198" s="99"/>
      <c r="X1198" s="99"/>
      <c r="Y1198" s="99"/>
      <c r="Z1198" s="99"/>
      <c r="AA1198" s="99"/>
      <c r="AB1198" s="99"/>
      <c r="AC1198" s="99"/>
      <c r="AD1198" s="99"/>
      <c r="AE1198" s="99"/>
      <c r="AF1198" s="99"/>
      <c r="AG1198" s="99"/>
      <c r="AH1198" s="99"/>
      <c r="AI1198" s="99"/>
      <c r="AJ1198" s="99"/>
      <c r="AK1198" s="99"/>
      <c r="AL1198" s="99"/>
      <c r="AM1198" s="99"/>
    </row>
    <row r="1199" ht="12.75" customHeight="1">
      <c r="A1199" s="104"/>
      <c r="B1199" s="104"/>
      <c r="C1199" s="104"/>
      <c r="D1199" s="110" t="s">
        <v>23</v>
      </c>
      <c r="G1199" s="104"/>
      <c r="H1199" s="104"/>
      <c r="I1199" s="104"/>
      <c r="J1199" s="111"/>
      <c r="K1199" s="111"/>
      <c r="L1199" s="105"/>
      <c r="M1199" s="157"/>
      <c r="N1199" s="105"/>
      <c r="O1199" s="111"/>
      <c r="P1199" s="111"/>
      <c r="Q1199" s="111"/>
      <c r="R1199" s="153"/>
      <c r="S1199" s="153"/>
      <c r="T1199" s="99"/>
      <c r="U1199" s="99"/>
      <c r="V1199" s="99"/>
      <c r="W1199" s="99"/>
      <c r="X1199" s="99"/>
      <c r="Y1199" s="99"/>
      <c r="Z1199" s="99"/>
      <c r="AA1199" s="99"/>
      <c r="AB1199" s="99"/>
      <c r="AC1199" s="99"/>
      <c r="AD1199" s="99"/>
      <c r="AE1199" s="99"/>
      <c r="AF1199" s="99"/>
      <c r="AG1199" s="99"/>
      <c r="AH1199" s="99"/>
      <c r="AI1199" s="99"/>
      <c r="AJ1199" s="99"/>
      <c r="AK1199" s="99"/>
      <c r="AL1199" s="99"/>
      <c r="AM1199" s="99"/>
    </row>
    <row r="1200" ht="12.75" customHeight="1">
      <c r="A1200" s="104"/>
      <c r="B1200" s="104"/>
      <c r="C1200" s="104"/>
      <c r="D1200" s="110" t="s">
        <v>24</v>
      </c>
      <c r="E1200" s="110" t="s">
        <v>59</v>
      </c>
      <c r="G1200" s="136">
        <v>4.0</v>
      </c>
      <c r="H1200" s="136" t="s">
        <v>26</v>
      </c>
      <c r="I1200" s="137">
        <v>500000.0</v>
      </c>
      <c r="J1200" s="46">
        <f>G1200*I1200</f>
        <v>2000000</v>
      </c>
      <c r="K1200" s="46"/>
      <c r="L1200" s="105"/>
      <c r="M1200" s="156">
        <v>1000000.0</v>
      </c>
      <c r="N1200" s="105"/>
      <c r="O1200" s="46">
        <f>J1200-K1200</f>
        <v>2000000</v>
      </c>
      <c r="P1200" s="46">
        <f>J1200-M1200</f>
        <v>1000000</v>
      </c>
      <c r="Q1200" s="46">
        <v>2000000.0</v>
      </c>
      <c r="R1200" s="154"/>
      <c r="S1200" s="155" t="s">
        <v>195</v>
      </c>
      <c r="T1200" s="99"/>
      <c r="U1200" s="99"/>
      <c r="V1200" s="99"/>
      <c r="W1200" s="99"/>
      <c r="X1200" s="99"/>
      <c r="Y1200" s="99"/>
      <c r="Z1200" s="99"/>
      <c r="AA1200" s="99"/>
      <c r="AB1200" s="99"/>
      <c r="AC1200" s="99"/>
      <c r="AD1200" s="99"/>
      <c r="AE1200" s="99"/>
      <c r="AF1200" s="99"/>
      <c r="AG1200" s="99"/>
      <c r="AH1200" s="99"/>
      <c r="AI1200" s="99"/>
      <c r="AJ1200" s="99"/>
      <c r="AK1200" s="99"/>
      <c r="AL1200" s="99"/>
      <c r="AM1200" s="99"/>
    </row>
    <row r="1201" ht="12.75" customHeight="1">
      <c r="A1201" s="144" t="s">
        <v>60</v>
      </c>
      <c r="D1201" s="144" t="s">
        <v>61</v>
      </c>
      <c r="G1201" s="104"/>
      <c r="H1201" s="128"/>
      <c r="I1201" s="104"/>
      <c r="J1201" s="129">
        <f t="shared" ref="J1201:K1201" si="1160">J1202+J1205+J1209+J1212+J1215</f>
        <v>220800000</v>
      </c>
      <c r="K1201" s="43">
        <f t="shared" si="1160"/>
        <v>0</v>
      </c>
      <c r="L1201" s="105"/>
      <c r="M1201" s="106"/>
      <c r="N1201" s="105"/>
      <c r="O1201" s="43">
        <f t="shared" ref="O1201:P1201" si="1161">O1202+O1205+O1209+O1212+O1215</f>
        <v>220800000</v>
      </c>
      <c r="P1201" s="43">
        <f t="shared" si="1161"/>
        <v>197002616</v>
      </c>
      <c r="Q1201" s="43">
        <v>2.208E8</v>
      </c>
      <c r="R1201" s="153"/>
      <c r="S1201" s="153"/>
      <c r="T1201" s="99"/>
      <c r="U1201" s="99"/>
      <c r="V1201" s="99"/>
      <c r="W1201" s="99"/>
      <c r="X1201" s="99"/>
      <c r="Y1201" s="99"/>
      <c r="Z1201" s="99"/>
      <c r="AA1201" s="99"/>
      <c r="AB1201" s="99"/>
      <c r="AC1201" s="99"/>
      <c r="AD1201" s="99"/>
      <c r="AE1201" s="99"/>
      <c r="AF1201" s="99"/>
      <c r="AG1201" s="99"/>
      <c r="AH1201" s="99"/>
      <c r="AI1201" s="99"/>
      <c r="AJ1201" s="99"/>
      <c r="AK1201" s="99"/>
      <c r="AL1201" s="99"/>
      <c r="AM1201" s="99"/>
    </row>
    <row r="1202" ht="12.75" customHeight="1">
      <c r="A1202" s="110" t="s">
        <v>40</v>
      </c>
      <c r="D1202" s="145" t="s">
        <v>22</v>
      </c>
      <c r="G1202" s="104"/>
      <c r="H1202" s="133"/>
      <c r="I1202" s="104"/>
      <c r="J1202" s="134">
        <f t="shared" ref="J1202:K1202" si="1162">J1204</f>
        <v>31800000</v>
      </c>
      <c r="K1202" s="46" t="str">
        <f t="shared" si="1162"/>
        <v/>
      </c>
      <c r="L1202" s="105"/>
      <c r="M1202" s="106"/>
      <c r="N1202" s="105"/>
      <c r="O1202" s="46">
        <f t="shared" ref="O1202:P1202" si="1163">O1204</f>
        <v>31800000</v>
      </c>
      <c r="P1202" s="46">
        <f t="shared" si="1163"/>
        <v>26490000</v>
      </c>
      <c r="Q1202" s="46">
        <v>3.18E7</v>
      </c>
      <c r="R1202" s="153"/>
      <c r="S1202" s="153"/>
      <c r="T1202" s="99"/>
      <c r="U1202" s="99"/>
      <c r="V1202" s="99"/>
      <c r="W1202" s="99"/>
      <c r="X1202" s="99"/>
      <c r="Y1202" s="99"/>
      <c r="Z1202" s="99"/>
      <c r="AA1202" s="99"/>
      <c r="AB1202" s="99"/>
      <c r="AC1202" s="99"/>
      <c r="AD1202" s="99"/>
      <c r="AE1202" s="99"/>
      <c r="AF1202" s="99"/>
      <c r="AG1202" s="99"/>
      <c r="AH1202" s="99"/>
      <c r="AI1202" s="99"/>
      <c r="AJ1202" s="99"/>
      <c r="AK1202" s="99"/>
      <c r="AL1202" s="99"/>
      <c r="AM1202" s="99"/>
    </row>
    <row r="1203" ht="12.75" customHeight="1">
      <c r="A1203" s="104"/>
      <c r="B1203" s="104"/>
      <c r="C1203" s="104"/>
      <c r="D1203" s="110" t="s">
        <v>23</v>
      </c>
      <c r="G1203" s="104"/>
      <c r="H1203" s="104"/>
      <c r="I1203" s="104"/>
      <c r="J1203" s="111"/>
      <c r="K1203" s="111"/>
      <c r="L1203" s="105"/>
      <c r="M1203" s="106"/>
      <c r="N1203" s="105"/>
      <c r="O1203" s="111"/>
      <c r="P1203" s="111"/>
      <c r="Q1203" s="111"/>
      <c r="R1203" s="153"/>
      <c r="S1203" s="153"/>
      <c r="T1203" s="99"/>
      <c r="U1203" s="99"/>
      <c r="V1203" s="99"/>
      <c r="W1203" s="99"/>
      <c r="X1203" s="99"/>
      <c r="Y1203" s="99"/>
      <c r="Z1203" s="99"/>
      <c r="AA1203" s="99"/>
      <c r="AB1203" s="99"/>
      <c r="AC1203" s="99"/>
      <c r="AD1203" s="99"/>
      <c r="AE1203" s="99"/>
      <c r="AF1203" s="99"/>
      <c r="AG1203" s="99"/>
      <c r="AH1203" s="99"/>
      <c r="AI1203" s="99"/>
      <c r="AJ1203" s="99"/>
      <c r="AK1203" s="99"/>
      <c r="AL1203" s="99"/>
      <c r="AM1203" s="99"/>
    </row>
    <row r="1204" ht="15.75" customHeight="1">
      <c r="A1204" s="104"/>
      <c r="B1204" s="104"/>
      <c r="C1204" s="104"/>
      <c r="D1204" s="110" t="s">
        <v>24</v>
      </c>
      <c r="E1204" s="110" t="s">
        <v>166</v>
      </c>
      <c r="G1204" s="136">
        <v>600.0</v>
      </c>
      <c r="H1204" s="136" t="s">
        <v>26</v>
      </c>
      <c r="I1204" s="137">
        <v>53000.0</v>
      </c>
      <c r="J1204" s="46">
        <f>G1204*I1204</f>
        <v>31800000</v>
      </c>
      <c r="K1204" s="46"/>
      <c r="L1204" s="105"/>
      <c r="M1204" s="156">
        <v>5310000.0</v>
      </c>
      <c r="N1204" s="105"/>
      <c r="O1204" s="46">
        <f>J1204-K1204</f>
        <v>31800000</v>
      </c>
      <c r="P1204" s="46">
        <f>J1204-M1204</f>
        <v>26490000</v>
      </c>
      <c r="Q1204" s="46">
        <v>3.18E7</v>
      </c>
      <c r="R1204" s="154"/>
      <c r="S1204" s="155" t="s">
        <v>195</v>
      </c>
      <c r="T1204" s="99"/>
      <c r="U1204" s="99"/>
      <c r="V1204" s="99"/>
      <c r="W1204" s="99"/>
      <c r="X1204" s="99"/>
      <c r="Y1204" s="99"/>
      <c r="Z1204" s="99"/>
      <c r="AA1204" s="99"/>
      <c r="AB1204" s="99"/>
      <c r="AC1204" s="99"/>
      <c r="AD1204" s="99"/>
      <c r="AE1204" s="99"/>
      <c r="AF1204" s="99"/>
      <c r="AG1204" s="99"/>
      <c r="AH1204" s="99"/>
      <c r="AI1204" s="99"/>
      <c r="AJ1204" s="99"/>
      <c r="AK1204" s="99"/>
      <c r="AL1204" s="99"/>
      <c r="AM1204" s="99"/>
    </row>
    <row r="1205" ht="12.75" customHeight="1">
      <c r="A1205" s="110" t="s">
        <v>63</v>
      </c>
      <c r="D1205" s="145" t="s">
        <v>64</v>
      </c>
      <c r="G1205" s="104"/>
      <c r="H1205" s="133"/>
      <c r="I1205" s="104"/>
      <c r="J1205" s="134">
        <f t="shared" ref="J1205:K1205" si="1164">SUM(J1207:J1208)</f>
        <v>115000000</v>
      </c>
      <c r="K1205" s="46">
        <f t="shared" si="1164"/>
        <v>0</v>
      </c>
      <c r="L1205" s="105"/>
      <c r="M1205" s="157"/>
      <c r="N1205" s="105"/>
      <c r="O1205" s="46">
        <f t="shared" ref="O1205:P1205" si="1165">SUM(O1207:O1208)</f>
        <v>115000000</v>
      </c>
      <c r="P1205" s="46">
        <f t="shared" si="1165"/>
        <v>99112616</v>
      </c>
      <c r="Q1205" s="46">
        <v>1.15E8</v>
      </c>
      <c r="R1205" s="153"/>
      <c r="S1205" s="153"/>
      <c r="T1205" s="99"/>
      <c r="U1205" s="99"/>
      <c r="V1205" s="99"/>
      <c r="W1205" s="99"/>
      <c r="X1205" s="99"/>
      <c r="Y1205" s="99"/>
      <c r="Z1205" s="99"/>
      <c r="AA1205" s="99"/>
      <c r="AB1205" s="99"/>
      <c r="AC1205" s="99"/>
      <c r="AD1205" s="99"/>
      <c r="AE1205" s="99"/>
      <c r="AF1205" s="99"/>
      <c r="AG1205" s="99"/>
      <c r="AH1205" s="99"/>
      <c r="AI1205" s="99"/>
      <c r="AJ1205" s="99"/>
      <c r="AK1205" s="99"/>
      <c r="AL1205" s="99"/>
      <c r="AM1205" s="99"/>
    </row>
    <row r="1206" ht="12.75" customHeight="1">
      <c r="A1206" s="104"/>
      <c r="B1206" s="104"/>
      <c r="C1206" s="104"/>
      <c r="D1206" s="110" t="s">
        <v>23</v>
      </c>
      <c r="G1206" s="104"/>
      <c r="H1206" s="104"/>
      <c r="I1206" s="104"/>
      <c r="J1206" s="111"/>
      <c r="K1206" s="111"/>
      <c r="L1206" s="105"/>
      <c r="M1206" s="157"/>
      <c r="N1206" s="105"/>
      <c r="O1206" s="111"/>
      <c r="P1206" s="111"/>
      <c r="Q1206" s="111"/>
      <c r="R1206" s="153"/>
      <c r="S1206" s="153"/>
      <c r="T1206" s="99"/>
      <c r="U1206" s="99"/>
      <c r="V1206" s="99"/>
      <c r="W1206" s="99"/>
      <c r="X1206" s="99"/>
      <c r="Y1206" s="99"/>
      <c r="Z1206" s="99"/>
      <c r="AA1206" s="99"/>
      <c r="AB1206" s="99"/>
      <c r="AC1206" s="99"/>
      <c r="AD1206" s="99"/>
      <c r="AE1206" s="99"/>
      <c r="AF1206" s="99"/>
      <c r="AG1206" s="99"/>
      <c r="AH1206" s="99"/>
      <c r="AI1206" s="99"/>
      <c r="AJ1206" s="99"/>
      <c r="AK1206" s="99"/>
      <c r="AL1206" s="99"/>
      <c r="AM1206" s="99"/>
    </row>
    <row r="1207" ht="15.75" customHeight="1">
      <c r="A1207" s="104"/>
      <c r="B1207" s="104"/>
      <c r="C1207" s="104"/>
      <c r="D1207" s="110" t="s">
        <v>24</v>
      </c>
      <c r="E1207" s="110" t="s">
        <v>289</v>
      </c>
      <c r="G1207" s="136">
        <v>1.0</v>
      </c>
      <c r="H1207" s="136" t="s">
        <v>97</v>
      </c>
      <c r="I1207" s="137">
        <v>9.5E7</v>
      </c>
      <c r="J1207" s="46">
        <f t="shared" ref="J1207:J1208" si="1166">G1207*I1207</f>
        <v>95000000</v>
      </c>
      <c r="K1207" s="46"/>
      <c r="L1207" s="105"/>
      <c r="M1207" s="156">
        <v>1.0757384E7</v>
      </c>
      <c r="N1207" s="105"/>
      <c r="O1207" s="46">
        <f t="shared" ref="O1207:O1208" si="1167">J1207-K1207</f>
        <v>95000000</v>
      </c>
      <c r="P1207" s="46">
        <f t="shared" ref="P1207:P1208" si="1168">J1207-M1207</f>
        <v>84242616</v>
      </c>
      <c r="Q1207" s="46">
        <v>9.5E7</v>
      </c>
      <c r="R1207" s="154"/>
      <c r="S1207" s="155" t="s">
        <v>195</v>
      </c>
      <c r="T1207" s="99"/>
      <c r="U1207" s="99"/>
      <c r="V1207" s="99"/>
      <c r="W1207" s="99"/>
      <c r="X1207" s="99"/>
      <c r="Y1207" s="99"/>
      <c r="Z1207" s="99"/>
      <c r="AA1207" s="99"/>
      <c r="AB1207" s="99"/>
      <c r="AC1207" s="99"/>
      <c r="AD1207" s="99"/>
      <c r="AE1207" s="99"/>
      <c r="AF1207" s="99"/>
      <c r="AG1207" s="99"/>
      <c r="AH1207" s="99"/>
      <c r="AI1207" s="99"/>
      <c r="AJ1207" s="99"/>
      <c r="AK1207" s="99"/>
      <c r="AL1207" s="99"/>
      <c r="AM1207" s="99"/>
    </row>
    <row r="1208" ht="12.75" customHeight="1">
      <c r="A1208" s="104"/>
      <c r="B1208" s="104"/>
      <c r="C1208" s="104"/>
      <c r="D1208" s="110" t="s">
        <v>24</v>
      </c>
      <c r="E1208" s="110" t="s">
        <v>167</v>
      </c>
      <c r="G1208" s="136">
        <v>100.0</v>
      </c>
      <c r="H1208" s="136" t="s">
        <v>26</v>
      </c>
      <c r="I1208" s="137">
        <v>200000.0</v>
      </c>
      <c r="J1208" s="46">
        <f t="shared" si="1166"/>
        <v>20000000</v>
      </c>
      <c r="K1208" s="46"/>
      <c r="L1208" s="105"/>
      <c r="M1208" s="156">
        <f>130000+5000000</f>
        <v>5130000</v>
      </c>
      <c r="N1208" s="105"/>
      <c r="O1208" s="46">
        <f t="shared" si="1167"/>
        <v>20000000</v>
      </c>
      <c r="P1208" s="46">
        <f t="shared" si="1168"/>
        <v>14870000</v>
      </c>
      <c r="Q1208" s="46">
        <v>2.0E7</v>
      </c>
      <c r="R1208" s="154"/>
      <c r="S1208" s="155" t="s">
        <v>362</v>
      </c>
      <c r="T1208" s="99"/>
      <c r="U1208" s="99"/>
      <c r="V1208" s="99"/>
      <c r="W1208" s="99"/>
      <c r="X1208" s="99"/>
      <c r="Y1208" s="99"/>
      <c r="Z1208" s="99"/>
      <c r="AA1208" s="99"/>
      <c r="AB1208" s="99"/>
      <c r="AC1208" s="99"/>
      <c r="AD1208" s="99"/>
      <c r="AE1208" s="99"/>
      <c r="AF1208" s="99"/>
      <c r="AG1208" s="99"/>
      <c r="AH1208" s="99"/>
      <c r="AI1208" s="99"/>
      <c r="AJ1208" s="99"/>
      <c r="AK1208" s="99"/>
      <c r="AL1208" s="99"/>
      <c r="AM1208" s="99"/>
    </row>
    <row r="1209" ht="12.75" customHeight="1">
      <c r="A1209" s="110" t="s">
        <v>68</v>
      </c>
      <c r="D1209" s="145" t="s">
        <v>69</v>
      </c>
      <c r="G1209" s="104"/>
      <c r="H1209" s="133"/>
      <c r="I1209" s="104"/>
      <c r="J1209" s="134">
        <f t="shared" ref="J1209:K1209" si="1169">J1211</f>
        <v>10000000</v>
      </c>
      <c r="K1209" s="46" t="str">
        <f t="shared" si="1169"/>
        <v/>
      </c>
      <c r="L1209" s="105"/>
      <c r="M1209" s="157"/>
      <c r="N1209" s="105"/>
      <c r="O1209" s="46">
        <f t="shared" ref="O1209:P1209" si="1170">O1211</f>
        <v>10000000</v>
      </c>
      <c r="P1209" s="46">
        <f t="shared" si="1170"/>
        <v>10000000</v>
      </c>
      <c r="Q1209" s="46">
        <v>1.0E7</v>
      </c>
      <c r="R1209" s="153"/>
      <c r="S1209" s="153"/>
      <c r="T1209" s="99"/>
      <c r="U1209" s="99"/>
      <c r="V1209" s="99"/>
      <c r="W1209" s="99"/>
      <c r="X1209" s="99"/>
      <c r="Y1209" s="99"/>
      <c r="Z1209" s="99"/>
      <c r="AA1209" s="99"/>
      <c r="AB1209" s="99"/>
      <c r="AC1209" s="99"/>
      <c r="AD1209" s="99"/>
      <c r="AE1209" s="99"/>
      <c r="AF1209" s="99"/>
      <c r="AG1209" s="99"/>
      <c r="AH1209" s="99"/>
      <c r="AI1209" s="99"/>
      <c r="AJ1209" s="99"/>
      <c r="AK1209" s="99"/>
      <c r="AL1209" s="99"/>
      <c r="AM1209" s="99"/>
    </row>
    <row r="1210" ht="12.75" customHeight="1">
      <c r="A1210" s="104"/>
      <c r="B1210" s="104"/>
      <c r="C1210" s="104"/>
      <c r="D1210" s="110" t="s">
        <v>23</v>
      </c>
      <c r="G1210" s="104"/>
      <c r="H1210" s="104"/>
      <c r="I1210" s="104"/>
      <c r="J1210" s="111"/>
      <c r="K1210" s="111"/>
      <c r="L1210" s="105"/>
      <c r="M1210" s="157"/>
      <c r="N1210" s="105"/>
      <c r="O1210" s="111"/>
      <c r="P1210" s="111"/>
      <c r="Q1210" s="111"/>
      <c r="R1210" s="153"/>
      <c r="S1210" s="153"/>
      <c r="T1210" s="99"/>
      <c r="U1210" s="99"/>
      <c r="V1210" s="99"/>
      <c r="W1210" s="99"/>
      <c r="X1210" s="99"/>
      <c r="Y1210" s="99"/>
      <c r="Z1210" s="99"/>
      <c r="AA1210" s="99"/>
      <c r="AB1210" s="99"/>
      <c r="AC1210" s="99"/>
      <c r="AD1210" s="99"/>
      <c r="AE1210" s="99"/>
      <c r="AF1210" s="99"/>
      <c r="AG1210" s="99"/>
      <c r="AH1210" s="99"/>
      <c r="AI1210" s="99"/>
      <c r="AJ1210" s="99"/>
      <c r="AK1210" s="99"/>
      <c r="AL1210" s="99"/>
      <c r="AM1210" s="99"/>
    </row>
    <row r="1211" ht="12.75" customHeight="1">
      <c r="A1211" s="104"/>
      <c r="B1211" s="104"/>
      <c r="C1211" s="104"/>
      <c r="D1211" s="110" t="s">
        <v>24</v>
      </c>
      <c r="E1211" s="110" t="s">
        <v>70</v>
      </c>
      <c r="G1211" s="136">
        <v>20.0</v>
      </c>
      <c r="H1211" s="136" t="s">
        <v>26</v>
      </c>
      <c r="I1211" s="137">
        <v>500000.0</v>
      </c>
      <c r="J1211" s="46">
        <f>G1211*I1211</f>
        <v>10000000</v>
      </c>
      <c r="K1211" s="46"/>
      <c r="L1211" s="105"/>
      <c r="M1211" s="157"/>
      <c r="N1211" s="105"/>
      <c r="O1211" s="46">
        <f>J1211-K1211</f>
        <v>10000000</v>
      </c>
      <c r="P1211" s="46">
        <f>J1211-M1211</f>
        <v>10000000</v>
      </c>
      <c r="Q1211" s="46">
        <v>1.0E7</v>
      </c>
      <c r="R1211" s="153"/>
      <c r="S1211" s="153"/>
      <c r="T1211" s="99"/>
      <c r="U1211" s="99"/>
      <c r="V1211" s="99"/>
      <c r="W1211" s="99"/>
      <c r="X1211" s="99"/>
      <c r="Y1211" s="99"/>
      <c r="Z1211" s="99"/>
      <c r="AA1211" s="99"/>
      <c r="AB1211" s="99"/>
      <c r="AC1211" s="99"/>
      <c r="AD1211" s="99"/>
      <c r="AE1211" s="99"/>
      <c r="AF1211" s="99"/>
      <c r="AG1211" s="99"/>
      <c r="AH1211" s="99"/>
      <c r="AI1211" s="99"/>
      <c r="AJ1211" s="99"/>
      <c r="AK1211" s="99"/>
      <c r="AL1211" s="99"/>
      <c r="AM1211" s="99"/>
    </row>
    <row r="1212" ht="12.75" customHeight="1">
      <c r="A1212" s="110" t="s">
        <v>47</v>
      </c>
      <c r="D1212" s="145" t="s">
        <v>48</v>
      </c>
      <c r="G1212" s="104"/>
      <c r="H1212" s="133"/>
      <c r="I1212" s="104"/>
      <c r="J1212" s="134">
        <f t="shared" ref="J1212:K1212" si="1171">J1214</f>
        <v>16000000</v>
      </c>
      <c r="K1212" s="46" t="str">
        <f t="shared" si="1171"/>
        <v/>
      </c>
      <c r="L1212" s="105"/>
      <c r="M1212" s="157"/>
      <c r="N1212" s="105"/>
      <c r="O1212" s="46">
        <f t="shared" ref="O1212:P1212" si="1172">O1214</f>
        <v>16000000</v>
      </c>
      <c r="P1212" s="46">
        <f t="shared" si="1172"/>
        <v>14400000</v>
      </c>
      <c r="Q1212" s="46">
        <v>1.6E7</v>
      </c>
      <c r="R1212" s="153"/>
      <c r="S1212" s="153"/>
      <c r="T1212" s="99"/>
      <c r="U1212" s="99"/>
      <c r="V1212" s="99"/>
      <c r="W1212" s="99"/>
      <c r="X1212" s="99"/>
      <c r="Y1212" s="99"/>
      <c r="Z1212" s="99"/>
      <c r="AA1212" s="99"/>
      <c r="AB1212" s="99"/>
      <c r="AC1212" s="99"/>
      <c r="AD1212" s="99"/>
      <c r="AE1212" s="99"/>
      <c r="AF1212" s="99"/>
      <c r="AG1212" s="99"/>
      <c r="AH1212" s="99"/>
      <c r="AI1212" s="99"/>
      <c r="AJ1212" s="99"/>
      <c r="AK1212" s="99"/>
      <c r="AL1212" s="99"/>
      <c r="AM1212" s="99"/>
    </row>
    <row r="1213" ht="12.75" customHeight="1">
      <c r="A1213" s="104"/>
      <c r="B1213" s="104"/>
      <c r="C1213" s="104"/>
      <c r="D1213" s="110" t="s">
        <v>23</v>
      </c>
      <c r="G1213" s="104"/>
      <c r="H1213" s="104"/>
      <c r="I1213" s="104"/>
      <c r="J1213" s="111"/>
      <c r="K1213" s="111"/>
      <c r="L1213" s="105"/>
      <c r="M1213" s="157"/>
      <c r="N1213" s="105"/>
      <c r="O1213" s="111"/>
      <c r="P1213" s="111"/>
      <c r="Q1213" s="111"/>
      <c r="R1213" s="153"/>
      <c r="S1213" s="153"/>
      <c r="T1213" s="99"/>
      <c r="U1213" s="99"/>
      <c r="V1213" s="99"/>
      <c r="W1213" s="99"/>
      <c r="X1213" s="99"/>
      <c r="Y1213" s="99"/>
      <c r="Z1213" s="99"/>
      <c r="AA1213" s="99"/>
      <c r="AB1213" s="99"/>
      <c r="AC1213" s="99"/>
      <c r="AD1213" s="99"/>
      <c r="AE1213" s="99"/>
      <c r="AF1213" s="99"/>
      <c r="AG1213" s="99"/>
      <c r="AH1213" s="99"/>
      <c r="AI1213" s="99"/>
      <c r="AJ1213" s="99"/>
      <c r="AK1213" s="99"/>
      <c r="AL1213" s="99"/>
      <c r="AM1213" s="99"/>
    </row>
    <row r="1214" ht="12.75" customHeight="1">
      <c r="A1214" s="104"/>
      <c r="B1214" s="104"/>
      <c r="C1214" s="104"/>
      <c r="D1214" s="110" t="s">
        <v>24</v>
      </c>
      <c r="E1214" s="110" t="s">
        <v>165</v>
      </c>
      <c r="G1214" s="136">
        <v>4.0</v>
      </c>
      <c r="H1214" s="136" t="s">
        <v>26</v>
      </c>
      <c r="I1214" s="137">
        <v>4000000.0</v>
      </c>
      <c r="J1214" s="46">
        <f>G1214*I1214</f>
        <v>16000000</v>
      </c>
      <c r="K1214" s="46"/>
      <c r="L1214" s="105"/>
      <c r="M1214" s="156">
        <v>1600000.0</v>
      </c>
      <c r="N1214" s="105"/>
      <c r="O1214" s="46">
        <f>J1214-K1214</f>
        <v>16000000</v>
      </c>
      <c r="P1214" s="46">
        <f>J1214-M1214</f>
        <v>14400000</v>
      </c>
      <c r="Q1214" s="46">
        <v>1.6E7</v>
      </c>
      <c r="R1214" s="154"/>
      <c r="S1214" s="155" t="s">
        <v>195</v>
      </c>
      <c r="T1214" s="99"/>
      <c r="U1214" s="99"/>
      <c r="V1214" s="99"/>
      <c r="W1214" s="99"/>
      <c r="X1214" s="99"/>
      <c r="Y1214" s="99"/>
      <c r="Z1214" s="99"/>
      <c r="AA1214" s="99"/>
      <c r="AB1214" s="99"/>
      <c r="AC1214" s="99"/>
      <c r="AD1214" s="99"/>
      <c r="AE1214" s="99"/>
      <c r="AF1214" s="99"/>
      <c r="AG1214" s="99"/>
      <c r="AH1214" s="99"/>
      <c r="AI1214" s="99"/>
      <c r="AJ1214" s="99"/>
      <c r="AK1214" s="99"/>
      <c r="AL1214" s="99"/>
      <c r="AM1214" s="99"/>
    </row>
    <row r="1215" ht="12.75" customHeight="1">
      <c r="A1215" s="110" t="s">
        <v>58</v>
      </c>
      <c r="D1215" s="145" t="s">
        <v>34</v>
      </c>
      <c r="G1215" s="104"/>
      <c r="H1215" s="133"/>
      <c r="I1215" s="104"/>
      <c r="J1215" s="134">
        <f t="shared" ref="J1215:K1215" si="1173">J1217</f>
        <v>48000000</v>
      </c>
      <c r="K1215" s="46" t="str">
        <f t="shared" si="1173"/>
        <v/>
      </c>
      <c r="L1215" s="105"/>
      <c r="M1215" s="106"/>
      <c r="N1215" s="105"/>
      <c r="O1215" s="46">
        <f t="shared" ref="O1215:P1215" si="1174">O1217</f>
        <v>48000000</v>
      </c>
      <c r="P1215" s="46">
        <f t="shared" si="1174"/>
        <v>47000000</v>
      </c>
      <c r="Q1215" s="46">
        <v>4.8E7</v>
      </c>
      <c r="R1215" s="153"/>
      <c r="S1215" s="153"/>
      <c r="T1215" s="99"/>
      <c r="U1215" s="99"/>
      <c r="V1215" s="99"/>
      <c r="W1215" s="99"/>
      <c r="X1215" s="99"/>
      <c r="Y1215" s="99"/>
      <c r="Z1215" s="99"/>
      <c r="AA1215" s="99"/>
      <c r="AB1215" s="99"/>
      <c r="AC1215" s="99"/>
      <c r="AD1215" s="99"/>
      <c r="AE1215" s="99"/>
      <c r="AF1215" s="99"/>
      <c r="AG1215" s="99"/>
      <c r="AH1215" s="99"/>
      <c r="AI1215" s="99"/>
      <c r="AJ1215" s="99"/>
      <c r="AK1215" s="99"/>
      <c r="AL1215" s="99"/>
      <c r="AM1215" s="99"/>
    </row>
    <row r="1216" ht="12.75" customHeight="1">
      <c r="A1216" s="104"/>
      <c r="B1216" s="104"/>
      <c r="C1216" s="104"/>
      <c r="D1216" s="110" t="s">
        <v>23</v>
      </c>
      <c r="G1216" s="104"/>
      <c r="H1216" s="104"/>
      <c r="I1216" s="104"/>
      <c r="J1216" s="111"/>
      <c r="K1216" s="111"/>
      <c r="L1216" s="105"/>
      <c r="M1216" s="106"/>
      <c r="N1216" s="105"/>
      <c r="O1216" s="111"/>
      <c r="P1216" s="111"/>
      <c r="Q1216" s="111"/>
      <c r="R1216" s="153"/>
      <c r="S1216" s="153"/>
      <c r="T1216" s="99"/>
      <c r="U1216" s="99"/>
      <c r="V1216" s="99"/>
      <c r="W1216" s="99"/>
      <c r="X1216" s="99"/>
      <c r="Y1216" s="99"/>
      <c r="Z1216" s="99"/>
      <c r="AA1216" s="99"/>
      <c r="AB1216" s="99"/>
      <c r="AC1216" s="99"/>
      <c r="AD1216" s="99"/>
      <c r="AE1216" s="99"/>
      <c r="AF1216" s="99"/>
      <c r="AG1216" s="99"/>
      <c r="AH1216" s="99"/>
      <c r="AI1216" s="99"/>
      <c r="AJ1216" s="99"/>
      <c r="AK1216" s="99"/>
      <c r="AL1216" s="99"/>
      <c r="AM1216" s="99"/>
    </row>
    <row r="1217" ht="15.75" customHeight="1">
      <c r="A1217" s="104"/>
      <c r="B1217" s="104"/>
      <c r="C1217" s="104"/>
      <c r="D1217" s="110" t="s">
        <v>24</v>
      </c>
      <c r="E1217" s="110" t="s">
        <v>71</v>
      </c>
      <c r="G1217" s="136">
        <v>96.0</v>
      </c>
      <c r="H1217" s="136" t="s">
        <v>26</v>
      </c>
      <c r="I1217" s="137">
        <v>500000.0</v>
      </c>
      <c r="J1217" s="46">
        <f>G1217*I1217</f>
        <v>48000000</v>
      </c>
      <c r="K1217" s="46"/>
      <c r="L1217" s="105"/>
      <c r="M1217" s="154">
        <v>1000000.0</v>
      </c>
      <c r="N1217" s="105"/>
      <c r="O1217" s="46">
        <f>J1217-K1217</f>
        <v>48000000</v>
      </c>
      <c r="P1217" s="46">
        <f>J1217-M1217</f>
        <v>47000000</v>
      </c>
      <c r="Q1217" s="46">
        <v>4.8E7</v>
      </c>
      <c r="R1217" s="154"/>
      <c r="S1217" s="155" t="s">
        <v>361</v>
      </c>
      <c r="T1217" s="99"/>
      <c r="U1217" s="99"/>
      <c r="V1217" s="99"/>
      <c r="W1217" s="99"/>
      <c r="X1217" s="99"/>
      <c r="Y1217" s="99"/>
      <c r="Z1217" s="99"/>
      <c r="AA1217" s="99"/>
      <c r="AB1217" s="99"/>
      <c r="AC1217" s="99"/>
      <c r="AD1217" s="99"/>
      <c r="AE1217" s="99"/>
      <c r="AF1217" s="99"/>
      <c r="AG1217" s="99"/>
      <c r="AH1217" s="99"/>
      <c r="AI1217" s="99"/>
      <c r="AJ1217" s="99"/>
      <c r="AK1217" s="99"/>
      <c r="AL1217" s="99"/>
      <c r="AM1217" s="99"/>
    </row>
    <row r="1218" ht="12.75" customHeight="1">
      <c r="A1218" s="144" t="s">
        <v>72</v>
      </c>
      <c r="D1218" s="144" t="s">
        <v>73</v>
      </c>
      <c r="G1218" s="104"/>
      <c r="H1218" s="128"/>
      <c r="I1218" s="104"/>
      <c r="J1218" s="129">
        <f t="shared" ref="J1218:K1218" si="1175">J1219+J1224</f>
        <v>151200000</v>
      </c>
      <c r="K1218" s="43">
        <f t="shared" si="1175"/>
        <v>0</v>
      </c>
      <c r="L1218" s="105"/>
      <c r="M1218" s="106"/>
      <c r="N1218" s="105"/>
      <c r="O1218" s="43">
        <f t="shared" ref="O1218:P1218" si="1176">O1219+O1224</f>
        <v>151200000</v>
      </c>
      <c r="P1218" s="43">
        <f t="shared" si="1176"/>
        <v>150860000</v>
      </c>
      <c r="Q1218" s="43">
        <v>1.512E8</v>
      </c>
      <c r="R1218" s="153"/>
      <c r="S1218" s="153"/>
      <c r="T1218" s="99"/>
      <c r="U1218" s="99"/>
      <c r="V1218" s="99"/>
      <c r="W1218" s="99"/>
      <c r="X1218" s="99"/>
      <c r="Y1218" s="99"/>
      <c r="Z1218" s="99"/>
      <c r="AA1218" s="99"/>
      <c r="AB1218" s="99"/>
      <c r="AC1218" s="99"/>
      <c r="AD1218" s="99"/>
      <c r="AE1218" s="99"/>
      <c r="AF1218" s="99"/>
      <c r="AG1218" s="99"/>
      <c r="AH1218" s="99"/>
      <c r="AI1218" s="99"/>
      <c r="AJ1218" s="99"/>
      <c r="AK1218" s="99"/>
      <c r="AL1218" s="99"/>
      <c r="AM1218" s="99"/>
    </row>
    <row r="1219" ht="12.75" customHeight="1">
      <c r="A1219" s="110" t="s">
        <v>74</v>
      </c>
      <c r="D1219" s="145" t="s">
        <v>75</v>
      </c>
      <c r="G1219" s="104"/>
      <c r="H1219" s="133"/>
      <c r="I1219" s="104"/>
      <c r="J1219" s="134">
        <f t="shared" ref="J1219:K1219" si="1177">SUM(J1221:J1223)</f>
        <v>142700000</v>
      </c>
      <c r="K1219" s="46">
        <f t="shared" si="1177"/>
        <v>0</v>
      </c>
      <c r="L1219" s="105"/>
      <c r="M1219" s="106"/>
      <c r="N1219" s="105"/>
      <c r="O1219" s="46">
        <f t="shared" ref="O1219:P1219" si="1178">SUM(O1221:O1223)</f>
        <v>142700000</v>
      </c>
      <c r="P1219" s="46">
        <f t="shared" si="1178"/>
        <v>142700000</v>
      </c>
      <c r="Q1219" s="46">
        <v>1.427E8</v>
      </c>
      <c r="R1219" s="153"/>
      <c r="S1219" s="153"/>
      <c r="T1219" s="99"/>
      <c r="U1219" s="99"/>
      <c r="V1219" s="99"/>
      <c r="W1219" s="99"/>
      <c r="X1219" s="99"/>
      <c r="Y1219" s="99"/>
      <c r="Z1219" s="99"/>
      <c r="AA1219" s="99"/>
      <c r="AB1219" s="99"/>
      <c r="AC1219" s="99"/>
      <c r="AD1219" s="99"/>
      <c r="AE1219" s="99"/>
      <c r="AF1219" s="99"/>
      <c r="AG1219" s="99"/>
      <c r="AH1219" s="99"/>
      <c r="AI1219" s="99"/>
      <c r="AJ1219" s="99"/>
      <c r="AK1219" s="99"/>
      <c r="AL1219" s="99"/>
      <c r="AM1219" s="99"/>
    </row>
    <row r="1220" ht="12.75" customHeight="1">
      <c r="A1220" s="104"/>
      <c r="B1220" s="104"/>
      <c r="C1220" s="104"/>
      <c r="D1220" s="110" t="s">
        <v>23</v>
      </c>
      <c r="G1220" s="104"/>
      <c r="H1220" s="104"/>
      <c r="I1220" s="104"/>
      <c r="J1220" s="111"/>
      <c r="K1220" s="111"/>
      <c r="L1220" s="105"/>
      <c r="M1220" s="106"/>
      <c r="N1220" s="105"/>
      <c r="O1220" s="111"/>
      <c r="P1220" s="111"/>
      <c r="Q1220" s="111"/>
      <c r="R1220" s="153"/>
      <c r="S1220" s="153"/>
      <c r="T1220" s="99"/>
      <c r="U1220" s="99"/>
      <c r="V1220" s="99"/>
      <c r="W1220" s="99"/>
      <c r="X1220" s="99"/>
      <c r="Y1220" s="99"/>
      <c r="Z1220" s="99"/>
      <c r="AA1220" s="99"/>
      <c r="AB1220" s="99"/>
      <c r="AC1220" s="99"/>
      <c r="AD1220" s="99"/>
      <c r="AE1220" s="99"/>
      <c r="AF1220" s="99"/>
      <c r="AG1220" s="99"/>
      <c r="AH1220" s="99"/>
      <c r="AI1220" s="99"/>
      <c r="AJ1220" s="99"/>
      <c r="AK1220" s="99"/>
      <c r="AL1220" s="99"/>
      <c r="AM1220" s="99"/>
    </row>
    <row r="1221" ht="12.75" customHeight="1">
      <c r="A1221" s="104"/>
      <c r="B1221" s="104"/>
      <c r="C1221" s="104"/>
      <c r="D1221" s="110" t="s">
        <v>24</v>
      </c>
      <c r="E1221" s="110" t="s">
        <v>76</v>
      </c>
      <c r="G1221" s="136">
        <v>20.0</v>
      </c>
      <c r="H1221" s="136" t="s">
        <v>26</v>
      </c>
      <c r="I1221" s="137">
        <v>5000000.0</v>
      </c>
      <c r="J1221" s="46">
        <f t="shared" ref="J1221:J1223" si="1179">G1221*I1221</f>
        <v>100000000</v>
      </c>
      <c r="K1221" s="46"/>
      <c r="L1221" s="105"/>
      <c r="M1221" s="106"/>
      <c r="N1221" s="105"/>
      <c r="O1221" s="46">
        <f t="shared" ref="O1221:O1223" si="1180">J1221-K1221</f>
        <v>100000000</v>
      </c>
      <c r="P1221" s="46">
        <f t="shared" ref="P1221:P1223" si="1181">J1221-M1221</f>
        <v>100000000</v>
      </c>
      <c r="Q1221" s="46">
        <v>1.0E8</v>
      </c>
      <c r="R1221" s="153"/>
      <c r="S1221" s="153"/>
      <c r="T1221" s="99"/>
      <c r="U1221" s="99"/>
      <c r="V1221" s="99"/>
      <c r="W1221" s="99"/>
      <c r="X1221" s="99"/>
      <c r="Y1221" s="99"/>
      <c r="Z1221" s="99"/>
      <c r="AA1221" s="99"/>
      <c r="AB1221" s="99"/>
      <c r="AC1221" s="99"/>
      <c r="AD1221" s="99"/>
      <c r="AE1221" s="99"/>
      <c r="AF1221" s="99"/>
      <c r="AG1221" s="99"/>
      <c r="AH1221" s="99"/>
      <c r="AI1221" s="99"/>
      <c r="AJ1221" s="99"/>
      <c r="AK1221" s="99"/>
      <c r="AL1221" s="99"/>
      <c r="AM1221" s="99"/>
    </row>
    <row r="1222" ht="15.75" customHeight="1">
      <c r="A1222" s="104"/>
      <c r="B1222" s="104"/>
      <c r="C1222" s="104"/>
      <c r="D1222" s="110" t="s">
        <v>24</v>
      </c>
      <c r="E1222" s="110" t="s">
        <v>77</v>
      </c>
      <c r="G1222" s="136">
        <v>30.0</v>
      </c>
      <c r="H1222" s="136" t="s">
        <v>26</v>
      </c>
      <c r="I1222" s="137">
        <v>850000.0</v>
      </c>
      <c r="J1222" s="46">
        <f t="shared" si="1179"/>
        <v>25500000</v>
      </c>
      <c r="K1222" s="46"/>
      <c r="L1222" s="105"/>
      <c r="M1222" s="106"/>
      <c r="N1222" s="105"/>
      <c r="O1222" s="46">
        <f t="shared" si="1180"/>
        <v>25500000</v>
      </c>
      <c r="P1222" s="46">
        <f t="shared" si="1181"/>
        <v>25500000</v>
      </c>
      <c r="Q1222" s="46">
        <v>2.55E7</v>
      </c>
      <c r="R1222" s="153"/>
      <c r="S1222" s="153"/>
      <c r="T1222" s="99"/>
      <c r="U1222" s="99"/>
      <c r="V1222" s="99"/>
      <c r="W1222" s="99"/>
      <c r="X1222" s="99"/>
      <c r="Y1222" s="99"/>
      <c r="Z1222" s="99"/>
      <c r="AA1222" s="99"/>
      <c r="AB1222" s="99"/>
      <c r="AC1222" s="99"/>
      <c r="AD1222" s="99"/>
      <c r="AE1222" s="99"/>
      <c r="AF1222" s="99"/>
      <c r="AG1222" s="99"/>
      <c r="AH1222" s="99"/>
      <c r="AI1222" s="99"/>
      <c r="AJ1222" s="99"/>
      <c r="AK1222" s="99"/>
      <c r="AL1222" s="99"/>
      <c r="AM1222" s="99"/>
    </row>
    <row r="1223" ht="12.75" customHeight="1">
      <c r="A1223" s="104"/>
      <c r="B1223" s="104"/>
      <c r="C1223" s="104"/>
      <c r="D1223" s="110" t="s">
        <v>24</v>
      </c>
      <c r="E1223" s="110" t="s">
        <v>78</v>
      </c>
      <c r="G1223" s="136">
        <v>40.0</v>
      </c>
      <c r="H1223" s="136" t="s">
        <v>26</v>
      </c>
      <c r="I1223" s="137">
        <v>430000.0</v>
      </c>
      <c r="J1223" s="46">
        <f t="shared" si="1179"/>
        <v>17200000</v>
      </c>
      <c r="K1223" s="46"/>
      <c r="L1223" s="105"/>
      <c r="M1223" s="106"/>
      <c r="N1223" s="105"/>
      <c r="O1223" s="46">
        <f t="shared" si="1180"/>
        <v>17200000</v>
      </c>
      <c r="P1223" s="46">
        <f t="shared" si="1181"/>
        <v>17200000</v>
      </c>
      <c r="Q1223" s="46">
        <v>1.72E7</v>
      </c>
      <c r="R1223" s="153"/>
      <c r="S1223" s="153"/>
      <c r="T1223" s="99"/>
      <c r="U1223" s="99"/>
      <c r="V1223" s="99"/>
      <c r="W1223" s="99"/>
      <c r="X1223" s="99"/>
      <c r="Y1223" s="99"/>
      <c r="Z1223" s="99"/>
      <c r="AA1223" s="99"/>
      <c r="AB1223" s="99"/>
      <c r="AC1223" s="99"/>
      <c r="AD1223" s="99"/>
      <c r="AE1223" s="99"/>
      <c r="AF1223" s="99"/>
      <c r="AG1223" s="99"/>
      <c r="AH1223" s="99"/>
      <c r="AI1223" s="99"/>
      <c r="AJ1223" s="99"/>
      <c r="AK1223" s="99"/>
      <c r="AL1223" s="99"/>
      <c r="AM1223" s="99"/>
    </row>
    <row r="1224" ht="12.75" customHeight="1">
      <c r="A1224" s="110" t="s">
        <v>79</v>
      </c>
      <c r="D1224" s="145" t="s">
        <v>80</v>
      </c>
      <c r="G1224" s="104"/>
      <c r="H1224" s="133"/>
      <c r="I1224" s="104"/>
      <c r="J1224" s="134">
        <f t="shared" ref="J1224:K1224" si="1182">J1226</f>
        <v>8500000</v>
      </c>
      <c r="K1224" s="46" t="str">
        <f t="shared" si="1182"/>
        <v/>
      </c>
      <c r="L1224" s="105"/>
      <c r="M1224" s="106"/>
      <c r="N1224" s="105"/>
      <c r="O1224" s="46">
        <f t="shared" ref="O1224:P1224" si="1183">O1226</f>
        <v>8500000</v>
      </c>
      <c r="P1224" s="46">
        <f t="shared" si="1183"/>
        <v>8160000</v>
      </c>
      <c r="Q1224" s="46">
        <v>8500000.0</v>
      </c>
      <c r="R1224" s="153"/>
      <c r="S1224" s="153"/>
      <c r="T1224" s="99"/>
      <c r="U1224" s="99"/>
      <c r="V1224" s="99"/>
      <c r="W1224" s="99"/>
      <c r="X1224" s="99"/>
      <c r="Y1224" s="99"/>
      <c r="Z1224" s="99"/>
      <c r="AA1224" s="99"/>
      <c r="AB1224" s="99"/>
      <c r="AC1224" s="99"/>
      <c r="AD1224" s="99"/>
      <c r="AE1224" s="99"/>
      <c r="AF1224" s="99"/>
      <c r="AG1224" s="99"/>
      <c r="AH1224" s="99"/>
      <c r="AI1224" s="99"/>
      <c r="AJ1224" s="99"/>
      <c r="AK1224" s="99"/>
      <c r="AL1224" s="99"/>
      <c r="AM1224" s="99"/>
    </row>
    <row r="1225" ht="12.75" customHeight="1">
      <c r="A1225" s="104"/>
      <c r="B1225" s="104"/>
      <c r="C1225" s="104"/>
      <c r="D1225" s="110" t="s">
        <v>23</v>
      </c>
      <c r="G1225" s="104"/>
      <c r="H1225" s="104"/>
      <c r="I1225" s="104"/>
      <c r="J1225" s="111"/>
      <c r="K1225" s="111"/>
      <c r="L1225" s="105"/>
      <c r="M1225" s="106"/>
      <c r="N1225" s="105"/>
      <c r="O1225" s="111"/>
      <c r="P1225" s="111"/>
      <c r="Q1225" s="111"/>
      <c r="R1225" s="153"/>
      <c r="S1225" s="153"/>
      <c r="T1225" s="99"/>
      <c r="U1225" s="99"/>
      <c r="V1225" s="99"/>
      <c r="W1225" s="99"/>
      <c r="X1225" s="99"/>
      <c r="Y1225" s="99"/>
      <c r="Z1225" s="99"/>
      <c r="AA1225" s="99"/>
      <c r="AB1225" s="99"/>
      <c r="AC1225" s="99"/>
      <c r="AD1225" s="99"/>
      <c r="AE1225" s="99"/>
      <c r="AF1225" s="99"/>
      <c r="AG1225" s="99"/>
      <c r="AH1225" s="99"/>
      <c r="AI1225" s="99"/>
      <c r="AJ1225" s="99"/>
      <c r="AK1225" s="99"/>
      <c r="AL1225" s="99"/>
      <c r="AM1225" s="99"/>
    </row>
    <row r="1226" ht="12.75" customHeight="1">
      <c r="A1226" s="104"/>
      <c r="B1226" s="104"/>
      <c r="C1226" s="104"/>
      <c r="D1226" s="110" t="s">
        <v>24</v>
      </c>
      <c r="E1226" s="110" t="s">
        <v>81</v>
      </c>
      <c r="G1226" s="136">
        <v>50.0</v>
      </c>
      <c r="H1226" s="136" t="s">
        <v>26</v>
      </c>
      <c r="I1226" s="137">
        <v>170000.0</v>
      </c>
      <c r="J1226" s="46">
        <f>G1226*I1226</f>
        <v>8500000</v>
      </c>
      <c r="K1226" s="46"/>
      <c r="L1226" s="105"/>
      <c r="M1226" s="154">
        <v>340000.0</v>
      </c>
      <c r="N1226" s="105"/>
      <c r="O1226" s="46">
        <f>J1226-K1226</f>
        <v>8500000</v>
      </c>
      <c r="P1226" s="46">
        <f>J1226-M1226</f>
        <v>8160000</v>
      </c>
      <c r="Q1226" s="46">
        <v>8500000.0</v>
      </c>
      <c r="R1226" s="154">
        <v>340000.0</v>
      </c>
      <c r="S1226" s="155" t="s">
        <v>360</v>
      </c>
      <c r="T1226" s="99"/>
      <c r="U1226" s="99"/>
      <c r="V1226" s="99"/>
      <c r="W1226" s="99"/>
      <c r="X1226" s="99"/>
      <c r="Y1226" s="99"/>
      <c r="Z1226" s="99"/>
      <c r="AA1226" s="99"/>
      <c r="AB1226" s="99"/>
      <c r="AC1226" s="99"/>
      <c r="AD1226" s="99"/>
      <c r="AE1226" s="99"/>
      <c r="AF1226" s="99"/>
      <c r="AG1226" s="99"/>
      <c r="AH1226" s="99"/>
      <c r="AI1226" s="99"/>
      <c r="AJ1226" s="99"/>
      <c r="AK1226" s="99"/>
      <c r="AL1226" s="99"/>
      <c r="AM1226" s="99"/>
    </row>
    <row r="1227" ht="12.75" customHeight="1">
      <c r="A1227" s="144" t="s">
        <v>82</v>
      </c>
      <c r="D1227" s="144" t="s">
        <v>83</v>
      </c>
      <c r="G1227" s="104"/>
      <c r="H1227" s="128"/>
      <c r="I1227" s="104"/>
      <c r="J1227" s="129">
        <f t="shared" ref="J1227:K1227" si="1184">J1228+J1233</f>
        <v>1434000000</v>
      </c>
      <c r="K1227" s="43">
        <f t="shared" si="1184"/>
        <v>0</v>
      </c>
      <c r="L1227" s="105"/>
      <c r="M1227" s="106"/>
      <c r="N1227" s="105"/>
      <c r="O1227" s="43">
        <f t="shared" ref="O1227:P1227" si="1185">O1228+O1233</f>
        <v>1434000000</v>
      </c>
      <c r="P1227" s="43">
        <f t="shared" si="1185"/>
        <v>1108753000</v>
      </c>
      <c r="Q1227" s="43">
        <v>1.434E9</v>
      </c>
      <c r="R1227" s="153"/>
      <c r="S1227" s="153"/>
      <c r="T1227" s="99"/>
      <c r="U1227" s="99"/>
      <c r="V1227" s="99"/>
      <c r="W1227" s="99"/>
      <c r="X1227" s="99"/>
      <c r="Y1227" s="99"/>
      <c r="Z1227" s="99"/>
      <c r="AA1227" s="99"/>
      <c r="AB1227" s="99"/>
      <c r="AC1227" s="99"/>
      <c r="AD1227" s="99"/>
      <c r="AE1227" s="99"/>
      <c r="AF1227" s="99"/>
      <c r="AG1227" s="99"/>
      <c r="AH1227" s="99"/>
      <c r="AI1227" s="99"/>
      <c r="AJ1227" s="99"/>
      <c r="AK1227" s="99"/>
      <c r="AL1227" s="99"/>
      <c r="AM1227" s="99"/>
    </row>
    <row r="1228" ht="12.75" customHeight="1">
      <c r="A1228" s="110" t="s">
        <v>84</v>
      </c>
      <c r="D1228" s="145" t="s">
        <v>85</v>
      </c>
      <c r="G1228" s="104"/>
      <c r="H1228" s="133"/>
      <c r="I1228" s="104"/>
      <c r="J1228" s="134">
        <f t="shared" ref="J1228:K1228" si="1186">SUM(J1230:J1232)</f>
        <v>1320000000</v>
      </c>
      <c r="K1228" s="46">
        <f t="shared" si="1186"/>
        <v>0</v>
      </c>
      <c r="L1228" s="105"/>
      <c r="M1228" s="106"/>
      <c r="N1228" s="105"/>
      <c r="O1228" s="46">
        <f t="shared" ref="O1228:P1228" si="1187">SUM(O1230:O1232)</f>
        <v>1320000000</v>
      </c>
      <c r="P1228" s="46">
        <f t="shared" si="1187"/>
        <v>995353000</v>
      </c>
      <c r="Q1228" s="46">
        <v>1.32E9</v>
      </c>
      <c r="R1228" s="153"/>
      <c r="S1228" s="153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  <c r="AG1228" s="99"/>
      <c r="AH1228" s="99"/>
      <c r="AI1228" s="99"/>
      <c r="AJ1228" s="99"/>
      <c r="AK1228" s="99"/>
      <c r="AL1228" s="99"/>
      <c r="AM1228" s="99"/>
    </row>
    <row r="1229" ht="12.75" customHeight="1">
      <c r="A1229" s="104"/>
      <c r="B1229" s="104"/>
      <c r="C1229" s="104"/>
      <c r="D1229" s="110" t="s">
        <v>23</v>
      </c>
      <c r="G1229" s="104"/>
      <c r="H1229" s="104"/>
      <c r="I1229" s="104"/>
      <c r="J1229" s="111"/>
      <c r="K1229" s="111"/>
      <c r="L1229" s="105"/>
      <c r="M1229" s="106"/>
      <c r="N1229" s="105"/>
      <c r="O1229" s="111"/>
      <c r="P1229" s="111"/>
      <c r="Q1229" s="111"/>
      <c r="R1229" s="153"/>
      <c r="S1229" s="153"/>
      <c r="T1229" s="99"/>
      <c r="U1229" s="99"/>
      <c r="V1229" s="99"/>
      <c r="W1229" s="99"/>
      <c r="X1229" s="99"/>
      <c r="Y1229" s="99"/>
      <c r="Z1229" s="99"/>
      <c r="AA1229" s="99"/>
      <c r="AB1229" s="99"/>
      <c r="AC1229" s="99"/>
      <c r="AD1229" s="99"/>
      <c r="AE1229" s="99"/>
      <c r="AF1229" s="99"/>
      <c r="AG1229" s="99"/>
      <c r="AH1229" s="99"/>
      <c r="AI1229" s="99"/>
      <c r="AJ1229" s="99"/>
      <c r="AK1229" s="99"/>
      <c r="AL1229" s="99"/>
      <c r="AM1229" s="99"/>
    </row>
    <row r="1230" ht="12.75" customHeight="1">
      <c r="A1230" s="104"/>
      <c r="B1230" s="104"/>
      <c r="C1230" s="104"/>
      <c r="D1230" s="110" t="s">
        <v>24</v>
      </c>
      <c r="E1230" s="110" t="s">
        <v>168</v>
      </c>
      <c r="G1230" s="136">
        <v>54750.0</v>
      </c>
      <c r="H1230" s="136" t="s">
        <v>87</v>
      </c>
      <c r="I1230" s="137">
        <v>15000.0</v>
      </c>
      <c r="J1230" s="46">
        <f t="shared" ref="J1230:J1232" si="1188">G1230*I1230</f>
        <v>821250000</v>
      </c>
      <c r="K1230" s="46"/>
      <c r="L1230" s="105"/>
      <c r="M1230" s="156">
        <v>2.33235E8</v>
      </c>
      <c r="N1230" s="105"/>
      <c r="O1230" s="46">
        <f t="shared" ref="O1230:O1232" si="1189">J1230-K1230</f>
        <v>821250000</v>
      </c>
      <c r="P1230" s="46">
        <f t="shared" ref="P1230:P1232" si="1190">J1230-M1230</f>
        <v>588015000</v>
      </c>
      <c r="Q1230" s="46">
        <v>8.2125E8</v>
      </c>
      <c r="R1230" s="154"/>
      <c r="S1230" s="155" t="s">
        <v>363</v>
      </c>
      <c r="T1230" s="99"/>
      <c r="U1230" s="99"/>
      <c r="V1230" s="99"/>
      <c r="W1230" s="99"/>
      <c r="X1230" s="99"/>
      <c r="Y1230" s="99"/>
      <c r="Z1230" s="99"/>
      <c r="AA1230" s="99"/>
      <c r="AB1230" s="99"/>
      <c r="AC1230" s="99"/>
      <c r="AD1230" s="99"/>
      <c r="AE1230" s="99"/>
      <c r="AF1230" s="99"/>
      <c r="AG1230" s="99"/>
      <c r="AH1230" s="99"/>
      <c r="AI1230" s="99"/>
      <c r="AJ1230" s="99"/>
      <c r="AK1230" s="99"/>
      <c r="AL1230" s="99"/>
      <c r="AM1230" s="99"/>
    </row>
    <row r="1231" ht="12.75" customHeight="1">
      <c r="A1231" s="104"/>
      <c r="B1231" s="104"/>
      <c r="C1231" s="104"/>
      <c r="D1231" s="110" t="s">
        <v>24</v>
      </c>
      <c r="E1231" s="110" t="s">
        <v>88</v>
      </c>
      <c r="G1231" s="136">
        <v>9000.0</v>
      </c>
      <c r="H1231" s="136" t="s">
        <v>87</v>
      </c>
      <c r="I1231" s="137">
        <v>25000.0</v>
      </c>
      <c r="J1231" s="46">
        <f t="shared" si="1188"/>
        <v>225000000</v>
      </c>
      <c r="K1231" s="46"/>
      <c r="L1231" s="105"/>
      <c r="M1231" s="156">
        <f>4531000+3381000+6325000</f>
        <v>14237000</v>
      </c>
      <c r="N1231" s="105"/>
      <c r="O1231" s="46">
        <f t="shared" si="1189"/>
        <v>225000000</v>
      </c>
      <c r="P1231" s="46">
        <f t="shared" si="1190"/>
        <v>210763000</v>
      </c>
      <c r="Q1231" s="46">
        <v>2.25E8</v>
      </c>
      <c r="R1231" s="154"/>
      <c r="S1231" s="155" t="s">
        <v>364</v>
      </c>
      <c r="T1231" s="99"/>
      <c r="U1231" s="99"/>
      <c r="V1231" s="99"/>
      <c r="W1231" s="99"/>
      <c r="X1231" s="99"/>
      <c r="Y1231" s="99"/>
      <c r="Z1231" s="99"/>
      <c r="AA1231" s="99"/>
      <c r="AB1231" s="99"/>
      <c r="AC1231" s="99"/>
      <c r="AD1231" s="99"/>
      <c r="AE1231" s="99"/>
      <c r="AF1231" s="99"/>
      <c r="AG1231" s="99"/>
      <c r="AH1231" s="99"/>
      <c r="AI1231" s="99"/>
      <c r="AJ1231" s="99"/>
      <c r="AK1231" s="99"/>
      <c r="AL1231" s="99"/>
      <c r="AM1231" s="99"/>
    </row>
    <row r="1232" ht="12.75" customHeight="1">
      <c r="A1232" s="104"/>
      <c r="B1232" s="104"/>
      <c r="C1232" s="104"/>
      <c r="D1232" s="110" t="s">
        <v>24</v>
      </c>
      <c r="E1232" s="110" t="s">
        <v>169</v>
      </c>
      <c r="G1232" s="136">
        <v>36500.0</v>
      </c>
      <c r="H1232" s="136" t="s">
        <v>87</v>
      </c>
      <c r="I1232" s="137">
        <v>7500.0</v>
      </c>
      <c r="J1232" s="46">
        <f t="shared" si="1188"/>
        <v>273750000</v>
      </c>
      <c r="K1232" s="46"/>
      <c r="L1232" s="105"/>
      <c r="M1232" s="156">
        <v>7.7175E7</v>
      </c>
      <c r="N1232" s="105"/>
      <c r="O1232" s="46">
        <f t="shared" si="1189"/>
        <v>273750000</v>
      </c>
      <c r="P1232" s="46">
        <f t="shared" si="1190"/>
        <v>196575000</v>
      </c>
      <c r="Q1232" s="46">
        <v>2.7375E8</v>
      </c>
      <c r="R1232" s="154"/>
      <c r="S1232" s="155" t="s">
        <v>363</v>
      </c>
      <c r="T1232" s="99"/>
      <c r="U1232" s="99"/>
      <c r="V1232" s="99"/>
      <c r="W1232" s="99"/>
      <c r="X1232" s="99"/>
      <c r="Y1232" s="99"/>
      <c r="Z1232" s="99"/>
      <c r="AA1232" s="99"/>
      <c r="AB1232" s="99"/>
      <c r="AC1232" s="99"/>
      <c r="AD1232" s="99"/>
      <c r="AE1232" s="99"/>
      <c r="AF1232" s="99"/>
      <c r="AG1232" s="99"/>
      <c r="AH1232" s="99"/>
      <c r="AI1232" s="99"/>
      <c r="AJ1232" s="99"/>
      <c r="AK1232" s="99"/>
      <c r="AL1232" s="99"/>
      <c r="AM1232" s="99"/>
    </row>
    <row r="1233" ht="12.75" customHeight="1">
      <c r="A1233" s="110" t="s">
        <v>63</v>
      </c>
      <c r="D1233" s="145" t="s">
        <v>64</v>
      </c>
      <c r="G1233" s="104"/>
      <c r="H1233" s="133"/>
      <c r="I1233" s="104"/>
      <c r="J1233" s="134">
        <f>SUM(J1235:J1236)</f>
        <v>114000000</v>
      </c>
      <c r="K1233" s="46">
        <f t="shared" ref="K1233:P1233" si="1191">K1235+K1236</f>
        <v>0</v>
      </c>
      <c r="L1233" s="46">
        <f t="shared" si="1191"/>
        <v>0</v>
      </c>
      <c r="M1233" s="146">
        <f t="shared" si="1191"/>
        <v>600000</v>
      </c>
      <c r="N1233" s="46">
        <f t="shared" si="1191"/>
        <v>0</v>
      </c>
      <c r="O1233" s="46">
        <f t="shared" si="1191"/>
        <v>114000000</v>
      </c>
      <c r="P1233" s="46">
        <f t="shared" si="1191"/>
        <v>113400000</v>
      </c>
      <c r="Q1233" s="46">
        <v>1.14E8</v>
      </c>
      <c r="R1233" s="153"/>
      <c r="S1233" s="153"/>
      <c r="T1233" s="99"/>
      <c r="U1233" s="99"/>
      <c r="V1233" s="99"/>
      <c r="W1233" s="99"/>
      <c r="X1233" s="99"/>
      <c r="Y1233" s="99"/>
      <c r="Z1233" s="99"/>
      <c r="AA1233" s="99"/>
      <c r="AB1233" s="99"/>
      <c r="AC1233" s="99"/>
      <c r="AD1233" s="99"/>
      <c r="AE1233" s="99"/>
      <c r="AF1233" s="99"/>
      <c r="AG1233" s="99"/>
      <c r="AH1233" s="99"/>
      <c r="AI1233" s="99"/>
      <c r="AJ1233" s="99"/>
      <c r="AK1233" s="99"/>
      <c r="AL1233" s="99"/>
      <c r="AM1233" s="99"/>
    </row>
    <row r="1234" ht="12.75" customHeight="1">
      <c r="A1234" s="104"/>
      <c r="B1234" s="104"/>
      <c r="C1234" s="104"/>
      <c r="D1234" s="110" t="s">
        <v>23</v>
      </c>
      <c r="G1234" s="104"/>
      <c r="H1234" s="104"/>
      <c r="I1234" s="104"/>
      <c r="J1234" s="111"/>
      <c r="K1234" s="111"/>
      <c r="L1234" s="105"/>
      <c r="M1234" s="106"/>
      <c r="N1234" s="105"/>
      <c r="O1234" s="111"/>
      <c r="P1234" s="111"/>
      <c r="Q1234" s="111"/>
      <c r="R1234" s="153"/>
      <c r="S1234" s="153"/>
      <c r="T1234" s="99"/>
      <c r="U1234" s="99"/>
      <c r="V1234" s="99"/>
      <c r="W1234" s="99"/>
      <c r="X1234" s="99"/>
      <c r="Y1234" s="99"/>
      <c r="Z1234" s="99"/>
      <c r="AA1234" s="99"/>
      <c r="AB1234" s="99"/>
      <c r="AC1234" s="99"/>
      <c r="AD1234" s="99"/>
      <c r="AE1234" s="99"/>
      <c r="AF1234" s="99"/>
      <c r="AG1234" s="99"/>
      <c r="AH1234" s="99"/>
      <c r="AI1234" s="99"/>
      <c r="AJ1234" s="99"/>
      <c r="AK1234" s="99"/>
      <c r="AL1234" s="99"/>
      <c r="AM1234" s="99"/>
    </row>
    <row r="1235" ht="12.75" customHeight="1">
      <c r="A1235" s="104"/>
      <c r="B1235" s="104"/>
      <c r="C1235" s="104"/>
      <c r="D1235" s="110" t="s">
        <v>24</v>
      </c>
      <c r="E1235" s="110" t="s">
        <v>90</v>
      </c>
      <c r="G1235" s="136">
        <v>180.0</v>
      </c>
      <c r="H1235" s="136" t="s">
        <v>87</v>
      </c>
      <c r="I1235" s="137">
        <v>500000.0</v>
      </c>
      <c r="J1235" s="46">
        <f t="shared" ref="J1235:J1236" si="1192">G1235*I1235</f>
        <v>90000000</v>
      </c>
      <c r="K1235" s="46"/>
      <c r="L1235" s="105"/>
      <c r="M1235" s="106"/>
      <c r="N1235" s="105"/>
      <c r="O1235" s="46">
        <f t="shared" ref="O1235:O1236" si="1193">J1235-K1235</f>
        <v>90000000</v>
      </c>
      <c r="P1235" s="46">
        <f t="shared" ref="P1235:P1236" si="1194">J1235-M1235</f>
        <v>90000000</v>
      </c>
      <c r="Q1235" s="46">
        <v>9.0E7</v>
      </c>
      <c r="R1235" s="153"/>
      <c r="S1235" s="153"/>
      <c r="T1235" s="99"/>
      <c r="U1235" s="99"/>
      <c r="V1235" s="99"/>
      <c r="W1235" s="99"/>
      <c r="X1235" s="99"/>
      <c r="Y1235" s="99"/>
      <c r="Z1235" s="99"/>
      <c r="AA1235" s="99"/>
      <c r="AB1235" s="99"/>
      <c r="AC1235" s="99"/>
      <c r="AD1235" s="99"/>
      <c r="AE1235" s="99"/>
      <c r="AF1235" s="99"/>
      <c r="AG1235" s="99"/>
      <c r="AH1235" s="99"/>
      <c r="AI1235" s="99"/>
      <c r="AJ1235" s="99"/>
      <c r="AK1235" s="99"/>
      <c r="AL1235" s="99"/>
      <c r="AM1235" s="99"/>
    </row>
    <row r="1236" ht="12.75" customHeight="1">
      <c r="A1236" s="104"/>
      <c r="B1236" s="104"/>
      <c r="C1236" s="104"/>
      <c r="D1236" s="110" t="s">
        <v>24</v>
      </c>
      <c r="E1236" s="110" t="s">
        <v>170</v>
      </c>
      <c r="G1236" s="136">
        <v>600.0</v>
      </c>
      <c r="H1236" s="136" t="s">
        <v>87</v>
      </c>
      <c r="I1236" s="137">
        <v>40000.0</v>
      </c>
      <c r="J1236" s="46">
        <f t="shared" si="1192"/>
        <v>24000000</v>
      </c>
      <c r="K1236" s="46"/>
      <c r="L1236" s="105"/>
      <c r="M1236" s="154">
        <v>600000.0</v>
      </c>
      <c r="N1236" s="105"/>
      <c r="O1236" s="46">
        <f t="shared" si="1193"/>
        <v>24000000</v>
      </c>
      <c r="P1236" s="46">
        <f t="shared" si="1194"/>
        <v>23400000</v>
      </c>
      <c r="Q1236" s="46">
        <v>2.4E7</v>
      </c>
      <c r="R1236" s="154"/>
      <c r="S1236" s="155" t="s">
        <v>195</v>
      </c>
      <c r="T1236" s="99"/>
      <c r="U1236" s="99"/>
      <c r="V1236" s="99"/>
      <c r="W1236" s="99"/>
      <c r="X1236" s="99"/>
      <c r="Y1236" s="99"/>
      <c r="Z1236" s="99"/>
      <c r="AA1236" s="99"/>
      <c r="AB1236" s="99"/>
      <c r="AC1236" s="99"/>
      <c r="AD1236" s="99"/>
      <c r="AE1236" s="99"/>
      <c r="AF1236" s="99"/>
      <c r="AG1236" s="99"/>
      <c r="AH1236" s="99"/>
      <c r="AI1236" s="99"/>
      <c r="AJ1236" s="99"/>
      <c r="AK1236" s="99"/>
      <c r="AL1236" s="99"/>
      <c r="AM1236" s="99"/>
    </row>
    <row r="1237" ht="12.75" customHeight="1">
      <c r="A1237" s="144" t="s">
        <v>92</v>
      </c>
      <c r="D1237" s="144" t="s">
        <v>93</v>
      </c>
      <c r="G1237" s="104"/>
      <c r="H1237" s="128"/>
      <c r="I1237" s="104"/>
      <c r="J1237" s="129">
        <f t="shared" ref="J1237:K1237" si="1195">J1238</f>
        <v>41836000</v>
      </c>
      <c r="K1237" s="43">
        <f t="shared" si="1195"/>
        <v>0</v>
      </c>
      <c r="L1237" s="105"/>
      <c r="M1237" s="106"/>
      <c r="N1237" s="105"/>
      <c r="O1237" s="43">
        <f t="shared" ref="O1237:P1237" si="1196">O1238</f>
        <v>41836000</v>
      </c>
      <c r="P1237" s="43">
        <f t="shared" si="1196"/>
        <v>41836000</v>
      </c>
      <c r="Q1237" s="43">
        <v>4.1836E7</v>
      </c>
      <c r="R1237" s="153"/>
      <c r="S1237" s="153"/>
      <c r="T1237" s="99"/>
      <c r="U1237" s="99"/>
      <c r="V1237" s="99"/>
      <c r="W1237" s="99"/>
      <c r="X1237" s="99"/>
      <c r="Y1237" s="99"/>
      <c r="Z1237" s="99"/>
      <c r="AA1237" s="99"/>
      <c r="AB1237" s="99"/>
      <c r="AC1237" s="99"/>
      <c r="AD1237" s="99"/>
      <c r="AE1237" s="99"/>
      <c r="AF1237" s="99"/>
      <c r="AG1237" s="99"/>
      <c r="AH1237" s="99"/>
      <c r="AI1237" s="99"/>
      <c r="AJ1237" s="99"/>
      <c r="AK1237" s="99"/>
      <c r="AL1237" s="99"/>
      <c r="AM1237" s="99"/>
    </row>
    <row r="1238" ht="12.75" customHeight="1">
      <c r="A1238" s="110" t="s">
        <v>68</v>
      </c>
      <c r="D1238" s="145" t="s">
        <v>69</v>
      </c>
      <c r="G1238" s="104"/>
      <c r="H1238" s="133"/>
      <c r="I1238" s="104"/>
      <c r="J1238" s="134">
        <f t="shared" ref="J1238:K1238" si="1197">SUM(J1240:J1241)</f>
        <v>41836000</v>
      </c>
      <c r="K1238" s="46">
        <f t="shared" si="1197"/>
        <v>0</v>
      </c>
      <c r="L1238" s="105"/>
      <c r="M1238" s="106"/>
      <c r="N1238" s="105"/>
      <c r="O1238" s="46">
        <f t="shared" ref="O1238:P1238" si="1198">SUM(O1240:O1241)</f>
        <v>41836000</v>
      </c>
      <c r="P1238" s="46">
        <f t="shared" si="1198"/>
        <v>41836000</v>
      </c>
      <c r="Q1238" s="46">
        <v>4.1836E7</v>
      </c>
      <c r="R1238" s="153"/>
      <c r="S1238" s="153"/>
      <c r="T1238" s="99"/>
      <c r="U1238" s="99"/>
      <c r="V1238" s="99"/>
      <c r="W1238" s="99"/>
      <c r="X1238" s="99"/>
      <c r="Y1238" s="99"/>
      <c r="Z1238" s="99"/>
      <c r="AA1238" s="99"/>
      <c r="AB1238" s="99"/>
      <c r="AC1238" s="99"/>
      <c r="AD1238" s="99"/>
      <c r="AE1238" s="99"/>
      <c r="AF1238" s="99"/>
      <c r="AG1238" s="99"/>
      <c r="AH1238" s="99"/>
      <c r="AI1238" s="99"/>
      <c r="AJ1238" s="99"/>
      <c r="AK1238" s="99"/>
      <c r="AL1238" s="99"/>
      <c r="AM1238" s="99"/>
    </row>
    <row r="1239" ht="12.75" customHeight="1">
      <c r="A1239" s="104"/>
      <c r="B1239" s="104"/>
      <c r="C1239" s="104"/>
      <c r="D1239" s="110" t="s">
        <v>23</v>
      </c>
      <c r="G1239" s="104"/>
      <c r="H1239" s="104"/>
      <c r="I1239" s="104"/>
      <c r="J1239" s="111"/>
      <c r="K1239" s="111"/>
      <c r="L1239" s="105"/>
      <c r="M1239" s="106"/>
      <c r="N1239" s="105"/>
      <c r="O1239" s="111"/>
      <c r="P1239" s="111"/>
      <c r="Q1239" s="111"/>
      <c r="R1239" s="153"/>
      <c r="S1239" s="153"/>
      <c r="T1239" s="99"/>
      <c r="U1239" s="99"/>
      <c r="V1239" s="99"/>
      <c r="W1239" s="99"/>
      <c r="X1239" s="99"/>
      <c r="Y1239" s="99"/>
      <c r="Z1239" s="99"/>
      <c r="AA1239" s="99"/>
      <c r="AB1239" s="99"/>
      <c r="AC1239" s="99"/>
      <c r="AD1239" s="99"/>
      <c r="AE1239" s="99"/>
      <c r="AF1239" s="99"/>
      <c r="AG1239" s="99"/>
      <c r="AH1239" s="99"/>
      <c r="AI1239" s="99"/>
      <c r="AJ1239" s="99"/>
      <c r="AK1239" s="99"/>
      <c r="AL1239" s="99"/>
      <c r="AM1239" s="99"/>
    </row>
    <row r="1240" ht="12.75" customHeight="1">
      <c r="A1240" s="104"/>
      <c r="B1240" s="104"/>
      <c r="C1240" s="104"/>
      <c r="D1240" s="110" t="s">
        <v>24</v>
      </c>
      <c r="E1240" s="110" t="s">
        <v>94</v>
      </c>
      <c r="G1240" s="136">
        <v>12.0</v>
      </c>
      <c r="H1240" s="136" t="s">
        <v>95</v>
      </c>
      <c r="I1240" s="137">
        <v>2500000.0</v>
      </c>
      <c r="J1240" s="46">
        <f t="shared" ref="J1240:J1241" si="1199">G1240*I1240</f>
        <v>30000000</v>
      </c>
      <c r="K1240" s="46"/>
      <c r="L1240" s="105"/>
      <c r="M1240" s="106"/>
      <c r="N1240" s="105"/>
      <c r="O1240" s="46">
        <f t="shared" ref="O1240:O1241" si="1200">J1240-K1240</f>
        <v>30000000</v>
      </c>
      <c r="P1240" s="46">
        <f t="shared" ref="P1240:P1241" si="1201">J1240-M1240</f>
        <v>30000000</v>
      </c>
      <c r="Q1240" s="46">
        <v>3.0E7</v>
      </c>
      <c r="R1240" s="153"/>
      <c r="S1240" s="153"/>
      <c r="T1240" s="99"/>
      <c r="U1240" s="99"/>
      <c r="V1240" s="99"/>
      <c r="W1240" s="99"/>
      <c r="X1240" s="99"/>
      <c r="Y1240" s="99"/>
      <c r="Z1240" s="99"/>
      <c r="AA1240" s="99"/>
      <c r="AB1240" s="99"/>
      <c r="AC1240" s="99"/>
      <c r="AD1240" s="99"/>
      <c r="AE1240" s="99"/>
      <c r="AF1240" s="99"/>
      <c r="AG1240" s="99"/>
      <c r="AH1240" s="99"/>
      <c r="AI1240" s="99"/>
      <c r="AJ1240" s="99"/>
      <c r="AK1240" s="99"/>
      <c r="AL1240" s="99"/>
      <c r="AM1240" s="99"/>
    </row>
    <row r="1241" ht="12.75" customHeight="1">
      <c r="A1241" s="104"/>
      <c r="B1241" s="104"/>
      <c r="C1241" s="104"/>
      <c r="D1241" s="110" t="s">
        <v>24</v>
      </c>
      <c r="E1241" s="110" t="s">
        <v>290</v>
      </c>
      <c r="G1241" s="136">
        <v>1.0</v>
      </c>
      <c r="H1241" s="136" t="s">
        <v>97</v>
      </c>
      <c r="I1241" s="137">
        <v>1.1836E7</v>
      </c>
      <c r="J1241" s="46">
        <f t="shared" si="1199"/>
        <v>11836000</v>
      </c>
      <c r="K1241" s="46"/>
      <c r="L1241" s="105"/>
      <c r="M1241" s="106"/>
      <c r="N1241" s="105"/>
      <c r="O1241" s="46">
        <f t="shared" si="1200"/>
        <v>11836000</v>
      </c>
      <c r="P1241" s="46">
        <f t="shared" si="1201"/>
        <v>11836000</v>
      </c>
      <c r="Q1241" s="46">
        <v>1.1836E7</v>
      </c>
      <c r="R1241" s="153"/>
      <c r="S1241" s="153"/>
      <c r="T1241" s="99"/>
      <c r="U1241" s="99"/>
      <c r="V1241" s="99"/>
      <c r="W1241" s="99"/>
      <c r="X1241" s="99"/>
      <c r="Y1241" s="99"/>
      <c r="Z1241" s="99"/>
      <c r="AA1241" s="99"/>
      <c r="AB1241" s="99"/>
      <c r="AC1241" s="99"/>
      <c r="AD1241" s="99"/>
      <c r="AE1241" s="99"/>
      <c r="AF1241" s="99"/>
      <c r="AG1241" s="99"/>
      <c r="AH1241" s="99"/>
      <c r="AI1241" s="99"/>
      <c r="AJ1241" s="99"/>
      <c r="AK1241" s="99"/>
      <c r="AL1241" s="99"/>
      <c r="AM1241" s="99"/>
    </row>
    <row r="1242" ht="12.75" customHeight="1">
      <c r="A1242" s="144" t="s">
        <v>98</v>
      </c>
      <c r="D1242" s="144" t="s">
        <v>99</v>
      </c>
      <c r="G1242" s="104"/>
      <c r="H1242" s="128"/>
      <c r="I1242" s="104"/>
      <c r="J1242" s="129">
        <f t="shared" ref="J1242:K1242" si="1202">J1243+J1252</f>
        <v>6760000</v>
      </c>
      <c r="K1242" s="43">
        <f t="shared" si="1202"/>
        <v>0</v>
      </c>
      <c r="L1242" s="105"/>
      <c r="M1242" s="106"/>
      <c r="N1242" s="105"/>
      <c r="O1242" s="43">
        <f t="shared" ref="O1242:P1242" si="1203">O1243+O1252</f>
        <v>6760000</v>
      </c>
      <c r="P1242" s="43">
        <f t="shared" si="1203"/>
        <v>6760000</v>
      </c>
      <c r="Q1242" s="43">
        <v>6760000.0</v>
      </c>
      <c r="R1242" s="153"/>
      <c r="S1242" s="153"/>
      <c r="T1242" s="99"/>
      <c r="U1242" s="99"/>
      <c r="V1242" s="99"/>
      <c r="W1242" s="99"/>
      <c r="X1242" s="99"/>
      <c r="Y1242" s="99"/>
      <c r="Z1242" s="99"/>
      <c r="AA1242" s="99"/>
      <c r="AB1242" s="99"/>
      <c r="AC1242" s="99"/>
      <c r="AD1242" s="99"/>
      <c r="AE1242" s="99"/>
      <c r="AF1242" s="99"/>
      <c r="AG1242" s="99"/>
      <c r="AH1242" s="99"/>
      <c r="AI1242" s="99"/>
      <c r="AJ1242" s="99"/>
      <c r="AK1242" s="99"/>
      <c r="AL1242" s="99"/>
      <c r="AM1242" s="99"/>
    </row>
    <row r="1243" ht="12.75" customHeight="1">
      <c r="A1243" s="110" t="s">
        <v>100</v>
      </c>
      <c r="D1243" s="145" t="s">
        <v>101</v>
      </c>
      <c r="G1243" s="104"/>
      <c r="H1243" s="133"/>
      <c r="I1243" s="104"/>
      <c r="J1243" s="134">
        <f t="shared" ref="J1243:K1243" si="1204">SUM(J1245:J1251)</f>
        <v>5600000</v>
      </c>
      <c r="K1243" s="46">
        <f t="shared" si="1204"/>
        <v>0</v>
      </c>
      <c r="L1243" s="105"/>
      <c r="M1243" s="106"/>
      <c r="N1243" s="105"/>
      <c r="O1243" s="46">
        <f t="shared" ref="O1243:P1243" si="1205">SUM(O1245:O1251)</f>
        <v>5600000</v>
      </c>
      <c r="P1243" s="46">
        <f t="shared" si="1205"/>
        <v>5600000</v>
      </c>
      <c r="Q1243" s="46">
        <v>5600000.0</v>
      </c>
      <c r="R1243" s="153"/>
      <c r="S1243" s="153"/>
      <c r="T1243" s="99"/>
      <c r="U1243" s="99"/>
      <c r="V1243" s="99"/>
      <c r="W1243" s="99"/>
      <c r="X1243" s="99"/>
      <c r="Y1243" s="99"/>
      <c r="Z1243" s="99"/>
      <c r="AA1243" s="99"/>
      <c r="AB1243" s="99"/>
      <c r="AC1243" s="99"/>
      <c r="AD1243" s="99"/>
      <c r="AE1243" s="99"/>
      <c r="AF1243" s="99"/>
      <c r="AG1243" s="99"/>
      <c r="AH1243" s="99"/>
      <c r="AI1243" s="99"/>
      <c r="AJ1243" s="99"/>
      <c r="AK1243" s="99"/>
      <c r="AL1243" s="99"/>
      <c r="AM1243" s="99"/>
    </row>
    <row r="1244" ht="12.75" customHeight="1">
      <c r="A1244" s="104"/>
      <c r="B1244" s="104"/>
      <c r="C1244" s="104"/>
      <c r="D1244" s="110" t="s">
        <v>23</v>
      </c>
      <c r="G1244" s="104"/>
      <c r="H1244" s="104"/>
      <c r="I1244" s="104"/>
      <c r="J1244" s="111"/>
      <c r="K1244" s="111"/>
      <c r="L1244" s="105"/>
      <c r="M1244" s="106"/>
      <c r="N1244" s="105"/>
      <c r="O1244" s="111"/>
      <c r="P1244" s="111"/>
      <c r="Q1244" s="111"/>
      <c r="R1244" s="153"/>
      <c r="S1244" s="153"/>
      <c r="T1244" s="99"/>
      <c r="U1244" s="99"/>
      <c r="V1244" s="99"/>
      <c r="W1244" s="99"/>
      <c r="X1244" s="99"/>
      <c r="Y1244" s="99"/>
      <c r="Z1244" s="99"/>
      <c r="AA1244" s="99"/>
      <c r="AB1244" s="99"/>
      <c r="AC1244" s="99"/>
      <c r="AD1244" s="99"/>
      <c r="AE1244" s="99"/>
      <c r="AF1244" s="99"/>
      <c r="AG1244" s="99"/>
      <c r="AH1244" s="99"/>
      <c r="AI1244" s="99"/>
      <c r="AJ1244" s="99"/>
      <c r="AK1244" s="99"/>
      <c r="AL1244" s="99"/>
      <c r="AM1244" s="99"/>
    </row>
    <row r="1245" ht="12.75" customHeight="1">
      <c r="A1245" s="104"/>
      <c r="B1245" s="104"/>
      <c r="C1245" s="104"/>
      <c r="D1245" s="110" t="s">
        <v>24</v>
      </c>
      <c r="E1245" s="110" t="s">
        <v>102</v>
      </c>
      <c r="G1245" s="136">
        <v>2.0</v>
      </c>
      <c r="H1245" s="136" t="s">
        <v>95</v>
      </c>
      <c r="I1245" s="137">
        <v>350000.0</v>
      </c>
      <c r="J1245" s="46">
        <f t="shared" ref="J1245:J1251" si="1206">G1245*I1245</f>
        <v>700000</v>
      </c>
      <c r="K1245" s="46"/>
      <c r="L1245" s="105"/>
      <c r="M1245" s="106"/>
      <c r="N1245" s="105"/>
      <c r="O1245" s="46">
        <f t="shared" ref="O1245:O1251" si="1207">J1245-K1245</f>
        <v>700000</v>
      </c>
      <c r="P1245" s="46">
        <f t="shared" ref="P1245:P1251" si="1208">J1245-M1245</f>
        <v>700000</v>
      </c>
      <c r="Q1245" s="46">
        <v>700000.0</v>
      </c>
      <c r="R1245" s="153"/>
      <c r="S1245" s="153"/>
      <c r="T1245" s="99"/>
      <c r="U1245" s="99"/>
      <c r="V1245" s="99"/>
      <c r="W1245" s="99"/>
      <c r="X1245" s="99"/>
      <c r="Y1245" s="99"/>
      <c r="Z1245" s="99"/>
      <c r="AA1245" s="99"/>
      <c r="AB1245" s="99"/>
      <c r="AC1245" s="99"/>
      <c r="AD1245" s="99"/>
      <c r="AE1245" s="99"/>
      <c r="AF1245" s="99"/>
      <c r="AG1245" s="99"/>
      <c r="AH1245" s="99"/>
      <c r="AI1245" s="99"/>
      <c r="AJ1245" s="99"/>
      <c r="AK1245" s="99"/>
      <c r="AL1245" s="99"/>
      <c r="AM1245" s="99"/>
    </row>
    <row r="1246" ht="12.75" customHeight="1">
      <c r="A1246" s="104"/>
      <c r="B1246" s="104"/>
      <c r="C1246" s="104"/>
      <c r="D1246" s="110" t="s">
        <v>24</v>
      </c>
      <c r="E1246" s="110" t="s">
        <v>103</v>
      </c>
      <c r="G1246" s="136">
        <v>2.0</v>
      </c>
      <c r="H1246" s="136" t="s">
        <v>95</v>
      </c>
      <c r="I1246" s="137">
        <v>225000.0</v>
      </c>
      <c r="J1246" s="46">
        <f t="shared" si="1206"/>
        <v>450000</v>
      </c>
      <c r="K1246" s="46"/>
      <c r="L1246" s="105"/>
      <c r="M1246" s="106"/>
      <c r="N1246" s="105"/>
      <c r="O1246" s="46">
        <f t="shared" si="1207"/>
        <v>450000</v>
      </c>
      <c r="P1246" s="46">
        <f t="shared" si="1208"/>
        <v>450000</v>
      </c>
      <c r="Q1246" s="46">
        <v>450000.0</v>
      </c>
      <c r="R1246" s="153"/>
      <c r="S1246" s="153"/>
      <c r="T1246" s="99"/>
      <c r="U1246" s="99"/>
      <c r="V1246" s="99"/>
      <c r="W1246" s="99"/>
      <c r="X1246" s="99"/>
      <c r="Y1246" s="99"/>
      <c r="Z1246" s="99"/>
      <c r="AA1246" s="99"/>
      <c r="AB1246" s="99"/>
      <c r="AC1246" s="99"/>
      <c r="AD1246" s="99"/>
      <c r="AE1246" s="99"/>
      <c r="AF1246" s="99"/>
      <c r="AG1246" s="99"/>
      <c r="AH1246" s="99"/>
      <c r="AI1246" s="99"/>
      <c r="AJ1246" s="99"/>
      <c r="AK1246" s="99"/>
      <c r="AL1246" s="99"/>
      <c r="AM1246" s="99"/>
    </row>
    <row r="1247" ht="15.75" customHeight="1">
      <c r="A1247" s="104"/>
      <c r="B1247" s="104"/>
      <c r="C1247" s="104"/>
      <c r="D1247" s="110" t="s">
        <v>24</v>
      </c>
      <c r="E1247" s="110" t="s">
        <v>104</v>
      </c>
      <c r="G1247" s="136">
        <v>2.0</v>
      </c>
      <c r="H1247" s="136" t="s">
        <v>95</v>
      </c>
      <c r="I1247" s="137">
        <v>450000.0</v>
      </c>
      <c r="J1247" s="46">
        <f t="shared" si="1206"/>
        <v>900000</v>
      </c>
      <c r="K1247" s="46"/>
      <c r="L1247" s="105"/>
      <c r="M1247" s="106"/>
      <c r="N1247" s="105"/>
      <c r="O1247" s="46">
        <f t="shared" si="1207"/>
        <v>900000</v>
      </c>
      <c r="P1247" s="46">
        <f t="shared" si="1208"/>
        <v>900000</v>
      </c>
      <c r="Q1247" s="46">
        <v>900000.0</v>
      </c>
      <c r="R1247" s="153"/>
      <c r="S1247" s="153"/>
      <c r="T1247" s="99"/>
      <c r="U1247" s="99"/>
      <c r="V1247" s="99"/>
      <c r="W1247" s="99"/>
      <c r="X1247" s="99"/>
      <c r="Y1247" s="99"/>
      <c r="Z1247" s="99"/>
      <c r="AA1247" s="99"/>
      <c r="AB1247" s="99"/>
      <c r="AC1247" s="99"/>
      <c r="AD1247" s="99"/>
      <c r="AE1247" s="99"/>
      <c r="AF1247" s="99"/>
      <c r="AG1247" s="99"/>
      <c r="AH1247" s="99"/>
      <c r="AI1247" s="99"/>
      <c r="AJ1247" s="99"/>
      <c r="AK1247" s="99"/>
      <c r="AL1247" s="99"/>
      <c r="AM1247" s="99"/>
    </row>
    <row r="1248" ht="12.75" customHeight="1">
      <c r="A1248" s="104"/>
      <c r="B1248" s="104"/>
      <c r="C1248" s="104"/>
      <c r="D1248" s="110" t="s">
        <v>24</v>
      </c>
      <c r="E1248" s="110" t="s">
        <v>105</v>
      </c>
      <c r="G1248" s="136">
        <v>2.0</v>
      </c>
      <c r="H1248" s="136" t="s">
        <v>95</v>
      </c>
      <c r="I1248" s="137">
        <v>250000.0</v>
      </c>
      <c r="J1248" s="46">
        <f t="shared" si="1206"/>
        <v>500000</v>
      </c>
      <c r="K1248" s="46"/>
      <c r="L1248" s="105"/>
      <c r="M1248" s="106"/>
      <c r="N1248" s="105"/>
      <c r="O1248" s="46">
        <f t="shared" si="1207"/>
        <v>500000</v>
      </c>
      <c r="P1248" s="46">
        <f t="shared" si="1208"/>
        <v>500000</v>
      </c>
      <c r="Q1248" s="46">
        <v>500000.0</v>
      </c>
      <c r="R1248" s="153"/>
      <c r="S1248" s="153"/>
      <c r="T1248" s="99"/>
      <c r="U1248" s="99"/>
      <c r="V1248" s="99"/>
      <c r="W1248" s="99"/>
      <c r="X1248" s="99"/>
      <c r="Y1248" s="99"/>
      <c r="Z1248" s="99"/>
      <c r="AA1248" s="99"/>
      <c r="AB1248" s="99"/>
      <c r="AC1248" s="99"/>
      <c r="AD1248" s="99"/>
      <c r="AE1248" s="99"/>
      <c r="AF1248" s="99"/>
      <c r="AG1248" s="99"/>
      <c r="AH1248" s="99"/>
      <c r="AI1248" s="99"/>
      <c r="AJ1248" s="99"/>
      <c r="AK1248" s="99"/>
      <c r="AL1248" s="99"/>
      <c r="AM1248" s="99"/>
    </row>
    <row r="1249" ht="12.75" customHeight="1">
      <c r="A1249" s="104"/>
      <c r="B1249" s="104"/>
      <c r="C1249" s="104"/>
      <c r="D1249" s="110" t="s">
        <v>24</v>
      </c>
      <c r="E1249" s="110" t="s">
        <v>106</v>
      </c>
      <c r="G1249" s="136">
        <v>2.0</v>
      </c>
      <c r="H1249" s="136" t="s">
        <v>95</v>
      </c>
      <c r="I1249" s="137">
        <v>100000.0</v>
      </c>
      <c r="J1249" s="46">
        <f t="shared" si="1206"/>
        <v>200000</v>
      </c>
      <c r="K1249" s="46"/>
      <c r="L1249" s="105"/>
      <c r="M1249" s="106"/>
      <c r="N1249" s="105"/>
      <c r="O1249" s="46">
        <f t="shared" si="1207"/>
        <v>200000</v>
      </c>
      <c r="P1249" s="46">
        <f t="shared" si="1208"/>
        <v>200000</v>
      </c>
      <c r="Q1249" s="46">
        <v>200000.0</v>
      </c>
      <c r="R1249" s="153"/>
      <c r="S1249" s="153"/>
      <c r="T1249" s="99"/>
      <c r="U1249" s="99"/>
      <c r="V1249" s="99"/>
      <c r="W1249" s="99"/>
      <c r="X1249" s="99"/>
      <c r="Y1249" s="99"/>
      <c r="Z1249" s="99"/>
      <c r="AA1249" s="99"/>
      <c r="AB1249" s="99"/>
      <c r="AC1249" s="99"/>
      <c r="AD1249" s="99"/>
      <c r="AE1249" s="99"/>
      <c r="AF1249" s="99"/>
      <c r="AG1249" s="99"/>
      <c r="AH1249" s="99"/>
      <c r="AI1249" s="99"/>
      <c r="AJ1249" s="99"/>
      <c r="AK1249" s="99"/>
      <c r="AL1249" s="99"/>
      <c r="AM1249" s="99"/>
    </row>
    <row r="1250" ht="12.75" customHeight="1">
      <c r="A1250" s="104"/>
      <c r="B1250" s="104"/>
      <c r="C1250" s="104"/>
      <c r="D1250" s="110" t="s">
        <v>24</v>
      </c>
      <c r="E1250" s="110" t="s">
        <v>107</v>
      </c>
      <c r="G1250" s="136">
        <v>2.0</v>
      </c>
      <c r="H1250" s="136" t="s">
        <v>95</v>
      </c>
      <c r="I1250" s="137">
        <v>725000.0</v>
      </c>
      <c r="J1250" s="46">
        <f t="shared" si="1206"/>
        <v>1450000</v>
      </c>
      <c r="K1250" s="46"/>
      <c r="L1250" s="105"/>
      <c r="M1250" s="106"/>
      <c r="N1250" s="105"/>
      <c r="O1250" s="46">
        <f t="shared" si="1207"/>
        <v>1450000</v>
      </c>
      <c r="P1250" s="46">
        <f t="shared" si="1208"/>
        <v>1450000</v>
      </c>
      <c r="Q1250" s="46">
        <v>1450000.0</v>
      </c>
      <c r="R1250" s="153"/>
      <c r="S1250" s="153"/>
      <c r="T1250" s="99"/>
      <c r="U1250" s="99"/>
      <c r="V1250" s="99"/>
      <c r="W1250" s="99"/>
      <c r="X1250" s="99"/>
      <c r="Y1250" s="99"/>
      <c r="Z1250" s="99"/>
      <c r="AA1250" s="99"/>
      <c r="AB1250" s="99"/>
      <c r="AC1250" s="99"/>
      <c r="AD1250" s="99"/>
      <c r="AE1250" s="99"/>
      <c r="AF1250" s="99"/>
      <c r="AG1250" s="99"/>
      <c r="AH1250" s="99"/>
      <c r="AI1250" s="99"/>
      <c r="AJ1250" s="99"/>
      <c r="AK1250" s="99"/>
      <c r="AL1250" s="99"/>
      <c r="AM1250" s="99"/>
    </row>
    <row r="1251" ht="15.75" customHeight="1">
      <c r="A1251" s="104"/>
      <c r="B1251" s="104"/>
      <c r="C1251" s="104"/>
      <c r="D1251" s="110" t="s">
        <v>24</v>
      </c>
      <c r="E1251" s="110" t="s">
        <v>108</v>
      </c>
      <c r="G1251" s="136">
        <v>2.0</v>
      </c>
      <c r="H1251" s="136" t="s">
        <v>95</v>
      </c>
      <c r="I1251" s="137">
        <v>700000.0</v>
      </c>
      <c r="J1251" s="46">
        <f t="shared" si="1206"/>
        <v>1400000</v>
      </c>
      <c r="K1251" s="46"/>
      <c r="L1251" s="105"/>
      <c r="M1251" s="106"/>
      <c r="N1251" s="105"/>
      <c r="O1251" s="46">
        <f t="shared" si="1207"/>
        <v>1400000</v>
      </c>
      <c r="P1251" s="46">
        <f t="shared" si="1208"/>
        <v>1400000</v>
      </c>
      <c r="Q1251" s="46">
        <v>1400000.0</v>
      </c>
      <c r="R1251" s="153"/>
      <c r="S1251" s="153"/>
      <c r="T1251" s="99"/>
      <c r="U1251" s="99"/>
      <c r="V1251" s="99"/>
      <c r="W1251" s="99"/>
      <c r="X1251" s="99"/>
      <c r="Y1251" s="99"/>
      <c r="Z1251" s="99"/>
      <c r="AA1251" s="99"/>
      <c r="AB1251" s="99"/>
      <c r="AC1251" s="99"/>
      <c r="AD1251" s="99"/>
      <c r="AE1251" s="99"/>
      <c r="AF1251" s="99"/>
      <c r="AG1251" s="99"/>
      <c r="AH1251" s="99"/>
      <c r="AI1251" s="99"/>
      <c r="AJ1251" s="99"/>
      <c r="AK1251" s="99"/>
      <c r="AL1251" s="99"/>
      <c r="AM1251" s="99"/>
    </row>
    <row r="1252" ht="12.75" customHeight="1">
      <c r="A1252" s="110" t="s">
        <v>68</v>
      </c>
      <c r="D1252" s="145" t="s">
        <v>69</v>
      </c>
      <c r="G1252" s="104"/>
      <c r="H1252" s="133"/>
      <c r="I1252" s="104"/>
      <c r="J1252" s="134">
        <f t="shared" ref="J1252:K1252" si="1209">SUM(J1254:J1257)</f>
        <v>1160000</v>
      </c>
      <c r="K1252" s="46">
        <f t="shared" si="1209"/>
        <v>0</v>
      </c>
      <c r="L1252" s="105"/>
      <c r="M1252" s="106"/>
      <c r="N1252" s="105"/>
      <c r="O1252" s="46">
        <f t="shared" ref="O1252:P1252" si="1210">SUM(O1254:O1257)</f>
        <v>1160000</v>
      </c>
      <c r="P1252" s="46">
        <f t="shared" si="1210"/>
        <v>1160000</v>
      </c>
      <c r="Q1252" s="46">
        <v>1160000.0</v>
      </c>
      <c r="R1252" s="153"/>
      <c r="S1252" s="153"/>
      <c r="T1252" s="99"/>
      <c r="U1252" s="99"/>
      <c r="V1252" s="99"/>
      <c r="W1252" s="99"/>
      <c r="X1252" s="99"/>
      <c r="Y1252" s="99"/>
      <c r="Z1252" s="99"/>
      <c r="AA1252" s="99"/>
      <c r="AB1252" s="99"/>
      <c r="AC1252" s="99"/>
      <c r="AD1252" s="99"/>
      <c r="AE1252" s="99"/>
      <c r="AF1252" s="99"/>
      <c r="AG1252" s="99"/>
      <c r="AH1252" s="99"/>
      <c r="AI1252" s="99"/>
      <c r="AJ1252" s="99"/>
      <c r="AK1252" s="99"/>
      <c r="AL1252" s="99"/>
      <c r="AM1252" s="99"/>
    </row>
    <row r="1253" ht="12.75" customHeight="1">
      <c r="A1253" s="104"/>
      <c r="B1253" s="104"/>
      <c r="C1253" s="104"/>
      <c r="D1253" s="110" t="s">
        <v>23</v>
      </c>
      <c r="G1253" s="104"/>
      <c r="H1253" s="104"/>
      <c r="I1253" s="104"/>
      <c r="J1253" s="111"/>
      <c r="K1253" s="111"/>
      <c r="L1253" s="105"/>
      <c r="M1253" s="106"/>
      <c r="N1253" s="105"/>
      <c r="O1253" s="111"/>
      <c r="P1253" s="111"/>
      <c r="Q1253" s="111"/>
      <c r="R1253" s="153"/>
      <c r="S1253" s="153"/>
      <c r="T1253" s="99"/>
      <c r="U1253" s="99"/>
      <c r="V1253" s="99"/>
      <c r="W1253" s="99"/>
      <c r="X1253" s="99"/>
      <c r="Y1253" s="99"/>
      <c r="Z1253" s="99"/>
      <c r="AA1253" s="99"/>
      <c r="AB1253" s="99"/>
      <c r="AC1253" s="99"/>
      <c r="AD1253" s="99"/>
      <c r="AE1253" s="99"/>
      <c r="AF1253" s="99"/>
      <c r="AG1253" s="99"/>
      <c r="AH1253" s="99"/>
      <c r="AI1253" s="99"/>
      <c r="AJ1253" s="99"/>
      <c r="AK1253" s="99"/>
      <c r="AL1253" s="99"/>
      <c r="AM1253" s="99"/>
    </row>
    <row r="1254" ht="12.75" customHeight="1">
      <c r="A1254" s="104"/>
      <c r="B1254" s="104"/>
      <c r="C1254" s="104"/>
      <c r="D1254" s="110" t="s">
        <v>24</v>
      </c>
      <c r="E1254" s="110" t="s">
        <v>109</v>
      </c>
      <c r="G1254" s="136">
        <v>10.0</v>
      </c>
      <c r="H1254" s="136" t="s">
        <v>95</v>
      </c>
      <c r="I1254" s="137">
        <v>50000.0</v>
      </c>
      <c r="J1254" s="46">
        <f t="shared" ref="J1254:J1257" si="1211">G1254*I1254</f>
        <v>500000</v>
      </c>
      <c r="K1254" s="46"/>
      <c r="L1254" s="105"/>
      <c r="M1254" s="106"/>
      <c r="N1254" s="105"/>
      <c r="O1254" s="46">
        <f t="shared" ref="O1254:O1257" si="1212">J1254-K1254</f>
        <v>500000</v>
      </c>
      <c r="P1254" s="46">
        <f t="shared" ref="P1254:P1257" si="1213">J1254-M1254</f>
        <v>500000</v>
      </c>
      <c r="Q1254" s="46">
        <v>500000.0</v>
      </c>
      <c r="R1254" s="153"/>
      <c r="S1254" s="153"/>
      <c r="T1254" s="99"/>
      <c r="U1254" s="99"/>
      <c r="V1254" s="99"/>
      <c r="W1254" s="99"/>
      <c r="X1254" s="99"/>
      <c r="Y1254" s="99"/>
      <c r="Z1254" s="99"/>
      <c r="AA1254" s="99"/>
      <c r="AB1254" s="99"/>
      <c r="AC1254" s="99"/>
      <c r="AD1254" s="99"/>
      <c r="AE1254" s="99"/>
      <c r="AF1254" s="99"/>
      <c r="AG1254" s="99"/>
      <c r="AH1254" s="99"/>
      <c r="AI1254" s="99"/>
      <c r="AJ1254" s="99"/>
      <c r="AK1254" s="99"/>
      <c r="AL1254" s="99"/>
      <c r="AM1254" s="99"/>
    </row>
    <row r="1255" ht="12.75" customHeight="1">
      <c r="A1255" s="104"/>
      <c r="B1255" s="104"/>
      <c r="C1255" s="104"/>
      <c r="D1255" s="110" t="s">
        <v>24</v>
      </c>
      <c r="E1255" s="110" t="s">
        <v>110</v>
      </c>
      <c r="G1255" s="136">
        <v>2.0</v>
      </c>
      <c r="H1255" s="136" t="s">
        <v>95</v>
      </c>
      <c r="I1255" s="137">
        <v>100000.0</v>
      </c>
      <c r="J1255" s="46">
        <f t="shared" si="1211"/>
        <v>200000</v>
      </c>
      <c r="K1255" s="46"/>
      <c r="L1255" s="105"/>
      <c r="M1255" s="106"/>
      <c r="N1255" s="105"/>
      <c r="O1255" s="46">
        <f t="shared" si="1212"/>
        <v>200000</v>
      </c>
      <c r="P1255" s="46">
        <f t="shared" si="1213"/>
        <v>200000</v>
      </c>
      <c r="Q1255" s="46">
        <v>200000.0</v>
      </c>
      <c r="R1255" s="153"/>
      <c r="S1255" s="153"/>
      <c r="T1255" s="99"/>
      <c r="U1255" s="99"/>
      <c r="V1255" s="99"/>
      <c r="W1255" s="99"/>
      <c r="X1255" s="99"/>
      <c r="Y1255" s="99"/>
      <c r="Z1255" s="99"/>
      <c r="AA1255" s="99"/>
      <c r="AB1255" s="99"/>
      <c r="AC1255" s="99"/>
      <c r="AD1255" s="99"/>
      <c r="AE1255" s="99"/>
      <c r="AF1255" s="99"/>
      <c r="AG1255" s="99"/>
      <c r="AH1255" s="99"/>
      <c r="AI1255" s="99"/>
      <c r="AJ1255" s="99"/>
      <c r="AK1255" s="99"/>
      <c r="AL1255" s="99"/>
      <c r="AM1255" s="99"/>
    </row>
    <row r="1256" ht="12.75" customHeight="1">
      <c r="A1256" s="104"/>
      <c r="B1256" s="104"/>
      <c r="C1256" s="104"/>
      <c r="D1256" s="110" t="s">
        <v>24</v>
      </c>
      <c r="E1256" s="110" t="s">
        <v>111</v>
      </c>
      <c r="G1256" s="136">
        <v>2.0</v>
      </c>
      <c r="H1256" s="136" t="s">
        <v>95</v>
      </c>
      <c r="I1256" s="137">
        <v>200000.0</v>
      </c>
      <c r="J1256" s="46">
        <f t="shared" si="1211"/>
        <v>400000</v>
      </c>
      <c r="K1256" s="46"/>
      <c r="L1256" s="105"/>
      <c r="M1256" s="106"/>
      <c r="N1256" s="105"/>
      <c r="O1256" s="46">
        <f t="shared" si="1212"/>
        <v>400000</v>
      </c>
      <c r="P1256" s="46">
        <f t="shared" si="1213"/>
        <v>400000</v>
      </c>
      <c r="Q1256" s="46">
        <v>400000.0</v>
      </c>
      <c r="R1256" s="153"/>
      <c r="S1256" s="153"/>
      <c r="T1256" s="99"/>
      <c r="U1256" s="99"/>
      <c r="V1256" s="99"/>
      <c r="W1256" s="99"/>
      <c r="X1256" s="99"/>
      <c r="Y1256" s="99"/>
      <c r="Z1256" s="99"/>
      <c r="AA1256" s="99"/>
      <c r="AB1256" s="99"/>
      <c r="AC1256" s="99"/>
      <c r="AD1256" s="99"/>
      <c r="AE1256" s="99"/>
      <c r="AF1256" s="99"/>
      <c r="AG1256" s="99"/>
      <c r="AH1256" s="99"/>
      <c r="AI1256" s="99"/>
      <c r="AJ1256" s="99"/>
      <c r="AK1256" s="99"/>
      <c r="AL1256" s="99"/>
      <c r="AM1256" s="99"/>
    </row>
    <row r="1257" ht="12.75" customHeight="1">
      <c r="A1257" s="104"/>
      <c r="B1257" s="104"/>
      <c r="C1257" s="104"/>
      <c r="D1257" s="110" t="s">
        <v>24</v>
      </c>
      <c r="E1257" s="110" t="s">
        <v>112</v>
      </c>
      <c r="G1257" s="136">
        <v>2.0</v>
      </c>
      <c r="H1257" s="136" t="s">
        <v>95</v>
      </c>
      <c r="I1257" s="137">
        <v>30000.0</v>
      </c>
      <c r="J1257" s="46">
        <f t="shared" si="1211"/>
        <v>60000</v>
      </c>
      <c r="K1257" s="46"/>
      <c r="L1257" s="105"/>
      <c r="M1257" s="106"/>
      <c r="N1257" s="105"/>
      <c r="O1257" s="46">
        <f t="shared" si="1212"/>
        <v>60000</v>
      </c>
      <c r="P1257" s="46">
        <f t="shared" si="1213"/>
        <v>60000</v>
      </c>
      <c r="Q1257" s="46">
        <v>60000.0</v>
      </c>
      <c r="R1257" s="153"/>
      <c r="S1257" s="153"/>
      <c r="T1257" s="99"/>
      <c r="U1257" s="99"/>
      <c r="V1257" s="99"/>
      <c r="W1257" s="99"/>
      <c r="X1257" s="99"/>
      <c r="Y1257" s="99"/>
      <c r="Z1257" s="99"/>
      <c r="AA1257" s="99"/>
      <c r="AB1257" s="99"/>
      <c r="AC1257" s="99"/>
      <c r="AD1257" s="99"/>
      <c r="AE1257" s="99"/>
      <c r="AF1257" s="99"/>
      <c r="AG1257" s="99"/>
      <c r="AH1257" s="99"/>
      <c r="AI1257" s="99"/>
      <c r="AJ1257" s="99"/>
      <c r="AK1257" s="99"/>
      <c r="AL1257" s="99"/>
      <c r="AM1257" s="99"/>
    </row>
    <row r="1258" ht="12.75" customHeight="1">
      <c r="A1258" s="144" t="s">
        <v>113</v>
      </c>
      <c r="D1258" s="144" t="s">
        <v>114</v>
      </c>
      <c r="G1258" s="104"/>
      <c r="H1258" s="128"/>
      <c r="I1258" s="104"/>
      <c r="J1258" s="129">
        <f t="shared" ref="J1258:K1258" si="1214">J1259</f>
        <v>410750000</v>
      </c>
      <c r="K1258" s="43">
        <f t="shared" si="1214"/>
        <v>0</v>
      </c>
      <c r="L1258" s="105"/>
      <c r="M1258" s="106"/>
      <c r="N1258" s="105"/>
      <c r="O1258" s="43">
        <f t="shared" ref="O1258:P1258" si="1215">O1259</f>
        <v>410750000</v>
      </c>
      <c r="P1258" s="43">
        <f t="shared" si="1215"/>
        <v>410750000</v>
      </c>
      <c r="Q1258" s="43">
        <v>4.1075E8</v>
      </c>
      <c r="R1258" s="153"/>
      <c r="S1258" s="153"/>
      <c r="T1258" s="99"/>
      <c r="U1258" s="99"/>
      <c r="V1258" s="99"/>
      <c r="W1258" s="99"/>
      <c r="X1258" s="99"/>
      <c r="Y1258" s="99"/>
      <c r="Z1258" s="99"/>
      <c r="AA1258" s="99"/>
      <c r="AB1258" s="99"/>
      <c r="AC1258" s="99"/>
      <c r="AD1258" s="99"/>
      <c r="AE1258" s="99"/>
      <c r="AF1258" s="99"/>
      <c r="AG1258" s="99"/>
      <c r="AH1258" s="99"/>
      <c r="AI1258" s="99"/>
      <c r="AJ1258" s="99"/>
      <c r="AK1258" s="99"/>
      <c r="AL1258" s="99"/>
      <c r="AM1258" s="99"/>
    </row>
    <row r="1259" ht="12.75" customHeight="1">
      <c r="A1259" s="110" t="s">
        <v>68</v>
      </c>
      <c r="D1259" s="145" t="s">
        <v>69</v>
      </c>
      <c r="G1259" s="104"/>
      <c r="H1259" s="133"/>
      <c r="I1259" s="104"/>
      <c r="J1259" s="134">
        <f t="shared" ref="J1259:K1259" si="1216">SUM(J1261:J1271)</f>
        <v>410750000</v>
      </c>
      <c r="K1259" s="46">
        <f t="shared" si="1216"/>
        <v>0</v>
      </c>
      <c r="L1259" s="105"/>
      <c r="M1259" s="106"/>
      <c r="N1259" s="105"/>
      <c r="O1259" s="46">
        <f t="shared" ref="O1259:P1259" si="1217">SUM(O1261:O1271)</f>
        <v>410750000</v>
      </c>
      <c r="P1259" s="46">
        <f t="shared" si="1217"/>
        <v>410750000</v>
      </c>
      <c r="Q1259" s="46">
        <v>4.1075E8</v>
      </c>
      <c r="R1259" s="153"/>
      <c r="S1259" s="153"/>
      <c r="T1259" s="99"/>
      <c r="U1259" s="99"/>
      <c r="V1259" s="99"/>
      <c r="W1259" s="99"/>
      <c r="X1259" s="99"/>
      <c r="Y1259" s="99"/>
      <c r="Z1259" s="99"/>
      <c r="AA1259" s="99"/>
      <c r="AB1259" s="99"/>
      <c r="AC1259" s="99"/>
      <c r="AD1259" s="99"/>
      <c r="AE1259" s="99"/>
      <c r="AF1259" s="99"/>
      <c r="AG1259" s="99"/>
      <c r="AH1259" s="99"/>
      <c r="AI1259" s="99"/>
      <c r="AJ1259" s="99"/>
      <c r="AK1259" s="99"/>
      <c r="AL1259" s="99"/>
      <c r="AM1259" s="99"/>
    </row>
    <row r="1260" ht="12.75" customHeight="1">
      <c r="A1260" s="104"/>
      <c r="B1260" s="104"/>
      <c r="C1260" s="104"/>
      <c r="D1260" s="110" t="s">
        <v>23</v>
      </c>
      <c r="G1260" s="104"/>
      <c r="H1260" s="104"/>
      <c r="I1260" s="104"/>
      <c r="J1260" s="111"/>
      <c r="K1260" s="111"/>
      <c r="L1260" s="105"/>
      <c r="M1260" s="106"/>
      <c r="N1260" s="105"/>
      <c r="O1260" s="111"/>
      <c r="P1260" s="111"/>
      <c r="Q1260" s="111"/>
      <c r="R1260" s="153"/>
      <c r="S1260" s="153"/>
      <c r="T1260" s="99"/>
      <c r="U1260" s="99"/>
      <c r="V1260" s="99"/>
      <c r="W1260" s="99"/>
      <c r="X1260" s="99"/>
      <c r="Y1260" s="99"/>
      <c r="Z1260" s="99"/>
      <c r="AA1260" s="99"/>
      <c r="AB1260" s="99"/>
      <c r="AC1260" s="99"/>
      <c r="AD1260" s="99"/>
      <c r="AE1260" s="99"/>
      <c r="AF1260" s="99"/>
      <c r="AG1260" s="99"/>
      <c r="AH1260" s="99"/>
      <c r="AI1260" s="99"/>
      <c r="AJ1260" s="99"/>
      <c r="AK1260" s="99"/>
      <c r="AL1260" s="99"/>
      <c r="AM1260" s="99"/>
    </row>
    <row r="1261" ht="12.75" customHeight="1">
      <c r="A1261" s="104"/>
      <c r="B1261" s="104"/>
      <c r="C1261" s="104"/>
      <c r="D1261" s="110" t="s">
        <v>24</v>
      </c>
      <c r="E1261" s="110" t="s">
        <v>172</v>
      </c>
      <c r="G1261" s="136">
        <v>100.0</v>
      </c>
      <c r="H1261" s="136" t="s">
        <v>95</v>
      </c>
      <c r="I1261" s="137">
        <v>110000.0</v>
      </c>
      <c r="J1261" s="46">
        <f t="shared" ref="J1261:J1271" si="1218">G1261*I1261</f>
        <v>11000000</v>
      </c>
      <c r="K1261" s="46"/>
      <c r="L1261" s="105"/>
      <c r="M1261" s="106"/>
      <c r="N1261" s="105"/>
      <c r="O1261" s="46">
        <f t="shared" ref="O1261:O1271" si="1219">J1261-K1261</f>
        <v>11000000</v>
      </c>
      <c r="P1261" s="46">
        <f t="shared" ref="P1261:P1271" si="1220">J1261-M1261</f>
        <v>11000000</v>
      </c>
      <c r="Q1261" s="46">
        <v>1.1E7</v>
      </c>
      <c r="R1261" s="153"/>
      <c r="S1261" s="153"/>
      <c r="T1261" s="99"/>
      <c r="U1261" s="99"/>
      <c r="V1261" s="99"/>
      <c r="W1261" s="99"/>
      <c r="X1261" s="99"/>
      <c r="Y1261" s="99"/>
      <c r="Z1261" s="99"/>
      <c r="AA1261" s="99"/>
      <c r="AB1261" s="99"/>
      <c r="AC1261" s="99"/>
      <c r="AD1261" s="99"/>
      <c r="AE1261" s="99"/>
      <c r="AF1261" s="99"/>
      <c r="AG1261" s="99"/>
      <c r="AH1261" s="99"/>
      <c r="AI1261" s="99"/>
      <c r="AJ1261" s="99"/>
      <c r="AK1261" s="99"/>
      <c r="AL1261" s="99"/>
      <c r="AM1261" s="99"/>
    </row>
    <row r="1262" ht="12.75" customHeight="1">
      <c r="A1262" s="104"/>
      <c r="B1262" s="104"/>
      <c r="C1262" s="104"/>
      <c r="D1262" s="110" t="s">
        <v>24</v>
      </c>
      <c r="E1262" s="110" t="s">
        <v>173</v>
      </c>
      <c r="G1262" s="136">
        <v>100.0</v>
      </c>
      <c r="H1262" s="136" t="s">
        <v>95</v>
      </c>
      <c r="I1262" s="137">
        <v>120000.0</v>
      </c>
      <c r="J1262" s="46">
        <f t="shared" si="1218"/>
        <v>12000000</v>
      </c>
      <c r="K1262" s="46"/>
      <c r="L1262" s="105"/>
      <c r="M1262" s="106"/>
      <c r="N1262" s="105"/>
      <c r="O1262" s="46">
        <f t="shared" si="1219"/>
        <v>12000000</v>
      </c>
      <c r="P1262" s="46">
        <f t="shared" si="1220"/>
        <v>12000000</v>
      </c>
      <c r="Q1262" s="46">
        <v>1.2E7</v>
      </c>
      <c r="R1262" s="153"/>
      <c r="S1262" s="153"/>
      <c r="T1262" s="99"/>
      <c r="U1262" s="99"/>
      <c r="V1262" s="99"/>
      <c r="W1262" s="99"/>
      <c r="X1262" s="99"/>
      <c r="Y1262" s="99"/>
      <c r="Z1262" s="99"/>
      <c r="AA1262" s="99"/>
      <c r="AB1262" s="99"/>
      <c r="AC1262" s="99"/>
      <c r="AD1262" s="99"/>
      <c r="AE1262" s="99"/>
      <c r="AF1262" s="99"/>
      <c r="AG1262" s="99"/>
      <c r="AH1262" s="99"/>
      <c r="AI1262" s="99"/>
      <c r="AJ1262" s="99"/>
      <c r="AK1262" s="99"/>
      <c r="AL1262" s="99"/>
      <c r="AM1262" s="99"/>
    </row>
    <row r="1263" ht="12.75" customHeight="1">
      <c r="A1263" s="104"/>
      <c r="B1263" s="104"/>
      <c r="C1263" s="104"/>
      <c r="D1263" s="110" t="s">
        <v>24</v>
      </c>
      <c r="E1263" s="110" t="s">
        <v>174</v>
      </c>
      <c r="G1263" s="136">
        <v>100.0</v>
      </c>
      <c r="H1263" s="136" t="s">
        <v>95</v>
      </c>
      <c r="I1263" s="137">
        <v>150000.0</v>
      </c>
      <c r="J1263" s="46">
        <f t="shared" si="1218"/>
        <v>15000000</v>
      </c>
      <c r="K1263" s="46"/>
      <c r="L1263" s="105"/>
      <c r="M1263" s="106"/>
      <c r="N1263" s="105"/>
      <c r="O1263" s="46">
        <f t="shared" si="1219"/>
        <v>15000000</v>
      </c>
      <c r="P1263" s="46">
        <f t="shared" si="1220"/>
        <v>15000000</v>
      </c>
      <c r="Q1263" s="46">
        <v>1.5E7</v>
      </c>
      <c r="R1263" s="153"/>
      <c r="S1263" s="153"/>
      <c r="T1263" s="99"/>
      <c r="U1263" s="99"/>
      <c r="V1263" s="99"/>
      <c r="W1263" s="99"/>
      <c r="X1263" s="99"/>
      <c r="Y1263" s="99"/>
      <c r="Z1263" s="99"/>
      <c r="AA1263" s="99"/>
      <c r="AB1263" s="99"/>
      <c r="AC1263" s="99"/>
      <c r="AD1263" s="99"/>
      <c r="AE1263" s="99"/>
      <c r="AF1263" s="99"/>
      <c r="AG1263" s="99"/>
      <c r="AH1263" s="99"/>
      <c r="AI1263" s="99"/>
      <c r="AJ1263" s="99"/>
      <c r="AK1263" s="99"/>
      <c r="AL1263" s="99"/>
      <c r="AM1263" s="99"/>
    </row>
    <row r="1264" ht="12.75" customHeight="1">
      <c r="A1264" s="104"/>
      <c r="B1264" s="104"/>
      <c r="C1264" s="104"/>
      <c r="D1264" s="110" t="s">
        <v>24</v>
      </c>
      <c r="E1264" s="110" t="s">
        <v>175</v>
      </c>
      <c r="G1264" s="136">
        <v>100.0</v>
      </c>
      <c r="H1264" s="136" t="s">
        <v>95</v>
      </c>
      <c r="I1264" s="137">
        <v>100000.0</v>
      </c>
      <c r="J1264" s="46">
        <f t="shared" si="1218"/>
        <v>10000000</v>
      </c>
      <c r="K1264" s="46"/>
      <c r="L1264" s="105"/>
      <c r="M1264" s="106"/>
      <c r="N1264" s="105"/>
      <c r="O1264" s="46">
        <f t="shared" si="1219"/>
        <v>10000000</v>
      </c>
      <c r="P1264" s="46">
        <f t="shared" si="1220"/>
        <v>10000000</v>
      </c>
      <c r="Q1264" s="46">
        <v>1.0E7</v>
      </c>
      <c r="R1264" s="153"/>
      <c r="S1264" s="153"/>
      <c r="T1264" s="99"/>
      <c r="U1264" s="99"/>
      <c r="V1264" s="99"/>
      <c r="W1264" s="99"/>
      <c r="X1264" s="99"/>
      <c r="Y1264" s="99"/>
      <c r="Z1264" s="99"/>
      <c r="AA1264" s="99"/>
      <c r="AB1264" s="99"/>
      <c r="AC1264" s="99"/>
      <c r="AD1264" s="99"/>
      <c r="AE1264" s="99"/>
      <c r="AF1264" s="99"/>
      <c r="AG1264" s="99"/>
      <c r="AH1264" s="99"/>
      <c r="AI1264" s="99"/>
      <c r="AJ1264" s="99"/>
      <c r="AK1264" s="99"/>
      <c r="AL1264" s="99"/>
      <c r="AM1264" s="99"/>
    </row>
    <row r="1265" ht="12.75" customHeight="1">
      <c r="A1265" s="104"/>
      <c r="B1265" s="104"/>
      <c r="C1265" s="104"/>
      <c r="D1265" s="110" t="s">
        <v>24</v>
      </c>
      <c r="E1265" s="110" t="s">
        <v>176</v>
      </c>
      <c r="G1265" s="136">
        <v>100.0</v>
      </c>
      <c r="H1265" s="136" t="s">
        <v>95</v>
      </c>
      <c r="I1265" s="137">
        <v>350000.0</v>
      </c>
      <c r="J1265" s="46">
        <f t="shared" si="1218"/>
        <v>35000000</v>
      </c>
      <c r="K1265" s="46"/>
      <c r="L1265" s="105"/>
      <c r="M1265" s="106"/>
      <c r="N1265" s="105"/>
      <c r="O1265" s="46">
        <f t="shared" si="1219"/>
        <v>35000000</v>
      </c>
      <c r="P1265" s="46">
        <f t="shared" si="1220"/>
        <v>35000000</v>
      </c>
      <c r="Q1265" s="46">
        <v>3.5E7</v>
      </c>
      <c r="R1265" s="153"/>
      <c r="S1265" s="153"/>
      <c r="T1265" s="99"/>
      <c r="U1265" s="99"/>
      <c r="V1265" s="99"/>
      <c r="W1265" s="99"/>
      <c r="X1265" s="99"/>
      <c r="Y1265" s="99"/>
      <c r="Z1265" s="99"/>
      <c r="AA1265" s="99"/>
      <c r="AB1265" s="99"/>
      <c r="AC1265" s="99"/>
      <c r="AD1265" s="99"/>
      <c r="AE1265" s="99"/>
      <c r="AF1265" s="99"/>
      <c r="AG1265" s="99"/>
      <c r="AH1265" s="99"/>
      <c r="AI1265" s="99"/>
      <c r="AJ1265" s="99"/>
      <c r="AK1265" s="99"/>
      <c r="AL1265" s="99"/>
      <c r="AM1265" s="99"/>
    </row>
    <row r="1266" ht="12.75" customHeight="1">
      <c r="A1266" s="104"/>
      <c r="B1266" s="104"/>
      <c r="C1266" s="104"/>
      <c r="D1266" s="110" t="s">
        <v>24</v>
      </c>
      <c r="E1266" s="110" t="s">
        <v>177</v>
      </c>
      <c r="G1266" s="136">
        <v>50.0</v>
      </c>
      <c r="H1266" s="136" t="s">
        <v>95</v>
      </c>
      <c r="I1266" s="137">
        <v>175000.0</v>
      </c>
      <c r="J1266" s="46">
        <f t="shared" si="1218"/>
        <v>8750000</v>
      </c>
      <c r="K1266" s="46"/>
      <c r="L1266" s="105"/>
      <c r="M1266" s="106"/>
      <c r="N1266" s="105"/>
      <c r="O1266" s="46">
        <f t="shared" si="1219"/>
        <v>8750000</v>
      </c>
      <c r="P1266" s="46">
        <f t="shared" si="1220"/>
        <v>8750000</v>
      </c>
      <c r="Q1266" s="46">
        <v>8750000.0</v>
      </c>
      <c r="R1266" s="153"/>
      <c r="S1266" s="153"/>
      <c r="T1266" s="99"/>
      <c r="U1266" s="99"/>
      <c r="V1266" s="99"/>
      <c r="W1266" s="99"/>
      <c r="X1266" s="99"/>
      <c r="Y1266" s="99"/>
      <c r="Z1266" s="99"/>
      <c r="AA1266" s="99"/>
      <c r="AB1266" s="99"/>
      <c r="AC1266" s="99"/>
      <c r="AD1266" s="99"/>
      <c r="AE1266" s="99"/>
      <c r="AF1266" s="99"/>
      <c r="AG1266" s="99"/>
      <c r="AH1266" s="99"/>
      <c r="AI1266" s="99"/>
      <c r="AJ1266" s="99"/>
      <c r="AK1266" s="99"/>
      <c r="AL1266" s="99"/>
      <c r="AM1266" s="99"/>
    </row>
    <row r="1267" ht="12.75" customHeight="1">
      <c r="A1267" s="104"/>
      <c r="B1267" s="104"/>
      <c r="C1267" s="104"/>
      <c r="D1267" s="110" t="s">
        <v>24</v>
      </c>
      <c r="E1267" s="110" t="s">
        <v>178</v>
      </c>
      <c r="G1267" s="136">
        <v>350.0</v>
      </c>
      <c r="H1267" s="136" t="s">
        <v>95</v>
      </c>
      <c r="I1267" s="137">
        <v>150000.0</v>
      </c>
      <c r="J1267" s="46">
        <f t="shared" si="1218"/>
        <v>52500000</v>
      </c>
      <c r="K1267" s="46"/>
      <c r="L1267" s="105"/>
      <c r="M1267" s="106"/>
      <c r="N1267" s="105"/>
      <c r="O1267" s="46">
        <f t="shared" si="1219"/>
        <v>52500000</v>
      </c>
      <c r="P1267" s="46">
        <f t="shared" si="1220"/>
        <v>52500000</v>
      </c>
      <c r="Q1267" s="46">
        <v>5.25E7</v>
      </c>
      <c r="R1267" s="153"/>
      <c r="S1267" s="153"/>
      <c r="T1267" s="99"/>
      <c r="U1267" s="99"/>
      <c r="V1267" s="99"/>
      <c r="W1267" s="99"/>
      <c r="X1267" s="99"/>
      <c r="Y1267" s="99"/>
      <c r="Z1267" s="99"/>
      <c r="AA1267" s="99"/>
      <c r="AB1267" s="99"/>
      <c r="AC1267" s="99"/>
      <c r="AD1267" s="99"/>
      <c r="AE1267" s="99"/>
      <c r="AF1267" s="99"/>
      <c r="AG1267" s="99"/>
      <c r="AH1267" s="99"/>
      <c r="AI1267" s="99"/>
      <c r="AJ1267" s="99"/>
      <c r="AK1267" s="99"/>
      <c r="AL1267" s="99"/>
      <c r="AM1267" s="99"/>
    </row>
    <row r="1268" ht="12.75" customHeight="1">
      <c r="A1268" s="104"/>
      <c r="B1268" s="104"/>
      <c r="C1268" s="104"/>
      <c r="D1268" s="110" t="s">
        <v>24</v>
      </c>
      <c r="E1268" s="110" t="s">
        <v>179</v>
      </c>
      <c r="G1268" s="136">
        <v>350.0</v>
      </c>
      <c r="H1268" s="136" t="s">
        <v>95</v>
      </c>
      <c r="I1268" s="137">
        <v>200000.0</v>
      </c>
      <c r="J1268" s="46">
        <f t="shared" si="1218"/>
        <v>70000000</v>
      </c>
      <c r="K1268" s="46"/>
      <c r="L1268" s="105"/>
      <c r="M1268" s="106"/>
      <c r="N1268" s="105"/>
      <c r="O1268" s="46">
        <f t="shared" si="1219"/>
        <v>70000000</v>
      </c>
      <c r="P1268" s="46">
        <f t="shared" si="1220"/>
        <v>70000000</v>
      </c>
      <c r="Q1268" s="46">
        <v>7.0E7</v>
      </c>
      <c r="R1268" s="153"/>
      <c r="S1268" s="153"/>
      <c r="T1268" s="99"/>
      <c r="U1268" s="99"/>
      <c r="V1268" s="99"/>
      <c r="W1268" s="99"/>
      <c r="X1268" s="99"/>
      <c r="Y1268" s="99"/>
      <c r="Z1268" s="99"/>
      <c r="AA1268" s="99"/>
      <c r="AB1268" s="99"/>
      <c r="AC1268" s="99"/>
      <c r="AD1268" s="99"/>
      <c r="AE1268" s="99"/>
      <c r="AF1268" s="99"/>
      <c r="AG1268" s="99"/>
      <c r="AH1268" s="99"/>
      <c r="AI1268" s="99"/>
      <c r="AJ1268" s="99"/>
      <c r="AK1268" s="99"/>
      <c r="AL1268" s="99"/>
      <c r="AM1268" s="99"/>
    </row>
    <row r="1269" ht="15.75" customHeight="1">
      <c r="A1269" s="104"/>
      <c r="B1269" s="104"/>
      <c r="C1269" s="104"/>
      <c r="D1269" s="110" t="s">
        <v>24</v>
      </c>
      <c r="E1269" s="110" t="s">
        <v>180</v>
      </c>
      <c r="G1269" s="136">
        <v>600.0</v>
      </c>
      <c r="H1269" s="136" t="s">
        <v>95</v>
      </c>
      <c r="I1269" s="137">
        <v>250000.0</v>
      </c>
      <c r="J1269" s="46">
        <f t="shared" si="1218"/>
        <v>150000000</v>
      </c>
      <c r="K1269" s="46"/>
      <c r="L1269" s="105"/>
      <c r="M1269" s="106"/>
      <c r="N1269" s="105"/>
      <c r="O1269" s="46">
        <f t="shared" si="1219"/>
        <v>150000000</v>
      </c>
      <c r="P1269" s="46">
        <f t="shared" si="1220"/>
        <v>150000000</v>
      </c>
      <c r="Q1269" s="46">
        <v>1.5E8</v>
      </c>
      <c r="R1269" s="153"/>
      <c r="S1269" s="153"/>
      <c r="T1269" s="99"/>
      <c r="U1269" s="99"/>
      <c r="V1269" s="99"/>
      <c r="W1269" s="99"/>
      <c r="X1269" s="99"/>
      <c r="Y1269" s="99"/>
      <c r="Z1269" s="99"/>
      <c r="AA1269" s="99"/>
      <c r="AB1269" s="99"/>
      <c r="AC1269" s="99"/>
      <c r="AD1269" s="99"/>
      <c r="AE1269" s="99"/>
      <c r="AF1269" s="99"/>
      <c r="AG1269" s="99"/>
      <c r="AH1269" s="99"/>
      <c r="AI1269" s="99"/>
      <c r="AJ1269" s="99"/>
      <c r="AK1269" s="99"/>
      <c r="AL1269" s="99"/>
      <c r="AM1269" s="99"/>
    </row>
    <row r="1270" ht="12.75" customHeight="1">
      <c r="A1270" s="104"/>
      <c r="B1270" s="104"/>
      <c r="C1270" s="104"/>
      <c r="D1270" s="110" t="s">
        <v>24</v>
      </c>
      <c r="E1270" s="110" t="s">
        <v>181</v>
      </c>
      <c r="G1270" s="136">
        <v>360.0</v>
      </c>
      <c r="H1270" s="136" t="s">
        <v>95</v>
      </c>
      <c r="I1270" s="137">
        <v>100000.0</v>
      </c>
      <c r="J1270" s="46">
        <f t="shared" si="1218"/>
        <v>36000000</v>
      </c>
      <c r="K1270" s="46"/>
      <c r="L1270" s="105"/>
      <c r="M1270" s="106"/>
      <c r="N1270" s="105"/>
      <c r="O1270" s="46">
        <f t="shared" si="1219"/>
        <v>36000000</v>
      </c>
      <c r="P1270" s="46">
        <f t="shared" si="1220"/>
        <v>36000000</v>
      </c>
      <c r="Q1270" s="46">
        <v>3.6E7</v>
      </c>
      <c r="R1270" s="153"/>
      <c r="S1270" s="153"/>
      <c r="T1270" s="99"/>
      <c r="U1270" s="99"/>
      <c r="V1270" s="99"/>
      <c r="W1270" s="99"/>
      <c r="X1270" s="99"/>
      <c r="Y1270" s="99"/>
      <c r="Z1270" s="99"/>
      <c r="AA1270" s="99"/>
      <c r="AB1270" s="99"/>
      <c r="AC1270" s="99"/>
      <c r="AD1270" s="99"/>
      <c r="AE1270" s="99"/>
      <c r="AF1270" s="99"/>
      <c r="AG1270" s="99"/>
      <c r="AH1270" s="99"/>
      <c r="AI1270" s="99"/>
      <c r="AJ1270" s="99"/>
      <c r="AK1270" s="99"/>
      <c r="AL1270" s="99"/>
      <c r="AM1270" s="99"/>
    </row>
    <row r="1271" ht="12.75" customHeight="1">
      <c r="A1271" s="104"/>
      <c r="B1271" s="104"/>
      <c r="C1271" s="104"/>
      <c r="D1271" s="110" t="s">
        <v>24</v>
      </c>
      <c r="E1271" s="110" t="s">
        <v>182</v>
      </c>
      <c r="G1271" s="136">
        <v>210.0</v>
      </c>
      <c r="H1271" s="136" t="s">
        <v>95</v>
      </c>
      <c r="I1271" s="137">
        <v>50000.0</v>
      </c>
      <c r="J1271" s="46">
        <f t="shared" si="1218"/>
        <v>10500000</v>
      </c>
      <c r="K1271" s="46"/>
      <c r="L1271" s="105"/>
      <c r="M1271" s="106"/>
      <c r="N1271" s="105"/>
      <c r="O1271" s="46">
        <f t="shared" si="1219"/>
        <v>10500000</v>
      </c>
      <c r="P1271" s="46">
        <f t="shared" si="1220"/>
        <v>10500000</v>
      </c>
      <c r="Q1271" s="46">
        <v>1.05E7</v>
      </c>
      <c r="R1271" s="153"/>
      <c r="S1271" s="153"/>
      <c r="T1271" s="99"/>
      <c r="U1271" s="99"/>
      <c r="V1271" s="99"/>
      <c r="W1271" s="99"/>
      <c r="X1271" s="99"/>
      <c r="Y1271" s="99"/>
      <c r="Z1271" s="99"/>
      <c r="AA1271" s="99"/>
      <c r="AB1271" s="99"/>
      <c r="AC1271" s="99"/>
      <c r="AD1271" s="99"/>
      <c r="AE1271" s="99"/>
      <c r="AF1271" s="99"/>
      <c r="AG1271" s="99"/>
      <c r="AH1271" s="99"/>
      <c r="AI1271" s="99"/>
      <c r="AJ1271" s="99"/>
      <c r="AK1271" s="99"/>
      <c r="AL1271" s="99"/>
      <c r="AM1271" s="99"/>
    </row>
    <row r="1272" ht="12.75" customHeight="1">
      <c r="A1272" s="144" t="s">
        <v>126</v>
      </c>
      <c r="D1272" s="144" t="s">
        <v>127</v>
      </c>
      <c r="G1272" s="104"/>
      <c r="H1272" s="128"/>
      <c r="I1272" s="104"/>
      <c r="J1272" s="129">
        <f t="shared" ref="J1272:K1272" si="1221">J1273</f>
        <v>190740000</v>
      </c>
      <c r="K1272" s="43">
        <f t="shared" si="1221"/>
        <v>0</v>
      </c>
      <c r="L1272" s="105"/>
      <c r="M1272" s="106"/>
      <c r="N1272" s="105"/>
      <c r="O1272" s="43">
        <f t="shared" ref="O1272:P1272" si="1222">O1273</f>
        <v>190740000</v>
      </c>
      <c r="P1272" s="43">
        <f t="shared" si="1222"/>
        <v>190740000</v>
      </c>
      <c r="Q1272" s="43">
        <v>1.9074E8</v>
      </c>
      <c r="R1272" s="153"/>
      <c r="S1272" s="153"/>
      <c r="T1272" s="99"/>
      <c r="U1272" s="99"/>
      <c r="V1272" s="99"/>
      <c r="W1272" s="99"/>
      <c r="X1272" s="99"/>
      <c r="Y1272" s="99"/>
      <c r="Z1272" s="99"/>
      <c r="AA1272" s="99"/>
      <c r="AB1272" s="99"/>
      <c r="AC1272" s="99"/>
      <c r="AD1272" s="99"/>
      <c r="AE1272" s="99"/>
      <c r="AF1272" s="99"/>
      <c r="AG1272" s="99"/>
      <c r="AH1272" s="99"/>
      <c r="AI1272" s="99"/>
      <c r="AJ1272" s="99"/>
      <c r="AK1272" s="99"/>
      <c r="AL1272" s="99"/>
      <c r="AM1272" s="99"/>
    </row>
    <row r="1273" ht="12.75" customHeight="1">
      <c r="A1273" s="110" t="s">
        <v>68</v>
      </c>
      <c r="D1273" s="145" t="s">
        <v>69</v>
      </c>
      <c r="G1273" s="104"/>
      <c r="H1273" s="133"/>
      <c r="I1273" s="104"/>
      <c r="J1273" s="134">
        <f t="shared" ref="J1273:K1273" si="1223">SUM(J1275:J1279)</f>
        <v>190740000</v>
      </c>
      <c r="K1273" s="46">
        <f t="shared" si="1223"/>
        <v>0</v>
      </c>
      <c r="L1273" s="105"/>
      <c r="M1273" s="106"/>
      <c r="N1273" s="105"/>
      <c r="O1273" s="46">
        <f t="shared" ref="O1273:P1273" si="1224">SUM(O1275:O1279)</f>
        <v>190740000</v>
      </c>
      <c r="P1273" s="46">
        <f t="shared" si="1224"/>
        <v>190740000</v>
      </c>
      <c r="Q1273" s="46">
        <v>1.9074E8</v>
      </c>
      <c r="R1273" s="153"/>
      <c r="S1273" s="153"/>
      <c r="T1273" s="99"/>
      <c r="U1273" s="99"/>
      <c r="V1273" s="99"/>
      <c r="W1273" s="99"/>
      <c r="X1273" s="99"/>
      <c r="Y1273" s="99"/>
      <c r="Z1273" s="99"/>
      <c r="AA1273" s="99"/>
      <c r="AB1273" s="99"/>
      <c r="AC1273" s="99"/>
      <c r="AD1273" s="99"/>
      <c r="AE1273" s="99"/>
      <c r="AF1273" s="99"/>
      <c r="AG1273" s="99"/>
      <c r="AH1273" s="99"/>
      <c r="AI1273" s="99"/>
      <c r="AJ1273" s="99"/>
      <c r="AK1273" s="99"/>
      <c r="AL1273" s="99"/>
      <c r="AM1273" s="99"/>
    </row>
    <row r="1274" ht="12.75" customHeight="1">
      <c r="A1274" s="104"/>
      <c r="B1274" s="104"/>
      <c r="C1274" s="104"/>
      <c r="D1274" s="110" t="s">
        <v>23</v>
      </c>
      <c r="G1274" s="104"/>
      <c r="H1274" s="104"/>
      <c r="I1274" s="104"/>
      <c r="J1274" s="111"/>
      <c r="K1274" s="111"/>
      <c r="L1274" s="105"/>
      <c r="M1274" s="106"/>
      <c r="N1274" s="105"/>
      <c r="O1274" s="111"/>
      <c r="P1274" s="111"/>
      <c r="Q1274" s="111"/>
      <c r="R1274" s="153"/>
      <c r="S1274" s="153"/>
      <c r="T1274" s="99"/>
      <c r="U1274" s="99"/>
      <c r="V1274" s="99"/>
      <c r="W1274" s="99"/>
      <c r="X1274" s="99"/>
      <c r="Y1274" s="99"/>
      <c r="Z1274" s="99"/>
      <c r="AA1274" s="99"/>
      <c r="AB1274" s="99"/>
      <c r="AC1274" s="99"/>
      <c r="AD1274" s="99"/>
      <c r="AE1274" s="99"/>
      <c r="AF1274" s="99"/>
      <c r="AG1274" s="99"/>
      <c r="AH1274" s="99"/>
      <c r="AI1274" s="99"/>
      <c r="AJ1274" s="99"/>
      <c r="AK1274" s="99"/>
      <c r="AL1274" s="99"/>
      <c r="AM1274" s="99"/>
    </row>
    <row r="1275" ht="12.75" customHeight="1">
      <c r="A1275" s="104"/>
      <c r="B1275" s="104"/>
      <c r="C1275" s="104"/>
      <c r="D1275" s="110" t="s">
        <v>24</v>
      </c>
      <c r="E1275" s="110" t="s">
        <v>128</v>
      </c>
      <c r="G1275" s="136">
        <v>88.0</v>
      </c>
      <c r="H1275" s="136" t="s">
        <v>233</v>
      </c>
      <c r="I1275" s="137">
        <v>110000.0</v>
      </c>
      <c r="J1275" s="46">
        <f t="shared" ref="J1275:J1279" si="1225">G1275*I1275</f>
        <v>9680000</v>
      </c>
      <c r="K1275" s="46"/>
      <c r="L1275" s="105"/>
      <c r="M1275" s="106"/>
      <c r="N1275" s="105"/>
      <c r="O1275" s="46">
        <f t="shared" ref="O1275:O1279" si="1226">J1275-K1275</f>
        <v>9680000</v>
      </c>
      <c r="P1275" s="46">
        <f t="shared" ref="P1275:P1279" si="1227">J1275-M1275</f>
        <v>9680000</v>
      </c>
      <c r="Q1275" s="46">
        <v>9680000.0</v>
      </c>
      <c r="R1275" s="153"/>
      <c r="S1275" s="153"/>
      <c r="T1275" s="99"/>
      <c r="U1275" s="99"/>
      <c r="V1275" s="99"/>
      <c r="W1275" s="99"/>
      <c r="X1275" s="99"/>
      <c r="Y1275" s="99"/>
      <c r="Z1275" s="99"/>
      <c r="AA1275" s="99"/>
      <c r="AB1275" s="99"/>
      <c r="AC1275" s="99"/>
      <c r="AD1275" s="99"/>
      <c r="AE1275" s="99"/>
      <c r="AF1275" s="99"/>
      <c r="AG1275" s="99"/>
      <c r="AH1275" s="99"/>
      <c r="AI1275" s="99"/>
      <c r="AJ1275" s="99"/>
      <c r="AK1275" s="99"/>
      <c r="AL1275" s="99"/>
      <c r="AM1275" s="99"/>
    </row>
    <row r="1276" ht="12.75" customHeight="1">
      <c r="A1276" s="104"/>
      <c r="B1276" s="104"/>
      <c r="C1276" s="104"/>
      <c r="D1276" s="110" t="s">
        <v>24</v>
      </c>
      <c r="E1276" s="110" t="s">
        <v>130</v>
      </c>
      <c r="G1276" s="136">
        <v>88.0</v>
      </c>
      <c r="H1276" s="136" t="s">
        <v>233</v>
      </c>
      <c r="I1276" s="137">
        <v>120000.0</v>
      </c>
      <c r="J1276" s="46">
        <f t="shared" si="1225"/>
        <v>10560000</v>
      </c>
      <c r="K1276" s="46"/>
      <c r="L1276" s="105"/>
      <c r="M1276" s="106"/>
      <c r="N1276" s="105"/>
      <c r="O1276" s="46">
        <f t="shared" si="1226"/>
        <v>10560000</v>
      </c>
      <c r="P1276" s="46">
        <f t="shared" si="1227"/>
        <v>10560000</v>
      </c>
      <c r="Q1276" s="46">
        <v>1.056E7</v>
      </c>
      <c r="R1276" s="153"/>
      <c r="S1276" s="153"/>
      <c r="T1276" s="99"/>
      <c r="U1276" s="99"/>
      <c r="V1276" s="99"/>
      <c r="W1276" s="99"/>
      <c r="X1276" s="99"/>
      <c r="Y1276" s="99"/>
      <c r="Z1276" s="99"/>
      <c r="AA1276" s="99"/>
      <c r="AB1276" s="99"/>
      <c r="AC1276" s="99"/>
      <c r="AD1276" s="99"/>
      <c r="AE1276" s="99"/>
      <c r="AF1276" s="99"/>
      <c r="AG1276" s="99"/>
      <c r="AH1276" s="99"/>
      <c r="AI1276" s="99"/>
      <c r="AJ1276" s="99"/>
      <c r="AK1276" s="99"/>
      <c r="AL1276" s="99"/>
      <c r="AM1276" s="99"/>
    </row>
    <row r="1277" ht="12.75" customHeight="1">
      <c r="A1277" s="104"/>
      <c r="B1277" s="104"/>
      <c r="C1277" s="104"/>
      <c r="D1277" s="110" t="s">
        <v>24</v>
      </c>
      <c r="E1277" s="110" t="s">
        <v>131</v>
      </c>
      <c r="G1277" s="136">
        <v>88.0</v>
      </c>
      <c r="H1277" s="136" t="s">
        <v>233</v>
      </c>
      <c r="I1277" s="137">
        <v>350000.0</v>
      </c>
      <c r="J1277" s="46">
        <f t="shared" si="1225"/>
        <v>30800000</v>
      </c>
      <c r="K1277" s="46"/>
      <c r="L1277" s="105"/>
      <c r="M1277" s="106"/>
      <c r="N1277" s="105"/>
      <c r="O1277" s="46">
        <f t="shared" si="1226"/>
        <v>30800000</v>
      </c>
      <c r="P1277" s="46">
        <f t="shared" si="1227"/>
        <v>30800000</v>
      </c>
      <c r="Q1277" s="46">
        <v>3.08E7</v>
      </c>
      <c r="R1277" s="153"/>
      <c r="S1277" s="153"/>
      <c r="T1277" s="99"/>
      <c r="U1277" s="99"/>
      <c r="V1277" s="99"/>
      <c r="W1277" s="99"/>
      <c r="X1277" s="99"/>
      <c r="Y1277" s="99"/>
      <c r="Z1277" s="99"/>
      <c r="AA1277" s="99"/>
      <c r="AB1277" s="99"/>
      <c r="AC1277" s="99"/>
      <c r="AD1277" s="99"/>
      <c r="AE1277" s="99"/>
      <c r="AF1277" s="99"/>
      <c r="AG1277" s="99"/>
      <c r="AH1277" s="99"/>
      <c r="AI1277" s="99"/>
      <c r="AJ1277" s="99"/>
      <c r="AK1277" s="99"/>
      <c r="AL1277" s="99"/>
      <c r="AM1277" s="99"/>
    </row>
    <row r="1278" ht="12.75" customHeight="1">
      <c r="A1278" s="104"/>
      <c r="B1278" s="104"/>
      <c r="C1278" s="104"/>
      <c r="D1278" s="110" t="s">
        <v>24</v>
      </c>
      <c r="E1278" s="110" t="s">
        <v>132</v>
      </c>
      <c r="G1278" s="136">
        <v>44.0</v>
      </c>
      <c r="H1278" s="136" t="s">
        <v>233</v>
      </c>
      <c r="I1278" s="137">
        <v>175000.0</v>
      </c>
      <c r="J1278" s="46">
        <f t="shared" si="1225"/>
        <v>7700000</v>
      </c>
      <c r="K1278" s="46"/>
      <c r="L1278" s="105"/>
      <c r="M1278" s="106"/>
      <c r="N1278" s="105"/>
      <c r="O1278" s="46">
        <f t="shared" si="1226"/>
        <v>7700000</v>
      </c>
      <c r="P1278" s="46">
        <f t="shared" si="1227"/>
        <v>7700000</v>
      </c>
      <c r="Q1278" s="46">
        <v>7700000.0</v>
      </c>
      <c r="R1278" s="153"/>
      <c r="S1278" s="153"/>
      <c r="T1278" s="99"/>
      <c r="U1278" s="99"/>
      <c r="V1278" s="99"/>
      <c r="W1278" s="99"/>
      <c r="X1278" s="99"/>
      <c r="Y1278" s="99"/>
      <c r="Z1278" s="99"/>
      <c r="AA1278" s="99"/>
      <c r="AB1278" s="99"/>
      <c r="AC1278" s="99"/>
      <c r="AD1278" s="99"/>
      <c r="AE1278" s="99"/>
      <c r="AF1278" s="99"/>
      <c r="AG1278" s="99"/>
      <c r="AH1278" s="99"/>
      <c r="AI1278" s="99"/>
      <c r="AJ1278" s="99"/>
      <c r="AK1278" s="99"/>
      <c r="AL1278" s="99"/>
      <c r="AM1278" s="99"/>
    </row>
    <row r="1279" ht="15.75" customHeight="1">
      <c r="A1279" s="104"/>
      <c r="B1279" s="104"/>
      <c r="C1279" s="104"/>
      <c r="D1279" s="110" t="s">
        <v>24</v>
      </c>
      <c r="E1279" s="110" t="s">
        <v>133</v>
      </c>
      <c r="G1279" s="136">
        <v>528.0</v>
      </c>
      <c r="H1279" s="136" t="s">
        <v>233</v>
      </c>
      <c r="I1279" s="137">
        <v>250000.0</v>
      </c>
      <c r="J1279" s="46">
        <f t="shared" si="1225"/>
        <v>132000000</v>
      </c>
      <c r="K1279" s="46"/>
      <c r="L1279" s="105"/>
      <c r="M1279" s="106"/>
      <c r="N1279" s="105"/>
      <c r="O1279" s="46">
        <f t="shared" si="1226"/>
        <v>132000000</v>
      </c>
      <c r="P1279" s="46">
        <f t="shared" si="1227"/>
        <v>132000000</v>
      </c>
      <c r="Q1279" s="46">
        <v>1.32E8</v>
      </c>
      <c r="R1279" s="153"/>
      <c r="S1279" s="153"/>
      <c r="T1279" s="99"/>
      <c r="U1279" s="99"/>
      <c r="V1279" s="99"/>
      <c r="W1279" s="99"/>
      <c r="X1279" s="99"/>
      <c r="Y1279" s="99"/>
      <c r="Z1279" s="99"/>
      <c r="AA1279" s="99"/>
      <c r="AB1279" s="99"/>
      <c r="AC1279" s="99"/>
      <c r="AD1279" s="99"/>
      <c r="AE1279" s="99"/>
      <c r="AF1279" s="99"/>
      <c r="AG1279" s="99"/>
      <c r="AH1279" s="99"/>
      <c r="AI1279" s="99"/>
      <c r="AJ1279" s="99"/>
      <c r="AK1279" s="99"/>
      <c r="AL1279" s="99"/>
      <c r="AM1279" s="99"/>
    </row>
    <row r="1280" ht="12.75" customHeight="1">
      <c r="A1280" s="144" t="s">
        <v>134</v>
      </c>
      <c r="D1280" s="144" t="s">
        <v>135</v>
      </c>
      <c r="G1280" s="104"/>
      <c r="H1280" s="128"/>
      <c r="I1280" s="104"/>
      <c r="J1280" s="129">
        <f t="shared" ref="J1280:K1280" si="1228">J1281</f>
        <v>20020000</v>
      </c>
      <c r="K1280" s="43">
        <f t="shared" si="1228"/>
        <v>0</v>
      </c>
      <c r="L1280" s="105"/>
      <c r="M1280" s="106"/>
      <c r="N1280" s="105"/>
      <c r="O1280" s="43">
        <f t="shared" ref="O1280:P1280" si="1229">O1281</f>
        <v>20020000</v>
      </c>
      <c r="P1280" s="43">
        <f t="shared" si="1229"/>
        <v>20020000</v>
      </c>
      <c r="Q1280" s="43">
        <v>2.002E7</v>
      </c>
      <c r="R1280" s="153"/>
      <c r="S1280" s="153"/>
      <c r="T1280" s="99"/>
      <c r="U1280" s="99"/>
      <c r="V1280" s="99"/>
      <c r="W1280" s="99"/>
      <c r="X1280" s="99"/>
      <c r="Y1280" s="99"/>
      <c r="Z1280" s="99"/>
      <c r="AA1280" s="99"/>
      <c r="AB1280" s="99"/>
      <c r="AC1280" s="99"/>
      <c r="AD1280" s="99"/>
      <c r="AE1280" s="99"/>
      <c r="AF1280" s="99"/>
      <c r="AG1280" s="99"/>
      <c r="AH1280" s="99"/>
      <c r="AI1280" s="99"/>
      <c r="AJ1280" s="99"/>
      <c r="AK1280" s="99"/>
      <c r="AL1280" s="99"/>
      <c r="AM1280" s="99"/>
    </row>
    <row r="1281" ht="12.75" customHeight="1">
      <c r="A1281" s="110" t="s">
        <v>68</v>
      </c>
      <c r="D1281" s="145" t="s">
        <v>69</v>
      </c>
      <c r="G1281" s="104"/>
      <c r="H1281" s="133"/>
      <c r="I1281" s="104"/>
      <c r="J1281" s="134">
        <f t="shared" ref="J1281:K1281" si="1230">SUM(J1283:J1287)</f>
        <v>20020000</v>
      </c>
      <c r="K1281" s="46">
        <f t="shared" si="1230"/>
        <v>0</v>
      </c>
      <c r="L1281" s="105"/>
      <c r="M1281" s="106"/>
      <c r="N1281" s="105"/>
      <c r="O1281" s="46">
        <f t="shared" ref="O1281:P1281" si="1231">SUM(O1283:O1287)</f>
        <v>20020000</v>
      </c>
      <c r="P1281" s="46">
        <f t="shared" si="1231"/>
        <v>20020000</v>
      </c>
      <c r="Q1281" s="46">
        <v>2.002E7</v>
      </c>
      <c r="R1281" s="153"/>
      <c r="S1281" s="153"/>
      <c r="T1281" s="99"/>
      <c r="U1281" s="99"/>
      <c r="V1281" s="99"/>
      <c r="W1281" s="99"/>
      <c r="X1281" s="99"/>
      <c r="Y1281" s="99"/>
      <c r="Z1281" s="99"/>
      <c r="AA1281" s="99"/>
      <c r="AB1281" s="99"/>
      <c r="AC1281" s="99"/>
      <c r="AD1281" s="99"/>
      <c r="AE1281" s="99"/>
      <c r="AF1281" s="99"/>
      <c r="AG1281" s="99"/>
      <c r="AH1281" s="99"/>
      <c r="AI1281" s="99"/>
      <c r="AJ1281" s="99"/>
      <c r="AK1281" s="99"/>
      <c r="AL1281" s="99"/>
      <c r="AM1281" s="99"/>
    </row>
    <row r="1282" ht="12.75" customHeight="1">
      <c r="A1282" s="104"/>
      <c r="B1282" s="104"/>
      <c r="C1282" s="104"/>
      <c r="D1282" s="110" t="s">
        <v>23</v>
      </c>
      <c r="G1282" s="104"/>
      <c r="H1282" s="104"/>
      <c r="I1282" s="104"/>
      <c r="J1282" s="111"/>
      <c r="K1282" s="111"/>
      <c r="L1282" s="105"/>
      <c r="M1282" s="106"/>
      <c r="N1282" s="105"/>
      <c r="O1282" s="111"/>
      <c r="P1282" s="111"/>
      <c r="Q1282" s="111"/>
      <c r="R1282" s="153"/>
      <c r="S1282" s="153"/>
      <c r="T1282" s="99"/>
      <c r="U1282" s="99"/>
      <c r="V1282" s="99"/>
      <c r="W1282" s="99"/>
      <c r="X1282" s="99"/>
      <c r="Y1282" s="99"/>
      <c r="Z1282" s="99"/>
      <c r="AA1282" s="99"/>
      <c r="AB1282" s="99"/>
      <c r="AC1282" s="99"/>
      <c r="AD1282" s="99"/>
      <c r="AE1282" s="99"/>
      <c r="AF1282" s="99"/>
      <c r="AG1282" s="99"/>
      <c r="AH1282" s="99"/>
      <c r="AI1282" s="99"/>
      <c r="AJ1282" s="99"/>
      <c r="AK1282" s="99"/>
      <c r="AL1282" s="99"/>
      <c r="AM1282" s="99"/>
    </row>
    <row r="1283" ht="12.75" customHeight="1">
      <c r="A1283" s="104"/>
      <c r="B1283" s="104"/>
      <c r="C1283" s="104"/>
      <c r="D1283" s="110" t="s">
        <v>24</v>
      </c>
      <c r="E1283" s="110" t="s">
        <v>183</v>
      </c>
      <c r="G1283" s="136">
        <v>150.0</v>
      </c>
      <c r="H1283" s="136" t="s">
        <v>95</v>
      </c>
      <c r="I1283" s="137">
        <v>75000.0</v>
      </c>
      <c r="J1283" s="46">
        <f t="shared" ref="J1283:J1287" si="1232">G1283*I1283</f>
        <v>11250000</v>
      </c>
      <c r="K1283" s="46"/>
      <c r="L1283" s="105"/>
      <c r="M1283" s="106"/>
      <c r="N1283" s="105"/>
      <c r="O1283" s="46">
        <f t="shared" ref="O1283:O1287" si="1233">J1283-K1283</f>
        <v>11250000</v>
      </c>
      <c r="P1283" s="46">
        <f t="shared" ref="P1283:P1287" si="1234">J1283-M1283</f>
        <v>11250000</v>
      </c>
      <c r="Q1283" s="46">
        <v>1.125E7</v>
      </c>
      <c r="R1283" s="153"/>
      <c r="S1283" s="153"/>
      <c r="T1283" s="99"/>
      <c r="U1283" s="99"/>
      <c r="V1283" s="99"/>
      <c r="W1283" s="99"/>
      <c r="X1283" s="99"/>
      <c r="Y1283" s="99"/>
      <c r="Z1283" s="99"/>
      <c r="AA1283" s="99"/>
      <c r="AB1283" s="99"/>
      <c r="AC1283" s="99"/>
      <c r="AD1283" s="99"/>
      <c r="AE1283" s="99"/>
      <c r="AF1283" s="99"/>
      <c r="AG1283" s="99"/>
      <c r="AH1283" s="99"/>
      <c r="AI1283" s="99"/>
      <c r="AJ1283" s="99"/>
      <c r="AK1283" s="99"/>
      <c r="AL1283" s="99"/>
      <c r="AM1283" s="99"/>
    </row>
    <row r="1284" ht="12.75" customHeight="1">
      <c r="A1284" s="104"/>
      <c r="B1284" s="104"/>
      <c r="C1284" s="104"/>
      <c r="D1284" s="110" t="s">
        <v>24</v>
      </c>
      <c r="E1284" s="110" t="s">
        <v>137</v>
      </c>
      <c r="G1284" s="136">
        <v>2.0</v>
      </c>
      <c r="H1284" s="136" t="s">
        <v>95</v>
      </c>
      <c r="I1284" s="137">
        <v>360000.0</v>
      </c>
      <c r="J1284" s="46">
        <f t="shared" si="1232"/>
        <v>720000</v>
      </c>
      <c r="K1284" s="46"/>
      <c r="L1284" s="105"/>
      <c r="M1284" s="106"/>
      <c r="N1284" s="105"/>
      <c r="O1284" s="46">
        <f t="shared" si="1233"/>
        <v>720000</v>
      </c>
      <c r="P1284" s="46">
        <f t="shared" si="1234"/>
        <v>720000</v>
      </c>
      <c r="Q1284" s="46">
        <v>720000.0</v>
      </c>
      <c r="R1284" s="153"/>
      <c r="S1284" s="153"/>
      <c r="T1284" s="99"/>
      <c r="U1284" s="99"/>
      <c r="V1284" s="99"/>
      <c r="W1284" s="99"/>
      <c r="X1284" s="99"/>
      <c r="Y1284" s="99"/>
      <c r="Z1284" s="99"/>
      <c r="AA1284" s="99"/>
      <c r="AB1284" s="99"/>
      <c r="AC1284" s="99"/>
      <c r="AD1284" s="99"/>
      <c r="AE1284" s="99"/>
      <c r="AF1284" s="99"/>
      <c r="AG1284" s="99"/>
      <c r="AH1284" s="99"/>
      <c r="AI1284" s="99"/>
      <c r="AJ1284" s="99"/>
      <c r="AK1284" s="99"/>
      <c r="AL1284" s="99"/>
      <c r="AM1284" s="99"/>
    </row>
    <row r="1285" ht="15.75" customHeight="1">
      <c r="A1285" s="104"/>
      <c r="B1285" s="104"/>
      <c r="C1285" s="104"/>
      <c r="D1285" s="110" t="s">
        <v>24</v>
      </c>
      <c r="E1285" s="110" t="s">
        <v>184</v>
      </c>
      <c r="G1285" s="136">
        <v>50.0</v>
      </c>
      <c r="H1285" s="136" t="s">
        <v>95</v>
      </c>
      <c r="I1285" s="137">
        <v>93000.0</v>
      </c>
      <c r="J1285" s="46">
        <f t="shared" si="1232"/>
        <v>4650000</v>
      </c>
      <c r="K1285" s="46"/>
      <c r="L1285" s="105"/>
      <c r="M1285" s="106"/>
      <c r="N1285" s="105"/>
      <c r="O1285" s="46">
        <f t="shared" si="1233"/>
        <v>4650000</v>
      </c>
      <c r="P1285" s="46">
        <f t="shared" si="1234"/>
        <v>4650000</v>
      </c>
      <c r="Q1285" s="46">
        <v>4650000.0</v>
      </c>
      <c r="R1285" s="153"/>
      <c r="S1285" s="153"/>
      <c r="T1285" s="99"/>
      <c r="U1285" s="99"/>
      <c r="V1285" s="99"/>
      <c r="W1285" s="99"/>
      <c r="X1285" s="99"/>
      <c r="Y1285" s="99"/>
      <c r="Z1285" s="99"/>
      <c r="AA1285" s="99"/>
      <c r="AB1285" s="99"/>
      <c r="AC1285" s="99"/>
      <c r="AD1285" s="99"/>
      <c r="AE1285" s="99"/>
      <c r="AF1285" s="99"/>
      <c r="AG1285" s="99"/>
      <c r="AH1285" s="99"/>
      <c r="AI1285" s="99"/>
      <c r="AJ1285" s="99"/>
      <c r="AK1285" s="99"/>
      <c r="AL1285" s="99"/>
      <c r="AM1285" s="99"/>
    </row>
    <row r="1286" ht="12.75" customHeight="1">
      <c r="A1286" s="104"/>
      <c r="B1286" s="104"/>
      <c r="C1286" s="104"/>
      <c r="D1286" s="110" t="s">
        <v>24</v>
      </c>
      <c r="E1286" s="110" t="s">
        <v>185</v>
      </c>
      <c r="G1286" s="136">
        <v>50.0</v>
      </c>
      <c r="H1286" s="136" t="s">
        <v>95</v>
      </c>
      <c r="I1286" s="137">
        <v>53000.0</v>
      </c>
      <c r="J1286" s="46">
        <f t="shared" si="1232"/>
        <v>2650000</v>
      </c>
      <c r="K1286" s="46"/>
      <c r="L1286" s="105"/>
      <c r="M1286" s="106"/>
      <c r="N1286" s="105"/>
      <c r="O1286" s="46">
        <f t="shared" si="1233"/>
        <v>2650000</v>
      </c>
      <c r="P1286" s="46">
        <f t="shared" si="1234"/>
        <v>2650000</v>
      </c>
      <c r="Q1286" s="46">
        <v>2650000.0</v>
      </c>
      <c r="R1286" s="153"/>
      <c r="S1286" s="153"/>
      <c r="T1286" s="99"/>
      <c r="U1286" s="99"/>
      <c r="V1286" s="99"/>
      <c r="W1286" s="99"/>
      <c r="X1286" s="99"/>
      <c r="Y1286" s="99"/>
      <c r="Z1286" s="99"/>
      <c r="AA1286" s="99"/>
      <c r="AB1286" s="99"/>
      <c r="AC1286" s="99"/>
      <c r="AD1286" s="99"/>
      <c r="AE1286" s="99"/>
      <c r="AF1286" s="99"/>
      <c r="AG1286" s="99"/>
      <c r="AH1286" s="99"/>
      <c r="AI1286" s="99"/>
      <c r="AJ1286" s="99"/>
      <c r="AK1286" s="99"/>
      <c r="AL1286" s="99"/>
      <c r="AM1286" s="99"/>
    </row>
    <row r="1287" ht="12.75" customHeight="1">
      <c r="A1287" s="104"/>
      <c r="B1287" s="104"/>
      <c r="C1287" s="104"/>
      <c r="D1287" s="110" t="s">
        <v>24</v>
      </c>
      <c r="E1287" s="110" t="s">
        <v>186</v>
      </c>
      <c r="G1287" s="136">
        <v>50.0</v>
      </c>
      <c r="H1287" s="136" t="s">
        <v>95</v>
      </c>
      <c r="I1287" s="137">
        <v>15000.0</v>
      </c>
      <c r="J1287" s="46">
        <f t="shared" si="1232"/>
        <v>750000</v>
      </c>
      <c r="K1287" s="46"/>
      <c r="L1287" s="105"/>
      <c r="M1287" s="106"/>
      <c r="N1287" s="105"/>
      <c r="O1287" s="46">
        <f t="shared" si="1233"/>
        <v>750000</v>
      </c>
      <c r="P1287" s="46">
        <f t="shared" si="1234"/>
        <v>750000</v>
      </c>
      <c r="Q1287" s="46">
        <v>750000.0</v>
      </c>
      <c r="R1287" s="153"/>
      <c r="S1287" s="153"/>
      <c r="T1287" s="99"/>
      <c r="U1287" s="99"/>
      <c r="V1287" s="99"/>
      <c r="W1287" s="99"/>
      <c r="X1287" s="99"/>
      <c r="Y1287" s="99"/>
      <c r="Z1287" s="99"/>
      <c r="AA1287" s="99"/>
      <c r="AB1287" s="99"/>
      <c r="AC1287" s="99"/>
      <c r="AD1287" s="99"/>
      <c r="AE1287" s="99"/>
      <c r="AF1287" s="99"/>
      <c r="AG1287" s="99"/>
      <c r="AH1287" s="99"/>
      <c r="AI1287" s="99"/>
      <c r="AJ1287" s="99"/>
      <c r="AK1287" s="99"/>
      <c r="AL1287" s="99"/>
      <c r="AM1287" s="99"/>
    </row>
    <row r="1288" ht="12.75" customHeight="1">
      <c r="A1288" s="144" t="s">
        <v>141</v>
      </c>
      <c r="D1288" s="144" t="s">
        <v>142</v>
      </c>
      <c r="G1288" s="104"/>
      <c r="H1288" s="128"/>
      <c r="I1288" s="104"/>
      <c r="J1288" s="129">
        <f t="shared" ref="J1288:K1288" si="1235">J1289</f>
        <v>145500000</v>
      </c>
      <c r="K1288" s="43">
        <f t="shared" si="1235"/>
        <v>0</v>
      </c>
      <c r="L1288" s="105"/>
      <c r="M1288" s="106"/>
      <c r="N1288" s="105"/>
      <c r="O1288" s="43">
        <f t="shared" ref="O1288:P1288" si="1236">O1289</f>
        <v>145500000</v>
      </c>
      <c r="P1288" s="43">
        <f t="shared" si="1236"/>
        <v>145500000</v>
      </c>
      <c r="Q1288" s="43">
        <v>1.455E8</v>
      </c>
      <c r="R1288" s="153"/>
      <c r="S1288" s="153"/>
      <c r="T1288" s="99"/>
      <c r="U1288" s="99"/>
      <c r="V1288" s="99"/>
      <c r="W1288" s="99"/>
      <c r="X1288" s="99"/>
      <c r="Y1288" s="99"/>
      <c r="Z1288" s="99"/>
      <c r="AA1288" s="99"/>
      <c r="AB1288" s="99"/>
      <c r="AC1288" s="99"/>
      <c r="AD1288" s="99"/>
      <c r="AE1288" s="99"/>
      <c r="AF1288" s="99"/>
      <c r="AG1288" s="99"/>
      <c r="AH1288" s="99"/>
      <c r="AI1288" s="99"/>
      <c r="AJ1288" s="99"/>
      <c r="AK1288" s="99"/>
      <c r="AL1288" s="99"/>
      <c r="AM1288" s="99"/>
    </row>
    <row r="1289" ht="12.75" customHeight="1">
      <c r="A1289" s="110" t="s">
        <v>68</v>
      </c>
      <c r="D1289" s="145" t="s">
        <v>69</v>
      </c>
      <c r="G1289" s="104"/>
      <c r="H1289" s="133"/>
      <c r="I1289" s="104"/>
      <c r="J1289" s="134">
        <f t="shared" ref="J1289:K1289" si="1237">SUM(J1291:J1293)</f>
        <v>145500000</v>
      </c>
      <c r="K1289" s="46">
        <f t="shared" si="1237"/>
        <v>0</v>
      </c>
      <c r="L1289" s="105"/>
      <c r="M1289" s="106"/>
      <c r="N1289" s="105"/>
      <c r="O1289" s="46">
        <f t="shared" ref="O1289:P1289" si="1238">SUM(O1291:O1293)</f>
        <v>145500000</v>
      </c>
      <c r="P1289" s="46">
        <f t="shared" si="1238"/>
        <v>145500000</v>
      </c>
      <c r="Q1289" s="46">
        <v>1.455E8</v>
      </c>
      <c r="R1289" s="153"/>
      <c r="S1289" s="153"/>
      <c r="T1289" s="99"/>
      <c r="U1289" s="99"/>
      <c r="V1289" s="99"/>
      <c r="W1289" s="99"/>
      <c r="X1289" s="99"/>
      <c r="Y1289" s="99"/>
      <c r="Z1289" s="99"/>
      <c r="AA1289" s="99"/>
      <c r="AB1289" s="99"/>
      <c r="AC1289" s="99"/>
      <c r="AD1289" s="99"/>
      <c r="AE1289" s="99"/>
      <c r="AF1289" s="99"/>
      <c r="AG1289" s="99"/>
      <c r="AH1289" s="99"/>
      <c r="AI1289" s="99"/>
      <c r="AJ1289" s="99"/>
      <c r="AK1289" s="99"/>
      <c r="AL1289" s="99"/>
      <c r="AM1289" s="99"/>
    </row>
    <row r="1290" ht="12.75" customHeight="1">
      <c r="A1290" s="104"/>
      <c r="B1290" s="104"/>
      <c r="C1290" s="104"/>
      <c r="D1290" s="110" t="s">
        <v>23</v>
      </c>
      <c r="G1290" s="104"/>
      <c r="H1290" s="104"/>
      <c r="I1290" s="104"/>
      <c r="J1290" s="111"/>
      <c r="K1290" s="111"/>
      <c r="L1290" s="105"/>
      <c r="M1290" s="106"/>
      <c r="N1290" s="105"/>
      <c r="O1290" s="111"/>
      <c r="P1290" s="111"/>
      <c r="Q1290" s="111"/>
      <c r="R1290" s="153"/>
      <c r="S1290" s="153"/>
      <c r="T1290" s="99"/>
      <c r="U1290" s="99"/>
      <c r="V1290" s="99"/>
      <c r="W1290" s="99"/>
      <c r="X1290" s="99"/>
      <c r="Y1290" s="99"/>
      <c r="Z1290" s="99"/>
      <c r="AA1290" s="99"/>
      <c r="AB1290" s="99"/>
      <c r="AC1290" s="99"/>
      <c r="AD1290" s="99"/>
      <c r="AE1290" s="99"/>
      <c r="AF1290" s="99"/>
      <c r="AG1290" s="99"/>
      <c r="AH1290" s="99"/>
      <c r="AI1290" s="99"/>
      <c r="AJ1290" s="99"/>
      <c r="AK1290" s="99"/>
      <c r="AL1290" s="99"/>
      <c r="AM1290" s="99"/>
    </row>
    <row r="1291" ht="15.75" customHeight="1">
      <c r="A1291" s="104"/>
      <c r="B1291" s="104"/>
      <c r="C1291" s="104"/>
      <c r="D1291" s="110" t="s">
        <v>24</v>
      </c>
      <c r="E1291" s="110" t="s">
        <v>187</v>
      </c>
      <c r="G1291" s="136">
        <v>50.0</v>
      </c>
      <c r="H1291" s="136" t="s">
        <v>95</v>
      </c>
      <c r="I1291" s="137">
        <v>2000000.0</v>
      </c>
      <c r="J1291" s="46">
        <f t="shared" ref="J1291:J1293" si="1239">G1291*I1291</f>
        <v>100000000</v>
      </c>
      <c r="K1291" s="46"/>
      <c r="L1291" s="105"/>
      <c r="M1291" s="106"/>
      <c r="N1291" s="105"/>
      <c r="O1291" s="46">
        <f t="shared" ref="O1291:O1293" si="1240">J1291-K1291</f>
        <v>100000000</v>
      </c>
      <c r="P1291" s="46">
        <f t="shared" ref="P1291:P1293" si="1241">J1291-M1291</f>
        <v>100000000</v>
      </c>
      <c r="Q1291" s="46">
        <v>1.0E8</v>
      </c>
      <c r="R1291" s="153"/>
      <c r="S1291" s="153"/>
      <c r="T1291" s="99"/>
      <c r="U1291" s="99"/>
      <c r="V1291" s="99"/>
      <c r="W1291" s="99"/>
      <c r="X1291" s="99"/>
      <c r="Y1291" s="99"/>
      <c r="Z1291" s="99"/>
      <c r="AA1291" s="99"/>
      <c r="AB1291" s="99"/>
      <c r="AC1291" s="99"/>
      <c r="AD1291" s="99"/>
      <c r="AE1291" s="99"/>
      <c r="AF1291" s="99"/>
      <c r="AG1291" s="99"/>
      <c r="AH1291" s="99"/>
      <c r="AI1291" s="99"/>
      <c r="AJ1291" s="99"/>
      <c r="AK1291" s="99"/>
      <c r="AL1291" s="99"/>
      <c r="AM1291" s="99"/>
    </row>
    <row r="1292" ht="15.75" customHeight="1">
      <c r="A1292" s="104"/>
      <c r="B1292" s="104"/>
      <c r="C1292" s="104"/>
      <c r="D1292" s="110" t="s">
        <v>24</v>
      </c>
      <c r="E1292" s="110" t="s">
        <v>188</v>
      </c>
      <c r="G1292" s="136">
        <v>50.0</v>
      </c>
      <c r="H1292" s="136" t="s">
        <v>95</v>
      </c>
      <c r="I1292" s="137">
        <v>750000.0</v>
      </c>
      <c r="J1292" s="46">
        <f t="shared" si="1239"/>
        <v>37500000</v>
      </c>
      <c r="K1292" s="46"/>
      <c r="L1292" s="105"/>
      <c r="M1292" s="106"/>
      <c r="N1292" s="105"/>
      <c r="O1292" s="46">
        <f t="shared" si="1240"/>
        <v>37500000</v>
      </c>
      <c r="P1292" s="46">
        <f t="shared" si="1241"/>
        <v>37500000</v>
      </c>
      <c r="Q1292" s="46">
        <v>3.75E7</v>
      </c>
      <c r="R1292" s="153"/>
      <c r="S1292" s="153"/>
      <c r="T1292" s="99"/>
      <c r="U1292" s="99"/>
      <c r="V1292" s="99"/>
      <c r="W1292" s="99"/>
      <c r="X1292" s="99"/>
      <c r="Y1292" s="99"/>
      <c r="Z1292" s="99"/>
      <c r="AA1292" s="99"/>
      <c r="AB1292" s="99"/>
      <c r="AC1292" s="99"/>
      <c r="AD1292" s="99"/>
      <c r="AE1292" s="99"/>
      <c r="AF1292" s="99"/>
      <c r="AG1292" s="99"/>
      <c r="AH1292" s="99"/>
      <c r="AI1292" s="99"/>
      <c r="AJ1292" s="99"/>
      <c r="AK1292" s="99"/>
      <c r="AL1292" s="99"/>
      <c r="AM1292" s="99"/>
    </row>
    <row r="1293" ht="15.75" customHeight="1">
      <c r="A1293" s="104"/>
      <c r="B1293" s="104"/>
      <c r="C1293" s="104"/>
      <c r="D1293" s="110" t="s">
        <v>24</v>
      </c>
      <c r="E1293" s="110" t="s">
        <v>145</v>
      </c>
      <c r="G1293" s="136">
        <v>4.0</v>
      </c>
      <c r="H1293" s="136" t="s">
        <v>95</v>
      </c>
      <c r="I1293" s="137">
        <v>2000000.0</v>
      </c>
      <c r="J1293" s="46">
        <f t="shared" si="1239"/>
        <v>8000000</v>
      </c>
      <c r="K1293" s="46"/>
      <c r="L1293" s="105"/>
      <c r="M1293" s="106"/>
      <c r="N1293" s="105"/>
      <c r="O1293" s="46">
        <f t="shared" si="1240"/>
        <v>8000000</v>
      </c>
      <c r="P1293" s="46">
        <f t="shared" si="1241"/>
        <v>8000000</v>
      </c>
      <c r="Q1293" s="46">
        <v>8000000.0</v>
      </c>
      <c r="R1293" s="153"/>
      <c r="S1293" s="153"/>
      <c r="T1293" s="99"/>
      <c r="U1293" s="99"/>
      <c r="V1293" s="99"/>
      <c r="W1293" s="99"/>
      <c r="X1293" s="99"/>
      <c r="Y1293" s="99"/>
      <c r="Z1293" s="99"/>
      <c r="AA1293" s="99"/>
      <c r="AB1293" s="99"/>
      <c r="AC1293" s="99"/>
      <c r="AD1293" s="99"/>
      <c r="AE1293" s="99"/>
      <c r="AF1293" s="99"/>
      <c r="AG1293" s="99"/>
      <c r="AH1293" s="99"/>
      <c r="AI1293" s="99"/>
      <c r="AJ1293" s="99"/>
      <c r="AK1293" s="99"/>
      <c r="AL1293" s="99"/>
      <c r="AM1293" s="99"/>
    </row>
    <row r="1294" ht="12.75" customHeight="1">
      <c r="A1294" s="144" t="s">
        <v>146</v>
      </c>
      <c r="D1294" s="144" t="s">
        <v>147</v>
      </c>
      <c r="G1294" s="104"/>
      <c r="H1294" s="128"/>
      <c r="I1294" s="104"/>
      <c r="J1294" s="129">
        <f t="shared" ref="J1294:K1294" si="1242">J1295+J1302</f>
        <v>219800000</v>
      </c>
      <c r="K1294" s="43">
        <f t="shared" si="1242"/>
        <v>0</v>
      </c>
      <c r="L1294" s="105"/>
      <c r="M1294" s="106"/>
      <c r="N1294" s="105"/>
      <c r="O1294" s="43">
        <f t="shared" ref="O1294:P1294" si="1243">O1295+O1302</f>
        <v>219800000</v>
      </c>
      <c r="P1294" s="43">
        <f t="shared" si="1243"/>
        <v>211240000</v>
      </c>
      <c r="Q1294" s="43">
        <v>2.198E8</v>
      </c>
      <c r="R1294" s="153"/>
      <c r="S1294" s="153"/>
      <c r="T1294" s="99"/>
      <c r="U1294" s="99"/>
      <c r="V1294" s="99"/>
      <c r="W1294" s="99"/>
      <c r="X1294" s="99"/>
      <c r="Y1294" s="99"/>
      <c r="Z1294" s="99"/>
      <c r="AA1294" s="99"/>
      <c r="AB1294" s="99"/>
      <c r="AC1294" s="99"/>
      <c r="AD1294" s="99"/>
      <c r="AE1294" s="99"/>
      <c r="AF1294" s="99"/>
      <c r="AG1294" s="99"/>
      <c r="AH1294" s="99"/>
      <c r="AI1294" s="99"/>
      <c r="AJ1294" s="99"/>
      <c r="AK1294" s="99"/>
      <c r="AL1294" s="99"/>
      <c r="AM1294" s="99"/>
    </row>
    <row r="1295" ht="12.75" customHeight="1">
      <c r="A1295" s="110" t="s">
        <v>74</v>
      </c>
      <c r="D1295" s="145" t="s">
        <v>75</v>
      </c>
      <c r="G1295" s="104"/>
      <c r="H1295" s="133"/>
      <c r="I1295" s="104"/>
      <c r="J1295" s="134">
        <f t="shared" ref="J1295:K1295" si="1244">SUM(J1297:J1301)</f>
        <v>195800000</v>
      </c>
      <c r="K1295" s="46">
        <f t="shared" si="1244"/>
        <v>0</v>
      </c>
      <c r="L1295" s="105"/>
      <c r="M1295" s="106"/>
      <c r="N1295" s="105"/>
      <c r="O1295" s="46">
        <f t="shared" ref="O1295:P1295" si="1245">SUM(O1297:O1301)</f>
        <v>195800000</v>
      </c>
      <c r="P1295" s="46">
        <f t="shared" si="1245"/>
        <v>187580000</v>
      </c>
      <c r="Q1295" s="46">
        <v>1.958E8</v>
      </c>
      <c r="R1295" s="153"/>
      <c r="S1295" s="153"/>
      <c r="T1295" s="99"/>
      <c r="U1295" s="99"/>
      <c r="V1295" s="99"/>
      <c r="W1295" s="99"/>
      <c r="X1295" s="99"/>
      <c r="Y1295" s="99"/>
      <c r="Z1295" s="99"/>
      <c r="AA1295" s="99"/>
      <c r="AB1295" s="99"/>
      <c r="AC1295" s="99"/>
      <c r="AD1295" s="99"/>
      <c r="AE1295" s="99"/>
      <c r="AF1295" s="99"/>
      <c r="AG1295" s="99"/>
      <c r="AH1295" s="99"/>
      <c r="AI1295" s="99"/>
      <c r="AJ1295" s="99"/>
      <c r="AK1295" s="99"/>
      <c r="AL1295" s="99"/>
      <c r="AM1295" s="99"/>
    </row>
    <row r="1296" ht="12.75" customHeight="1">
      <c r="A1296" s="104"/>
      <c r="B1296" s="104"/>
      <c r="C1296" s="104"/>
      <c r="D1296" s="110" t="s">
        <v>23</v>
      </c>
      <c r="G1296" s="104"/>
      <c r="H1296" s="104"/>
      <c r="I1296" s="104"/>
      <c r="J1296" s="111"/>
      <c r="K1296" s="111"/>
      <c r="L1296" s="105"/>
      <c r="M1296" s="106"/>
      <c r="N1296" s="105"/>
      <c r="O1296" s="111"/>
      <c r="P1296" s="111"/>
      <c r="Q1296" s="111"/>
      <c r="R1296" s="153"/>
      <c r="S1296" s="153"/>
      <c r="T1296" s="99"/>
      <c r="U1296" s="99"/>
      <c r="V1296" s="99"/>
      <c r="W1296" s="99"/>
      <c r="X1296" s="99"/>
      <c r="Y1296" s="99"/>
      <c r="Z1296" s="99"/>
      <c r="AA1296" s="99"/>
      <c r="AB1296" s="99"/>
      <c r="AC1296" s="99"/>
      <c r="AD1296" s="99"/>
      <c r="AE1296" s="99"/>
      <c r="AF1296" s="99"/>
      <c r="AG1296" s="99"/>
      <c r="AH1296" s="99"/>
      <c r="AI1296" s="99"/>
      <c r="AJ1296" s="99"/>
      <c r="AK1296" s="99"/>
      <c r="AL1296" s="99"/>
      <c r="AM1296" s="99"/>
    </row>
    <row r="1297" ht="12.75" customHeight="1">
      <c r="A1297" s="104"/>
      <c r="B1297" s="104"/>
      <c r="C1297" s="104"/>
      <c r="D1297" s="110" t="s">
        <v>24</v>
      </c>
      <c r="E1297" s="110" t="s">
        <v>291</v>
      </c>
      <c r="G1297" s="136">
        <v>75.0</v>
      </c>
      <c r="H1297" s="136" t="s">
        <v>95</v>
      </c>
      <c r="I1297" s="137">
        <v>430000.0</v>
      </c>
      <c r="J1297" s="46">
        <f t="shared" ref="J1297:J1301" si="1246">G1297*I1297</f>
        <v>32250000</v>
      </c>
      <c r="K1297" s="46"/>
      <c r="L1297" s="105"/>
      <c r="M1297" s="154">
        <v>2920000.0</v>
      </c>
      <c r="N1297" s="105"/>
      <c r="O1297" s="46">
        <f t="shared" ref="O1297:O1301" si="1247">J1297-K1297</f>
        <v>32250000</v>
      </c>
      <c r="P1297" s="46">
        <f t="shared" ref="P1297:P1301" si="1248">J1297-M1297</f>
        <v>29330000</v>
      </c>
      <c r="Q1297" s="46">
        <v>3.225E7</v>
      </c>
      <c r="R1297" s="154"/>
      <c r="S1297" s="155" t="s">
        <v>195</v>
      </c>
      <c r="T1297" s="99"/>
      <c r="U1297" s="99"/>
      <c r="V1297" s="99"/>
      <c r="W1297" s="99"/>
      <c r="X1297" s="99"/>
      <c r="Y1297" s="99"/>
      <c r="Z1297" s="99"/>
      <c r="AA1297" s="99"/>
      <c r="AB1297" s="99"/>
      <c r="AC1297" s="99"/>
      <c r="AD1297" s="99"/>
      <c r="AE1297" s="99"/>
      <c r="AF1297" s="99"/>
      <c r="AG1297" s="99"/>
      <c r="AH1297" s="99"/>
      <c r="AI1297" s="99"/>
      <c r="AJ1297" s="99"/>
      <c r="AK1297" s="99"/>
      <c r="AL1297" s="99"/>
      <c r="AM1297" s="99"/>
    </row>
    <row r="1298" ht="15.75" customHeight="1">
      <c r="A1298" s="104"/>
      <c r="B1298" s="104"/>
      <c r="C1298" s="104"/>
      <c r="D1298" s="110" t="s">
        <v>24</v>
      </c>
      <c r="E1298" s="110" t="s">
        <v>292</v>
      </c>
      <c r="G1298" s="136">
        <v>50.0</v>
      </c>
      <c r="H1298" s="136" t="s">
        <v>95</v>
      </c>
      <c r="I1298" s="137">
        <v>783500.0</v>
      </c>
      <c r="J1298" s="46">
        <f t="shared" si="1246"/>
        <v>39175000</v>
      </c>
      <c r="K1298" s="46"/>
      <c r="L1298" s="105"/>
      <c r="M1298" s="106"/>
      <c r="N1298" s="105"/>
      <c r="O1298" s="46">
        <f t="shared" si="1247"/>
        <v>39175000</v>
      </c>
      <c r="P1298" s="46">
        <f t="shared" si="1248"/>
        <v>39175000</v>
      </c>
      <c r="Q1298" s="46">
        <v>3.9175E7</v>
      </c>
      <c r="R1298" s="153"/>
      <c r="S1298" s="153"/>
      <c r="T1298" s="99"/>
      <c r="U1298" s="99"/>
      <c r="V1298" s="99"/>
      <c r="W1298" s="99"/>
      <c r="X1298" s="99"/>
      <c r="Y1298" s="99"/>
      <c r="Z1298" s="99"/>
      <c r="AA1298" s="99"/>
      <c r="AB1298" s="99"/>
      <c r="AC1298" s="99"/>
      <c r="AD1298" s="99"/>
      <c r="AE1298" s="99"/>
      <c r="AF1298" s="99"/>
      <c r="AG1298" s="99"/>
      <c r="AH1298" s="99"/>
      <c r="AI1298" s="99"/>
      <c r="AJ1298" s="99"/>
      <c r="AK1298" s="99"/>
      <c r="AL1298" s="99"/>
      <c r="AM1298" s="99"/>
    </row>
    <row r="1299" ht="12.75" customHeight="1">
      <c r="A1299" s="104"/>
      <c r="B1299" s="104"/>
      <c r="C1299" s="104"/>
      <c r="D1299" s="110" t="s">
        <v>24</v>
      </c>
      <c r="E1299" s="110" t="s">
        <v>293</v>
      </c>
      <c r="G1299" s="136">
        <v>25.0</v>
      </c>
      <c r="H1299" s="136" t="s">
        <v>95</v>
      </c>
      <c r="I1299" s="137">
        <v>875000.0</v>
      </c>
      <c r="J1299" s="46">
        <f t="shared" si="1246"/>
        <v>21875000</v>
      </c>
      <c r="K1299" s="46"/>
      <c r="L1299" s="105"/>
      <c r="M1299" s="106"/>
      <c r="N1299" s="105"/>
      <c r="O1299" s="46">
        <f t="shared" si="1247"/>
        <v>21875000</v>
      </c>
      <c r="P1299" s="46">
        <f t="shared" si="1248"/>
        <v>21875000</v>
      </c>
      <c r="Q1299" s="46">
        <v>2.1875E7</v>
      </c>
      <c r="R1299" s="153"/>
      <c r="S1299" s="153"/>
      <c r="T1299" s="99"/>
      <c r="U1299" s="99"/>
      <c r="V1299" s="99"/>
      <c r="W1299" s="99"/>
      <c r="X1299" s="99"/>
      <c r="Y1299" s="99"/>
      <c r="Z1299" s="99"/>
      <c r="AA1299" s="99"/>
      <c r="AB1299" s="99"/>
      <c r="AC1299" s="99"/>
      <c r="AD1299" s="99"/>
      <c r="AE1299" s="99"/>
      <c r="AF1299" s="99"/>
      <c r="AG1299" s="99"/>
      <c r="AH1299" s="99"/>
      <c r="AI1299" s="99"/>
      <c r="AJ1299" s="99"/>
      <c r="AK1299" s="99"/>
      <c r="AL1299" s="99"/>
      <c r="AM1299" s="99"/>
    </row>
    <row r="1300" ht="15.75" customHeight="1">
      <c r="A1300" s="104"/>
      <c r="B1300" s="104"/>
      <c r="C1300" s="104"/>
      <c r="D1300" s="110" t="s">
        <v>24</v>
      </c>
      <c r="E1300" s="110" t="s">
        <v>294</v>
      </c>
      <c r="G1300" s="136">
        <v>100.0</v>
      </c>
      <c r="H1300" s="136" t="s">
        <v>95</v>
      </c>
      <c r="I1300" s="137">
        <v>500000.0</v>
      </c>
      <c r="J1300" s="46">
        <f t="shared" si="1246"/>
        <v>50000000</v>
      </c>
      <c r="K1300" s="46"/>
      <c r="L1300" s="105"/>
      <c r="M1300" s="154">
        <v>5300000.0</v>
      </c>
      <c r="N1300" s="105"/>
      <c r="O1300" s="46">
        <f t="shared" si="1247"/>
        <v>50000000</v>
      </c>
      <c r="P1300" s="46">
        <f t="shared" si="1248"/>
        <v>44700000</v>
      </c>
      <c r="Q1300" s="46">
        <v>5.0E7</v>
      </c>
      <c r="R1300" s="154"/>
      <c r="S1300" s="155" t="s">
        <v>195</v>
      </c>
      <c r="T1300" s="99"/>
      <c r="U1300" s="99"/>
      <c r="V1300" s="99"/>
      <c r="W1300" s="99"/>
      <c r="X1300" s="99"/>
      <c r="Y1300" s="99"/>
      <c r="Z1300" s="99"/>
      <c r="AA1300" s="99"/>
      <c r="AB1300" s="99"/>
      <c r="AC1300" s="99"/>
      <c r="AD1300" s="99"/>
      <c r="AE1300" s="99"/>
      <c r="AF1300" s="99"/>
      <c r="AG1300" s="99"/>
      <c r="AH1300" s="99"/>
      <c r="AI1300" s="99"/>
      <c r="AJ1300" s="99"/>
      <c r="AK1300" s="99"/>
      <c r="AL1300" s="99"/>
      <c r="AM1300" s="99"/>
    </row>
    <row r="1301" ht="15.75" customHeight="1">
      <c r="A1301" s="104"/>
      <c r="B1301" s="104"/>
      <c r="C1301" s="104"/>
      <c r="D1301" s="110" t="s">
        <v>24</v>
      </c>
      <c r="E1301" s="110" t="s">
        <v>295</v>
      </c>
      <c r="G1301" s="136">
        <v>150.0</v>
      </c>
      <c r="H1301" s="136" t="s">
        <v>95</v>
      </c>
      <c r="I1301" s="137">
        <v>350000.0</v>
      </c>
      <c r="J1301" s="46">
        <f t="shared" si="1246"/>
        <v>52500000</v>
      </c>
      <c r="K1301" s="46"/>
      <c r="L1301" s="105"/>
      <c r="M1301" s="106"/>
      <c r="N1301" s="105"/>
      <c r="O1301" s="46">
        <f t="shared" si="1247"/>
        <v>52500000</v>
      </c>
      <c r="P1301" s="46">
        <f t="shared" si="1248"/>
        <v>52500000</v>
      </c>
      <c r="Q1301" s="46">
        <v>5.25E7</v>
      </c>
      <c r="R1301" s="153"/>
      <c r="S1301" s="153"/>
      <c r="T1301" s="99"/>
      <c r="U1301" s="99"/>
      <c r="V1301" s="99"/>
      <c r="W1301" s="99"/>
      <c r="X1301" s="99"/>
      <c r="Y1301" s="99"/>
      <c r="Z1301" s="99"/>
      <c r="AA1301" s="99"/>
      <c r="AB1301" s="99"/>
      <c r="AC1301" s="99"/>
      <c r="AD1301" s="99"/>
      <c r="AE1301" s="99"/>
      <c r="AF1301" s="99"/>
      <c r="AG1301" s="99"/>
      <c r="AH1301" s="99"/>
      <c r="AI1301" s="99"/>
      <c r="AJ1301" s="99"/>
      <c r="AK1301" s="99"/>
      <c r="AL1301" s="99"/>
      <c r="AM1301" s="99"/>
    </row>
    <row r="1302" ht="12.75" customHeight="1">
      <c r="A1302" s="110" t="s">
        <v>79</v>
      </c>
      <c r="D1302" s="145" t="s">
        <v>80</v>
      </c>
      <c r="G1302" s="104"/>
      <c r="H1302" s="133"/>
      <c r="I1302" s="104"/>
      <c r="J1302" s="134">
        <f t="shared" ref="J1302:K1302" si="1249">J1304</f>
        <v>24000000</v>
      </c>
      <c r="K1302" s="46" t="str">
        <f t="shared" si="1249"/>
        <v/>
      </c>
      <c r="L1302" s="105"/>
      <c r="M1302" s="106"/>
      <c r="N1302" s="105"/>
      <c r="O1302" s="46">
        <f t="shared" ref="O1302:P1302" si="1250">O1304</f>
        <v>24000000</v>
      </c>
      <c r="P1302" s="46">
        <f t="shared" si="1250"/>
        <v>23660000</v>
      </c>
      <c r="Q1302" s="46">
        <v>2.4E7</v>
      </c>
      <c r="R1302" s="153"/>
      <c r="S1302" s="153"/>
      <c r="T1302" s="99"/>
      <c r="U1302" s="99"/>
      <c r="V1302" s="99"/>
      <c r="W1302" s="99"/>
      <c r="X1302" s="99"/>
      <c r="Y1302" s="99"/>
      <c r="Z1302" s="99"/>
      <c r="AA1302" s="99"/>
      <c r="AB1302" s="99"/>
      <c r="AC1302" s="99"/>
      <c r="AD1302" s="99"/>
      <c r="AE1302" s="99"/>
      <c r="AF1302" s="99"/>
      <c r="AG1302" s="99"/>
      <c r="AH1302" s="99"/>
      <c r="AI1302" s="99"/>
      <c r="AJ1302" s="99"/>
      <c r="AK1302" s="99"/>
      <c r="AL1302" s="99"/>
      <c r="AM1302" s="99"/>
    </row>
    <row r="1303" ht="12.75" customHeight="1">
      <c r="A1303" s="104"/>
      <c r="B1303" s="104"/>
      <c r="C1303" s="104"/>
      <c r="D1303" s="110" t="s">
        <v>23</v>
      </c>
      <c r="G1303" s="104"/>
      <c r="H1303" s="104"/>
      <c r="I1303" s="104"/>
      <c r="J1303" s="111"/>
      <c r="K1303" s="111"/>
      <c r="L1303" s="105"/>
      <c r="M1303" s="106"/>
      <c r="N1303" s="105"/>
      <c r="O1303" s="111"/>
      <c r="P1303" s="111"/>
      <c r="Q1303" s="111"/>
      <c r="R1303" s="153"/>
      <c r="S1303" s="153"/>
      <c r="T1303" s="99"/>
      <c r="U1303" s="99"/>
      <c r="V1303" s="99"/>
      <c r="W1303" s="99"/>
      <c r="X1303" s="99"/>
      <c r="Y1303" s="99"/>
      <c r="Z1303" s="99"/>
      <c r="AA1303" s="99"/>
      <c r="AB1303" s="99"/>
      <c r="AC1303" s="99"/>
      <c r="AD1303" s="99"/>
      <c r="AE1303" s="99"/>
      <c r="AF1303" s="99"/>
      <c r="AG1303" s="99"/>
      <c r="AH1303" s="99"/>
      <c r="AI1303" s="99"/>
      <c r="AJ1303" s="99"/>
      <c r="AK1303" s="99"/>
      <c r="AL1303" s="99"/>
      <c r="AM1303" s="99"/>
    </row>
    <row r="1304" ht="12.75" customHeight="1">
      <c r="A1304" s="104"/>
      <c r="B1304" s="104"/>
      <c r="C1304" s="104"/>
      <c r="D1304" s="110" t="s">
        <v>24</v>
      </c>
      <c r="E1304" s="110" t="s">
        <v>296</v>
      </c>
      <c r="G1304" s="136">
        <v>160.0</v>
      </c>
      <c r="H1304" s="136" t="s">
        <v>95</v>
      </c>
      <c r="I1304" s="137">
        <v>150000.0</v>
      </c>
      <c r="J1304" s="46">
        <f>G1304*I1304</f>
        <v>24000000</v>
      </c>
      <c r="K1304" s="46"/>
      <c r="L1304" s="105"/>
      <c r="M1304" s="154">
        <v>340000.0</v>
      </c>
      <c r="N1304" s="105"/>
      <c r="O1304" s="46">
        <f>J1304-K1304</f>
        <v>24000000</v>
      </c>
      <c r="P1304" s="46">
        <f>J1304-M1304</f>
        <v>23660000</v>
      </c>
      <c r="Q1304" s="46">
        <v>2.4E7</v>
      </c>
      <c r="R1304" s="154"/>
      <c r="S1304" s="155" t="s">
        <v>195</v>
      </c>
      <c r="T1304" s="99"/>
      <c r="U1304" s="99"/>
      <c r="V1304" s="99"/>
      <c r="W1304" s="99"/>
      <c r="X1304" s="99"/>
      <c r="Y1304" s="99"/>
      <c r="Z1304" s="99"/>
      <c r="AA1304" s="99"/>
      <c r="AB1304" s="99"/>
      <c r="AC1304" s="99"/>
      <c r="AD1304" s="99"/>
      <c r="AE1304" s="99"/>
      <c r="AF1304" s="99"/>
      <c r="AG1304" s="99"/>
      <c r="AH1304" s="99"/>
      <c r="AI1304" s="99"/>
      <c r="AJ1304" s="99"/>
      <c r="AK1304" s="99"/>
      <c r="AL1304" s="99"/>
      <c r="AM1304" s="99"/>
    </row>
    <row r="1305" ht="19.5" customHeight="1">
      <c r="A1305" s="140" t="s">
        <v>202</v>
      </c>
      <c r="B1305" s="121"/>
      <c r="C1305" s="122"/>
      <c r="D1305" s="140" t="s">
        <v>203</v>
      </c>
      <c r="E1305" s="121"/>
      <c r="F1305" s="122"/>
      <c r="G1305" s="141" t="s">
        <v>306</v>
      </c>
      <c r="H1305" s="141" t="s">
        <v>306</v>
      </c>
      <c r="I1305" s="142"/>
      <c r="J1305" s="125">
        <f t="shared" ref="J1305:K1305" si="1251">J1306+J1320+J1332+J1345+J1362+J1371+J1381+J1386+J1402+J1416+J1424+J1432+J1438</f>
        <v>4068871000</v>
      </c>
      <c r="K1305" s="84">
        <f t="shared" si="1251"/>
        <v>0</v>
      </c>
      <c r="L1305" s="105"/>
      <c r="M1305" s="106"/>
      <c r="N1305" s="105"/>
      <c r="O1305" s="84">
        <f t="shared" ref="O1305:P1305" si="1252">O1306+O1320+O1332+O1345+O1362+O1371+O1381+O1386+O1402+O1416+O1424+O1432+O1438</f>
        <v>4068871000</v>
      </c>
      <c r="P1305" s="84">
        <f t="shared" si="1252"/>
        <v>4068871000</v>
      </c>
      <c r="Q1305" s="143">
        <v>4.068871E9</v>
      </c>
      <c r="R1305" s="101">
        <v>2.46959382E8</v>
      </c>
      <c r="S1305" s="101" t="s">
        <v>365</v>
      </c>
      <c r="T1305" s="99"/>
      <c r="U1305" s="99"/>
      <c r="V1305" s="99"/>
      <c r="W1305" s="99"/>
      <c r="X1305" s="99"/>
      <c r="Y1305" s="99"/>
      <c r="Z1305" s="99"/>
      <c r="AA1305" s="99"/>
      <c r="AB1305" s="99"/>
      <c r="AC1305" s="99"/>
      <c r="AD1305" s="99"/>
      <c r="AE1305" s="99"/>
      <c r="AF1305" s="99"/>
      <c r="AG1305" s="99"/>
      <c r="AH1305" s="99"/>
      <c r="AI1305" s="99"/>
      <c r="AJ1305" s="99"/>
      <c r="AK1305" s="99"/>
      <c r="AL1305" s="99"/>
      <c r="AM1305" s="99"/>
    </row>
    <row r="1306" ht="12.75" customHeight="1">
      <c r="A1306" s="144" t="s">
        <v>20</v>
      </c>
      <c r="D1306" s="144" t="s">
        <v>21</v>
      </c>
      <c r="G1306" s="104"/>
      <c r="H1306" s="104"/>
      <c r="I1306" s="104"/>
      <c r="J1306" s="129">
        <f t="shared" ref="J1306:K1306" si="1253">J1307+J1316</f>
        <v>195140000</v>
      </c>
      <c r="K1306" s="43">
        <f t="shared" si="1253"/>
        <v>0</v>
      </c>
      <c r="L1306" s="105"/>
      <c r="M1306" s="106"/>
      <c r="N1306" s="105"/>
      <c r="O1306" s="43">
        <f t="shared" ref="O1306:P1306" si="1254">O1307+O1316</f>
        <v>195140000</v>
      </c>
      <c r="P1306" s="43">
        <f t="shared" si="1254"/>
        <v>195140000</v>
      </c>
      <c r="Q1306" s="43">
        <v>1.9514E8</v>
      </c>
      <c r="R1306" s="101"/>
      <c r="S1306" s="101"/>
      <c r="T1306" s="99"/>
      <c r="U1306" s="99"/>
      <c r="V1306" s="99"/>
      <c r="W1306" s="99"/>
      <c r="X1306" s="99"/>
      <c r="Y1306" s="99"/>
      <c r="Z1306" s="99"/>
      <c r="AA1306" s="99"/>
      <c r="AB1306" s="99"/>
      <c r="AC1306" s="99"/>
      <c r="AD1306" s="99"/>
      <c r="AE1306" s="99"/>
      <c r="AF1306" s="99"/>
      <c r="AG1306" s="99"/>
      <c r="AH1306" s="99"/>
      <c r="AI1306" s="99"/>
      <c r="AJ1306" s="99"/>
      <c r="AK1306" s="99"/>
      <c r="AL1306" s="99"/>
      <c r="AM1306" s="99"/>
    </row>
    <row r="1307" ht="12.75" customHeight="1">
      <c r="A1307" s="110" t="s">
        <v>40</v>
      </c>
      <c r="D1307" s="145" t="s">
        <v>22</v>
      </c>
      <c r="G1307" s="104"/>
      <c r="H1307" s="104"/>
      <c r="I1307" s="104"/>
      <c r="J1307" s="134">
        <f t="shared" ref="J1307:K1307" si="1255">SUM(J1309:J1315)</f>
        <v>179140000</v>
      </c>
      <c r="K1307" s="46">
        <f t="shared" si="1255"/>
        <v>0</v>
      </c>
      <c r="L1307" s="105"/>
      <c r="M1307" s="106"/>
      <c r="N1307" s="105"/>
      <c r="O1307" s="46">
        <f t="shared" ref="O1307:P1307" si="1256">SUM(O1309:O1315)</f>
        <v>179140000</v>
      </c>
      <c r="P1307" s="46">
        <f t="shared" si="1256"/>
        <v>179140000</v>
      </c>
      <c r="Q1307" s="46">
        <v>1.7914E8</v>
      </c>
      <c r="R1307" s="101"/>
      <c r="S1307" s="101"/>
      <c r="T1307" s="99"/>
      <c r="U1307" s="99"/>
      <c r="V1307" s="99"/>
      <c r="W1307" s="99"/>
      <c r="X1307" s="99"/>
      <c r="Y1307" s="99"/>
      <c r="Z1307" s="99"/>
      <c r="AA1307" s="99"/>
      <c r="AB1307" s="99"/>
      <c r="AC1307" s="99"/>
      <c r="AD1307" s="99"/>
      <c r="AE1307" s="99"/>
      <c r="AF1307" s="99"/>
      <c r="AG1307" s="99"/>
      <c r="AH1307" s="99"/>
      <c r="AI1307" s="99"/>
      <c r="AJ1307" s="99"/>
      <c r="AK1307" s="99"/>
      <c r="AL1307" s="99"/>
      <c r="AM1307" s="99"/>
    </row>
    <row r="1308" ht="12.75" customHeight="1">
      <c r="A1308" s="104"/>
      <c r="B1308" s="104"/>
      <c r="C1308" s="104"/>
      <c r="D1308" s="110" t="s">
        <v>23</v>
      </c>
      <c r="G1308" s="104"/>
      <c r="H1308" s="104"/>
      <c r="I1308" s="104"/>
      <c r="J1308" s="111"/>
      <c r="K1308" s="111"/>
      <c r="L1308" s="105"/>
      <c r="M1308" s="106"/>
      <c r="N1308" s="105"/>
      <c r="O1308" s="111"/>
      <c r="P1308" s="111"/>
      <c r="Q1308" s="111"/>
      <c r="R1308" s="101"/>
      <c r="S1308" s="101"/>
      <c r="T1308" s="99"/>
      <c r="U1308" s="99"/>
      <c r="V1308" s="99"/>
      <c r="W1308" s="99"/>
      <c r="X1308" s="99"/>
      <c r="Y1308" s="99"/>
      <c r="Z1308" s="99"/>
      <c r="AA1308" s="99"/>
      <c r="AB1308" s="99"/>
      <c r="AC1308" s="99"/>
      <c r="AD1308" s="99"/>
      <c r="AE1308" s="99"/>
      <c r="AF1308" s="99"/>
      <c r="AG1308" s="99"/>
      <c r="AH1308" s="99"/>
      <c r="AI1308" s="99"/>
      <c r="AJ1308" s="99"/>
      <c r="AK1308" s="99"/>
      <c r="AL1308" s="99"/>
      <c r="AM1308" s="99"/>
    </row>
    <row r="1309" ht="12.75" customHeight="1">
      <c r="A1309" s="104"/>
      <c r="B1309" s="104"/>
      <c r="C1309" s="104"/>
      <c r="D1309" s="110" t="s">
        <v>24</v>
      </c>
      <c r="E1309" s="110" t="s">
        <v>246</v>
      </c>
      <c r="G1309" s="136">
        <v>36.0</v>
      </c>
      <c r="H1309" s="136" t="s">
        <v>26</v>
      </c>
      <c r="I1309" s="137">
        <v>500000.0</v>
      </c>
      <c r="J1309" s="46">
        <f t="shared" ref="J1309:J1315" si="1257">G1309*I1309</f>
        <v>18000000</v>
      </c>
      <c r="K1309" s="46"/>
      <c r="L1309" s="105"/>
      <c r="M1309" s="106"/>
      <c r="N1309" s="105"/>
      <c r="O1309" s="46">
        <f t="shared" ref="O1309:O1315" si="1258">J1309-K1309</f>
        <v>18000000</v>
      </c>
      <c r="P1309" s="46">
        <f t="shared" ref="P1309:P1315" si="1259">J1309-M1309</f>
        <v>18000000</v>
      </c>
      <c r="Q1309" s="46">
        <v>1.8E7</v>
      </c>
      <c r="R1309" s="101"/>
      <c r="S1309" s="101"/>
      <c r="T1309" s="99"/>
      <c r="U1309" s="99"/>
      <c r="V1309" s="99"/>
      <c r="W1309" s="99"/>
      <c r="X1309" s="99"/>
      <c r="Y1309" s="99"/>
      <c r="Z1309" s="99"/>
      <c r="AA1309" s="99"/>
      <c r="AB1309" s="99"/>
      <c r="AC1309" s="99"/>
      <c r="AD1309" s="99"/>
      <c r="AE1309" s="99"/>
      <c r="AF1309" s="99"/>
      <c r="AG1309" s="99"/>
      <c r="AH1309" s="99"/>
      <c r="AI1309" s="99"/>
      <c r="AJ1309" s="99"/>
      <c r="AK1309" s="99"/>
      <c r="AL1309" s="99"/>
      <c r="AM1309" s="99"/>
    </row>
    <row r="1310" ht="12.75" customHeight="1">
      <c r="A1310" s="104"/>
      <c r="B1310" s="104"/>
      <c r="C1310" s="104"/>
      <c r="D1310" s="110" t="s">
        <v>24</v>
      </c>
      <c r="E1310" s="110" t="s">
        <v>27</v>
      </c>
      <c r="G1310" s="136">
        <v>2.0</v>
      </c>
      <c r="H1310" s="136" t="s">
        <v>26</v>
      </c>
      <c r="I1310" s="137">
        <v>2000000.0</v>
      </c>
      <c r="J1310" s="46">
        <f t="shared" si="1257"/>
        <v>4000000</v>
      </c>
      <c r="K1310" s="46"/>
      <c r="L1310" s="105"/>
      <c r="M1310" s="106"/>
      <c r="N1310" s="105"/>
      <c r="O1310" s="46">
        <f t="shared" si="1258"/>
        <v>4000000</v>
      </c>
      <c r="P1310" s="46">
        <f t="shared" si="1259"/>
        <v>4000000</v>
      </c>
      <c r="Q1310" s="46">
        <v>4000000.0</v>
      </c>
      <c r="R1310" s="101"/>
      <c r="S1310" s="101"/>
      <c r="T1310" s="99"/>
      <c r="U1310" s="99"/>
      <c r="V1310" s="99"/>
      <c r="W1310" s="99"/>
      <c r="X1310" s="99"/>
      <c r="Y1310" s="99"/>
      <c r="Z1310" s="99"/>
      <c r="AA1310" s="99"/>
      <c r="AB1310" s="99"/>
      <c r="AC1310" s="99"/>
      <c r="AD1310" s="99"/>
      <c r="AE1310" s="99"/>
      <c r="AF1310" s="99"/>
      <c r="AG1310" s="99"/>
      <c r="AH1310" s="99"/>
      <c r="AI1310" s="99"/>
      <c r="AJ1310" s="99"/>
      <c r="AK1310" s="99"/>
      <c r="AL1310" s="99"/>
      <c r="AM1310" s="99"/>
    </row>
    <row r="1311" ht="15.75" customHeight="1">
      <c r="A1311" s="104"/>
      <c r="B1311" s="104"/>
      <c r="C1311" s="104"/>
      <c r="D1311" s="110" t="s">
        <v>24</v>
      </c>
      <c r="E1311" s="110" t="s">
        <v>28</v>
      </c>
      <c r="G1311" s="136">
        <v>10.0</v>
      </c>
      <c r="H1311" s="136" t="s">
        <v>26</v>
      </c>
      <c r="I1311" s="137">
        <v>500000.0</v>
      </c>
      <c r="J1311" s="46">
        <f t="shared" si="1257"/>
        <v>5000000</v>
      </c>
      <c r="K1311" s="46"/>
      <c r="L1311" s="105"/>
      <c r="M1311" s="106"/>
      <c r="N1311" s="105"/>
      <c r="O1311" s="46">
        <f t="shared" si="1258"/>
        <v>5000000</v>
      </c>
      <c r="P1311" s="46">
        <f t="shared" si="1259"/>
        <v>5000000</v>
      </c>
      <c r="Q1311" s="46">
        <v>5000000.0</v>
      </c>
      <c r="R1311" s="101"/>
      <c r="S1311" s="101"/>
      <c r="T1311" s="99"/>
      <c r="U1311" s="99"/>
      <c r="V1311" s="99"/>
      <c r="W1311" s="99"/>
      <c r="X1311" s="99"/>
      <c r="Y1311" s="99"/>
      <c r="Z1311" s="99"/>
      <c r="AA1311" s="99"/>
      <c r="AB1311" s="99"/>
      <c r="AC1311" s="99"/>
      <c r="AD1311" s="99"/>
      <c r="AE1311" s="99"/>
      <c r="AF1311" s="99"/>
      <c r="AG1311" s="99"/>
      <c r="AH1311" s="99"/>
      <c r="AI1311" s="99"/>
      <c r="AJ1311" s="99"/>
      <c r="AK1311" s="99"/>
      <c r="AL1311" s="99"/>
      <c r="AM1311" s="99"/>
    </row>
    <row r="1312" ht="12.75" customHeight="1">
      <c r="A1312" s="104"/>
      <c r="B1312" s="104"/>
      <c r="C1312" s="104"/>
      <c r="D1312" s="110" t="s">
        <v>24</v>
      </c>
      <c r="E1312" s="110" t="s">
        <v>247</v>
      </c>
      <c r="G1312" s="136">
        <v>300.0</v>
      </c>
      <c r="H1312" s="136" t="s">
        <v>26</v>
      </c>
      <c r="I1312" s="137">
        <v>25000.0</v>
      </c>
      <c r="J1312" s="46">
        <f t="shared" si="1257"/>
        <v>7500000</v>
      </c>
      <c r="K1312" s="46"/>
      <c r="L1312" s="105"/>
      <c r="M1312" s="106"/>
      <c r="N1312" s="105"/>
      <c r="O1312" s="46">
        <f t="shared" si="1258"/>
        <v>7500000</v>
      </c>
      <c r="P1312" s="46">
        <f t="shared" si="1259"/>
        <v>7500000</v>
      </c>
      <c r="Q1312" s="46">
        <v>7500000.0</v>
      </c>
      <c r="R1312" s="101"/>
      <c r="S1312" s="101"/>
      <c r="T1312" s="99"/>
      <c r="U1312" s="99"/>
      <c r="V1312" s="99"/>
      <c r="W1312" s="99"/>
      <c r="X1312" s="99"/>
      <c r="Y1312" s="99"/>
      <c r="Z1312" s="99"/>
      <c r="AA1312" s="99"/>
      <c r="AB1312" s="99"/>
      <c r="AC1312" s="99"/>
      <c r="AD1312" s="99"/>
      <c r="AE1312" s="99"/>
      <c r="AF1312" s="99"/>
      <c r="AG1312" s="99"/>
      <c r="AH1312" s="99"/>
      <c r="AI1312" s="99"/>
      <c r="AJ1312" s="99"/>
      <c r="AK1312" s="99"/>
      <c r="AL1312" s="99"/>
      <c r="AM1312" s="99"/>
    </row>
    <row r="1313" ht="15.75" customHeight="1">
      <c r="A1313" s="104"/>
      <c r="B1313" s="104"/>
      <c r="C1313" s="104"/>
      <c r="D1313" s="110" t="s">
        <v>24</v>
      </c>
      <c r="E1313" s="110" t="s">
        <v>31</v>
      </c>
      <c r="G1313" s="136">
        <v>320.0</v>
      </c>
      <c r="H1313" s="136" t="s">
        <v>26</v>
      </c>
      <c r="I1313" s="137">
        <v>53000.0</v>
      </c>
      <c r="J1313" s="46">
        <f t="shared" si="1257"/>
        <v>16960000</v>
      </c>
      <c r="K1313" s="46"/>
      <c r="L1313" s="105"/>
      <c r="M1313" s="106"/>
      <c r="N1313" s="105"/>
      <c r="O1313" s="46">
        <f t="shared" si="1258"/>
        <v>16960000</v>
      </c>
      <c r="P1313" s="46">
        <f t="shared" si="1259"/>
        <v>16960000</v>
      </c>
      <c r="Q1313" s="46">
        <v>1.696E7</v>
      </c>
      <c r="R1313" s="101"/>
      <c r="S1313" s="101"/>
      <c r="T1313" s="99"/>
      <c r="U1313" s="99"/>
      <c r="V1313" s="99"/>
      <c r="W1313" s="99"/>
      <c r="X1313" s="99"/>
      <c r="Y1313" s="99"/>
      <c r="Z1313" s="99"/>
      <c r="AA1313" s="99"/>
      <c r="AB1313" s="99"/>
      <c r="AC1313" s="99"/>
      <c r="AD1313" s="99"/>
      <c r="AE1313" s="99"/>
      <c r="AF1313" s="99"/>
      <c r="AG1313" s="99"/>
      <c r="AH1313" s="99"/>
      <c r="AI1313" s="99"/>
      <c r="AJ1313" s="99"/>
      <c r="AK1313" s="99"/>
      <c r="AL1313" s="99"/>
      <c r="AM1313" s="99"/>
    </row>
    <row r="1314" ht="15.75" customHeight="1">
      <c r="A1314" s="104"/>
      <c r="B1314" s="104"/>
      <c r="C1314" s="104"/>
      <c r="D1314" s="110" t="s">
        <v>24</v>
      </c>
      <c r="E1314" s="110" t="s">
        <v>32</v>
      </c>
      <c r="G1314" s="136">
        <v>320.0</v>
      </c>
      <c r="H1314" s="136" t="s">
        <v>26</v>
      </c>
      <c r="I1314" s="137">
        <v>24000.0</v>
      </c>
      <c r="J1314" s="46">
        <f t="shared" si="1257"/>
        <v>7680000</v>
      </c>
      <c r="K1314" s="46"/>
      <c r="L1314" s="105"/>
      <c r="M1314" s="106"/>
      <c r="N1314" s="105"/>
      <c r="O1314" s="46">
        <f t="shared" si="1258"/>
        <v>7680000</v>
      </c>
      <c r="P1314" s="46">
        <f t="shared" si="1259"/>
        <v>7680000</v>
      </c>
      <c r="Q1314" s="46">
        <v>7680000.0</v>
      </c>
      <c r="R1314" s="101"/>
      <c r="S1314" s="101"/>
      <c r="T1314" s="99"/>
      <c r="U1314" s="99"/>
      <c r="V1314" s="99"/>
      <c r="W1314" s="99"/>
      <c r="X1314" s="99"/>
      <c r="Y1314" s="99"/>
      <c r="Z1314" s="99"/>
      <c r="AA1314" s="99"/>
      <c r="AB1314" s="99"/>
      <c r="AC1314" s="99"/>
      <c r="AD1314" s="99"/>
      <c r="AE1314" s="99"/>
      <c r="AF1314" s="99"/>
      <c r="AG1314" s="99"/>
      <c r="AH1314" s="99"/>
      <c r="AI1314" s="99"/>
      <c r="AJ1314" s="99"/>
      <c r="AK1314" s="99"/>
      <c r="AL1314" s="99"/>
      <c r="AM1314" s="99"/>
    </row>
    <row r="1315" ht="15.75" customHeight="1">
      <c r="A1315" s="104"/>
      <c r="B1315" s="104"/>
      <c r="C1315" s="104"/>
      <c r="D1315" s="110" t="s">
        <v>24</v>
      </c>
      <c r="E1315" s="110" t="s">
        <v>348</v>
      </c>
      <c r="G1315" s="136">
        <v>150.0</v>
      </c>
      <c r="H1315" s="136" t="s">
        <v>26</v>
      </c>
      <c r="I1315" s="137">
        <v>800000.0</v>
      </c>
      <c r="J1315" s="46">
        <f t="shared" si="1257"/>
        <v>120000000</v>
      </c>
      <c r="K1315" s="46"/>
      <c r="L1315" s="105"/>
      <c r="M1315" s="106"/>
      <c r="N1315" s="105"/>
      <c r="O1315" s="46">
        <f t="shared" si="1258"/>
        <v>120000000</v>
      </c>
      <c r="P1315" s="46">
        <f t="shared" si="1259"/>
        <v>120000000</v>
      </c>
      <c r="Q1315" s="46">
        <v>1.2E8</v>
      </c>
      <c r="R1315" s="101"/>
      <c r="S1315" s="101"/>
      <c r="T1315" s="99"/>
      <c r="U1315" s="99"/>
      <c r="V1315" s="99"/>
      <c r="W1315" s="99"/>
      <c r="X1315" s="99"/>
      <c r="Y1315" s="99"/>
      <c r="Z1315" s="99"/>
      <c r="AA1315" s="99"/>
      <c r="AB1315" s="99"/>
      <c r="AC1315" s="99"/>
      <c r="AD1315" s="99"/>
      <c r="AE1315" s="99"/>
      <c r="AF1315" s="99"/>
      <c r="AG1315" s="99"/>
      <c r="AH1315" s="99"/>
      <c r="AI1315" s="99"/>
      <c r="AJ1315" s="99"/>
      <c r="AK1315" s="99"/>
      <c r="AL1315" s="99"/>
      <c r="AM1315" s="99"/>
    </row>
    <row r="1316" ht="12.75" customHeight="1">
      <c r="A1316" s="110" t="s">
        <v>58</v>
      </c>
      <c r="D1316" s="145" t="s">
        <v>34</v>
      </c>
      <c r="G1316" s="104"/>
      <c r="H1316" s="133"/>
      <c r="I1316" s="104"/>
      <c r="J1316" s="134">
        <f t="shared" ref="J1316:K1316" si="1260">SUM(J1318:J1319)</f>
        <v>16000000</v>
      </c>
      <c r="K1316" s="46">
        <f t="shared" si="1260"/>
        <v>0</v>
      </c>
      <c r="L1316" s="105"/>
      <c r="M1316" s="106"/>
      <c r="N1316" s="105"/>
      <c r="O1316" s="46">
        <f t="shared" ref="O1316:P1316" si="1261">SUM(O1318:O1319)</f>
        <v>16000000</v>
      </c>
      <c r="P1316" s="46">
        <f t="shared" si="1261"/>
        <v>16000000</v>
      </c>
      <c r="Q1316" s="46">
        <v>1.6E7</v>
      </c>
      <c r="R1316" s="101"/>
      <c r="S1316" s="101"/>
      <c r="T1316" s="99"/>
      <c r="U1316" s="99"/>
      <c r="V1316" s="99"/>
      <c r="W1316" s="99"/>
      <c r="X1316" s="99"/>
      <c r="Y1316" s="99"/>
      <c r="Z1316" s="99"/>
      <c r="AA1316" s="99"/>
      <c r="AB1316" s="99"/>
      <c r="AC1316" s="99"/>
      <c r="AD1316" s="99"/>
      <c r="AE1316" s="99"/>
      <c r="AF1316" s="99"/>
      <c r="AG1316" s="99"/>
      <c r="AH1316" s="99"/>
      <c r="AI1316" s="99"/>
      <c r="AJ1316" s="99"/>
      <c r="AK1316" s="99"/>
      <c r="AL1316" s="99"/>
      <c r="AM1316" s="99"/>
    </row>
    <row r="1317" ht="12.75" customHeight="1">
      <c r="A1317" s="104"/>
      <c r="B1317" s="104"/>
      <c r="C1317" s="104"/>
      <c r="D1317" s="110" t="s">
        <v>23</v>
      </c>
      <c r="G1317" s="104"/>
      <c r="H1317" s="104"/>
      <c r="I1317" s="104"/>
      <c r="J1317" s="111"/>
      <c r="K1317" s="111"/>
      <c r="L1317" s="105"/>
      <c r="M1317" s="106"/>
      <c r="N1317" s="105"/>
      <c r="O1317" s="111"/>
      <c r="P1317" s="111"/>
      <c r="Q1317" s="111"/>
      <c r="R1317" s="101"/>
      <c r="S1317" s="101"/>
      <c r="T1317" s="99"/>
      <c r="U1317" s="99"/>
      <c r="V1317" s="99"/>
      <c r="W1317" s="99"/>
      <c r="X1317" s="99"/>
      <c r="Y1317" s="99"/>
      <c r="Z1317" s="99"/>
      <c r="AA1317" s="99"/>
      <c r="AB1317" s="99"/>
      <c r="AC1317" s="99"/>
      <c r="AD1317" s="99"/>
      <c r="AE1317" s="99"/>
      <c r="AF1317" s="99"/>
      <c r="AG1317" s="99"/>
      <c r="AH1317" s="99"/>
      <c r="AI1317" s="99"/>
      <c r="AJ1317" s="99"/>
      <c r="AK1317" s="99"/>
      <c r="AL1317" s="99"/>
      <c r="AM1317" s="99"/>
    </row>
    <row r="1318" ht="12.75" customHeight="1">
      <c r="A1318" s="104"/>
      <c r="B1318" s="104"/>
      <c r="C1318" s="104"/>
      <c r="D1318" s="110" t="s">
        <v>24</v>
      </c>
      <c r="E1318" s="110" t="s">
        <v>249</v>
      </c>
      <c r="G1318" s="136">
        <v>24.0</v>
      </c>
      <c r="H1318" s="136" t="s">
        <v>26</v>
      </c>
      <c r="I1318" s="137">
        <v>500000.0</v>
      </c>
      <c r="J1318" s="46">
        <f t="shared" ref="J1318:J1319" si="1262">G1318*I1318</f>
        <v>12000000</v>
      </c>
      <c r="K1318" s="46"/>
      <c r="L1318" s="105"/>
      <c r="M1318" s="106"/>
      <c r="N1318" s="105"/>
      <c r="O1318" s="46">
        <f t="shared" ref="O1318:O1319" si="1263">J1318-K1318</f>
        <v>12000000</v>
      </c>
      <c r="P1318" s="46">
        <f t="shared" ref="P1318:P1319" si="1264">J1318-M1318</f>
        <v>12000000</v>
      </c>
      <c r="Q1318" s="46">
        <v>1.2E7</v>
      </c>
      <c r="R1318" s="101"/>
      <c r="S1318" s="101"/>
      <c r="T1318" s="99"/>
      <c r="U1318" s="99"/>
      <c r="V1318" s="99"/>
      <c r="W1318" s="99"/>
      <c r="X1318" s="99"/>
      <c r="Y1318" s="99"/>
      <c r="Z1318" s="99"/>
      <c r="AA1318" s="99"/>
      <c r="AB1318" s="99"/>
      <c r="AC1318" s="99"/>
      <c r="AD1318" s="99"/>
      <c r="AE1318" s="99"/>
      <c r="AF1318" s="99"/>
      <c r="AG1318" s="99"/>
      <c r="AH1318" s="99"/>
      <c r="AI1318" s="99"/>
      <c r="AJ1318" s="99"/>
      <c r="AK1318" s="99"/>
      <c r="AL1318" s="99"/>
      <c r="AM1318" s="99"/>
    </row>
    <row r="1319" ht="12.75" customHeight="1">
      <c r="A1319" s="104"/>
      <c r="B1319" s="104"/>
      <c r="C1319" s="104"/>
      <c r="D1319" s="110" t="s">
        <v>24</v>
      </c>
      <c r="E1319" s="110" t="s">
        <v>230</v>
      </c>
      <c r="G1319" s="136">
        <v>8.0</v>
      </c>
      <c r="H1319" s="136" t="s">
        <v>26</v>
      </c>
      <c r="I1319" s="137">
        <v>500000.0</v>
      </c>
      <c r="J1319" s="46">
        <f t="shared" si="1262"/>
        <v>4000000</v>
      </c>
      <c r="K1319" s="46"/>
      <c r="L1319" s="105"/>
      <c r="M1319" s="106"/>
      <c r="N1319" s="105"/>
      <c r="O1319" s="46">
        <f t="shared" si="1263"/>
        <v>4000000</v>
      </c>
      <c r="P1319" s="46">
        <f t="shared" si="1264"/>
        <v>4000000</v>
      </c>
      <c r="Q1319" s="46">
        <v>4000000.0</v>
      </c>
      <c r="R1319" s="101"/>
      <c r="S1319" s="101"/>
      <c r="T1319" s="99"/>
      <c r="U1319" s="99"/>
      <c r="V1319" s="99"/>
      <c r="W1319" s="99"/>
      <c r="X1319" s="99"/>
      <c r="Y1319" s="99"/>
      <c r="Z1319" s="99"/>
      <c r="AA1319" s="99"/>
      <c r="AB1319" s="99"/>
      <c r="AC1319" s="99"/>
      <c r="AD1319" s="99"/>
      <c r="AE1319" s="99"/>
      <c r="AF1319" s="99"/>
      <c r="AG1319" s="99"/>
      <c r="AH1319" s="99"/>
      <c r="AI1319" s="99"/>
      <c r="AJ1319" s="99"/>
      <c r="AK1319" s="99"/>
      <c r="AL1319" s="99"/>
      <c r="AM1319" s="99"/>
    </row>
    <row r="1320" ht="12.75" customHeight="1">
      <c r="A1320" s="144" t="s">
        <v>37</v>
      </c>
      <c r="D1320" s="144" t="s">
        <v>38</v>
      </c>
      <c r="G1320" s="104"/>
      <c r="H1320" s="128"/>
      <c r="I1320" s="104"/>
      <c r="J1320" s="129">
        <f t="shared" ref="J1320:K1320" si="1265">J1321+J1326+J1329</f>
        <v>35050000</v>
      </c>
      <c r="K1320" s="43">
        <f t="shared" si="1265"/>
        <v>0</v>
      </c>
      <c r="L1320" s="105"/>
      <c r="M1320" s="106"/>
      <c r="N1320" s="105"/>
      <c r="O1320" s="43">
        <f t="shared" ref="O1320:P1320" si="1266">O1321+O1326+O1329</f>
        <v>35050000</v>
      </c>
      <c r="P1320" s="43">
        <f t="shared" si="1266"/>
        <v>35050000</v>
      </c>
      <c r="Q1320" s="43">
        <v>3.505E7</v>
      </c>
      <c r="R1320" s="101"/>
      <c r="S1320" s="101"/>
      <c r="T1320" s="99"/>
      <c r="U1320" s="99"/>
      <c r="V1320" s="99"/>
      <c r="W1320" s="99"/>
      <c r="X1320" s="99"/>
      <c r="Y1320" s="99"/>
      <c r="Z1320" s="99"/>
      <c r="AA1320" s="99"/>
      <c r="AB1320" s="99"/>
      <c r="AC1320" s="99"/>
      <c r="AD1320" s="99"/>
      <c r="AE1320" s="99"/>
      <c r="AF1320" s="99"/>
      <c r="AG1320" s="99"/>
      <c r="AH1320" s="99"/>
      <c r="AI1320" s="99"/>
      <c r="AJ1320" s="99"/>
      <c r="AK1320" s="99"/>
      <c r="AL1320" s="99"/>
      <c r="AM1320" s="99"/>
    </row>
    <row r="1321" ht="12.75" customHeight="1">
      <c r="A1321" s="110" t="s">
        <v>40</v>
      </c>
      <c r="D1321" s="145" t="s">
        <v>22</v>
      </c>
      <c r="G1321" s="104"/>
      <c r="H1321" s="133"/>
      <c r="I1321" s="104"/>
      <c r="J1321" s="134">
        <f t="shared" ref="J1321:K1321" si="1267">SUM(J1323:J1325)</f>
        <v>9050000</v>
      </c>
      <c r="K1321" s="46">
        <f t="shared" si="1267"/>
        <v>0</v>
      </c>
      <c r="L1321" s="105"/>
      <c r="M1321" s="106"/>
      <c r="N1321" s="105"/>
      <c r="O1321" s="46">
        <f t="shared" ref="O1321:P1321" si="1268">SUM(O1323:O1325)</f>
        <v>9050000</v>
      </c>
      <c r="P1321" s="46">
        <f t="shared" si="1268"/>
        <v>9050000</v>
      </c>
      <c r="Q1321" s="46">
        <v>9050000.0</v>
      </c>
      <c r="R1321" s="101"/>
      <c r="S1321" s="101"/>
      <c r="T1321" s="99"/>
      <c r="U1321" s="99"/>
      <c r="V1321" s="99"/>
      <c r="W1321" s="99"/>
      <c r="X1321" s="99"/>
      <c r="Y1321" s="99"/>
      <c r="Z1321" s="99"/>
      <c r="AA1321" s="99"/>
      <c r="AB1321" s="99"/>
      <c r="AC1321" s="99"/>
      <c r="AD1321" s="99"/>
      <c r="AE1321" s="99"/>
      <c r="AF1321" s="99"/>
      <c r="AG1321" s="99"/>
      <c r="AH1321" s="99"/>
      <c r="AI1321" s="99"/>
      <c r="AJ1321" s="99"/>
      <c r="AK1321" s="99"/>
      <c r="AL1321" s="99"/>
      <c r="AM1321" s="99"/>
    </row>
    <row r="1322" ht="12.75" customHeight="1">
      <c r="A1322" s="104"/>
      <c r="B1322" s="104"/>
      <c r="C1322" s="104"/>
      <c r="D1322" s="110" t="s">
        <v>23</v>
      </c>
      <c r="G1322" s="104"/>
      <c r="H1322" s="104"/>
      <c r="I1322" s="104"/>
      <c r="J1322" s="111"/>
      <c r="K1322" s="111"/>
      <c r="L1322" s="105"/>
      <c r="M1322" s="106"/>
      <c r="N1322" s="105"/>
      <c r="O1322" s="111"/>
      <c r="P1322" s="111"/>
      <c r="Q1322" s="111"/>
      <c r="R1322" s="101"/>
      <c r="S1322" s="101"/>
      <c r="T1322" s="99"/>
      <c r="U1322" s="99"/>
      <c r="V1322" s="99"/>
      <c r="W1322" s="99"/>
      <c r="X1322" s="99"/>
      <c r="Y1322" s="99"/>
      <c r="Z1322" s="99"/>
      <c r="AA1322" s="99"/>
      <c r="AB1322" s="99"/>
      <c r="AC1322" s="99"/>
      <c r="AD1322" s="99"/>
      <c r="AE1322" s="99"/>
      <c r="AF1322" s="99"/>
      <c r="AG1322" s="99"/>
      <c r="AH1322" s="99"/>
      <c r="AI1322" s="99"/>
      <c r="AJ1322" s="99"/>
      <c r="AK1322" s="99"/>
      <c r="AL1322" s="99"/>
      <c r="AM1322" s="99"/>
    </row>
    <row r="1323" ht="12.75" customHeight="1">
      <c r="A1323" s="104"/>
      <c r="B1323" s="104"/>
      <c r="C1323" s="104"/>
      <c r="D1323" s="110" t="s">
        <v>24</v>
      </c>
      <c r="E1323" s="110" t="s">
        <v>251</v>
      </c>
      <c r="G1323" s="136">
        <v>150.0</v>
      </c>
      <c r="H1323" s="136" t="s">
        <v>26</v>
      </c>
      <c r="I1323" s="137">
        <v>53000.0</v>
      </c>
      <c r="J1323" s="46">
        <f t="shared" ref="J1323:J1325" si="1269">G1323*I1323</f>
        <v>7950000</v>
      </c>
      <c r="K1323" s="46"/>
      <c r="L1323" s="105"/>
      <c r="M1323" s="106"/>
      <c r="N1323" s="105"/>
      <c r="O1323" s="46">
        <f t="shared" ref="O1323:O1325" si="1270">J1323-K1323</f>
        <v>7950000</v>
      </c>
      <c r="P1323" s="46">
        <f t="shared" ref="P1323:P1325" si="1271">J1323-M1323</f>
        <v>7950000</v>
      </c>
      <c r="Q1323" s="46">
        <v>7950000.0</v>
      </c>
      <c r="R1323" s="101"/>
      <c r="S1323" s="101"/>
      <c r="T1323" s="99"/>
      <c r="U1323" s="99"/>
      <c r="V1323" s="99"/>
      <c r="W1323" s="99"/>
      <c r="X1323" s="99"/>
      <c r="Y1323" s="99"/>
      <c r="Z1323" s="99"/>
      <c r="AA1323" s="99"/>
      <c r="AB1323" s="99"/>
      <c r="AC1323" s="99"/>
      <c r="AD1323" s="99"/>
      <c r="AE1323" s="99"/>
      <c r="AF1323" s="99"/>
      <c r="AG1323" s="99"/>
      <c r="AH1323" s="99"/>
      <c r="AI1323" s="99"/>
      <c r="AJ1323" s="99"/>
      <c r="AK1323" s="99"/>
      <c r="AL1323" s="99"/>
      <c r="AM1323" s="99"/>
    </row>
    <row r="1324" ht="12.75" customHeight="1">
      <c r="A1324" s="104"/>
      <c r="B1324" s="104"/>
      <c r="C1324" s="104"/>
      <c r="D1324" s="110" t="s">
        <v>24</v>
      </c>
      <c r="E1324" s="110" t="s">
        <v>42</v>
      </c>
      <c r="G1324" s="136">
        <v>2.0</v>
      </c>
      <c r="H1324" s="136" t="s">
        <v>26</v>
      </c>
      <c r="I1324" s="137">
        <v>250000.0</v>
      </c>
      <c r="J1324" s="46">
        <f t="shared" si="1269"/>
        <v>500000</v>
      </c>
      <c r="K1324" s="46"/>
      <c r="L1324" s="105"/>
      <c r="M1324" s="106"/>
      <c r="N1324" s="105"/>
      <c r="O1324" s="46">
        <f t="shared" si="1270"/>
        <v>500000</v>
      </c>
      <c r="P1324" s="46">
        <f t="shared" si="1271"/>
        <v>500000</v>
      </c>
      <c r="Q1324" s="46">
        <v>500000.0</v>
      </c>
      <c r="R1324" s="101"/>
      <c r="S1324" s="101"/>
      <c r="T1324" s="99"/>
      <c r="U1324" s="99"/>
      <c r="V1324" s="99"/>
      <c r="W1324" s="99"/>
      <c r="X1324" s="99"/>
      <c r="Y1324" s="99"/>
      <c r="Z1324" s="99"/>
      <c r="AA1324" s="99"/>
      <c r="AB1324" s="99"/>
      <c r="AC1324" s="99"/>
      <c r="AD1324" s="99"/>
      <c r="AE1324" s="99"/>
      <c r="AF1324" s="99"/>
      <c r="AG1324" s="99"/>
      <c r="AH1324" s="99"/>
      <c r="AI1324" s="99"/>
      <c r="AJ1324" s="99"/>
      <c r="AK1324" s="99"/>
      <c r="AL1324" s="99"/>
      <c r="AM1324" s="99"/>
    </row>
    <row r="1325" ht="12.75" customHeight="1">
      <c r="A1325" s="104"/>
      <c r="B1325" s="104"/>
      <c r="C1325" s="104"/>
      <c r="D1325" s="110" t="s">
        <v>24</v>
      </c>
      <c r="E1325" s="110" t="s">
        <v>43</v>
      </c>
      <c r="G1325" s="136">
        <v>2.0</v>
      </c>
      <c r="H1325" s="136" t="s">
        <v>26</v>
      </c>
      <c r="I1325" s="137">
        <v>300000.0</v>
      </c>
      <c r="J1325" s="46">
        <f t="shared" si="1269"/>
        <v>600000</v>
      </c>
      <c r="K1325" s="46"/>
      <c r="L1325" s="105"/>
      <c r="M1325" s="106"/>
      <c r="N1325" s="105"/>
      <c r="O1325" s="46">
        <f t="shared" si="1270"/>
        <v>600000</v>
      </c>
      <c r="P1325" s="46">
        <f t="shared" si="1271"/>
        <v>600000</v>
      </c>
      <c r="Q1325" s="46">
        <v>600000.0</v>
      </c>
      <c r="R1325" s="101"/>
      <c r="S1325" s="101"/>
      <c r="T1325" s="99"/>
      <c r="U1325" s="99"/>
      <c r="V1325" s="99"/>
      <c r="W1325" s="99"/>
      <c r="X1325" s="99"/>
      <c r="Y1325" s="99"/>
      <c r="Z1325" s="99"/>
      <c r="AA1325" s="99"/>
      <c r="AB1325" s="99"/>
      <c r="AC1325" s="99"/>
      <c r="AD1325" s="99"/>
      <c r="AE1325" s="99"/>
      <c r="AF1325" s="99"/>
      <c r="AG1325" s="99"/>
      <c r="AH1325" s="99"/>
      <c r="AI1325" s="99"/>
      <c r="AJ1325" s="99"/>
      <c r="AK1325" s="99"/>
      <c r="AL1325" s="99"/>
      <c r="AM1325" s="99"/>
    </row>
    <row r="1326" ht="12.75" customHeight="1">
      <c r="A1326" s="110" t="s">
        <v>44</v>
      </c>
      <c r="D1326" s="145" t="s">
        <v>45</v>
      </c>
      <c r="G1326" s="104"/>
      <c r="H1326" s="133"/>
      <c r="I1326" s="104"/>
      <c r="J1326" s="134">
        <f t="shared" ref="J1326:K1326" si="1272">J1328</f>
        <v>2000000</v>
      </c>
      <c r="K1326" s="46" t="str">
        <f t="shared" si="1272"/>
        <v/>
      </c>
      <c r="L1326" s="105"/>
      <c r="M1326" s="106"/>
      <c r="N1326" s="105"/>
      <c r="O1326" s="46">
        <f t="shared" ref="O1326:P1326" si="1273">O1328</f>
        <v>2000000</v>
      </c>
      <c r="P1326" s="46">
        <f t="shared" si="1273"/>
        <v>2000000</v>
      </c>
      <c r="Q1326" s="46">
        <v>2000000.0</v>
      </c>
      <c r="R1326" s="101"/>
      <c r="S1326" s="101"/>
      <c r="T1326" s="99"/>
      <c r="U1326" s="99"/>
      <c r="V1326" s="99"/>
      <c r="W1326" s="99"/>
      <c r="X1326" s="99"/>
      <c r="Y1326" s="99"/>
      <c r="Z1326" s="99"/>
      <c r="AA1326" s="99"/>
      <c r="AB1326" s="99"/>
      <c r="AC1326" s="99"/>
      <c r="AD1326" s="99"/>
      <c r="AE1326" s="99"/>
      <c r="AF1326" s="99"/>
      <c r="AG1326" s="99"/>
      <c r="AH1326" s="99"/>
      <c r="AI1326" s="99"/>
      <c r="AJ1326" s="99"/>
      <c r="AK1326" s="99"/>
      <c r="AL1326" s="99"/>
      <c r="AM1326" s="99"/>
    </row>
    <row r="1327" ht="12.75" customHeight="1">
      <c r="A1327" s="104"/>
      <c r="B1327" s="104"/>
      <c r="C1327" s="104"/>
      <c r="D1327" s="110" t="s">
        <v>23</v>
      </c>
      <c r="G1327" s="104"/>
      <c r="H1327" s="104"/>
      <c r="I1327" s="104"/>
      <c r="J1327" s="111"/>
      <c r="K1327" s="111"/>
      <c r="L1327" s="105"/>
      <c r="M1327" s="106"/>
      <c r="N1327" s="105"/>
      <c r="O1327" s="111"/>
      <c r="P1327" s="111"/>
      <c r="Q1327" s="111"/>
      <c r="R1327" s="101"/>
      <c r="S1327" s="101"/>
      <c r="T1327" s="99"/>
      <c r="U1327" s="99"/>
      <c r="V1327" s="99"/>
      <c r="W1327" s="99"/>
      <c r="X1327" s="99"/>
      <c r="Y1327" s="99"/>
      <c r="Z1327" s="99"/>
      <c r="AA1327" s="99"/>
      <c r="AB1327" s="99"/>
      <c r="AC1327" s="99"/>
      <c r="AD1327" s="99"/>
      <c r="AE1327" s="99"/>
      <c r="AF1327" s="99"/>
      <c r="AG1327" s="99"/>
      <c r="AH1327" s="99"/>
      <c r="AI1327" s="99"/>
      <c r="AJ1327" s="99"/>
      <c r="AK1327" s="99"/>
      <c r="AL1327" s="99"/>
      <c r="AM1327" s="99"/>
    </row>
    <row r="1328" ht="12.75" customHeight="1">
      <c r="A1328" s="104"/>
      <c r="B1328" s="104"/>
      <c r="C1328" s="104"/>
      <c r="D1328" s="110" t="s">
        <v>24</v>
      </c>
      <c r="E1328" s="110" t="s">
        <v>161</v>
      </c>
      <c r="G1328" s="136">
        <v>4.0</v>
      </c>
      <c r="H1328" s="136" t="s">
        <v>26</v>
      </c>
      <c r="I1328" s="137">
        <v>500000.0</v>
      </c>
      <c r="J1328" s="46">
        <f>G1328*I1328</f>
        <v>2000000</v>
      </c>
      <c r="K1328" s="46"/>
      <c r="L1328" s="105"/>
      <c r="M1328" s="106"/>
      <c r="N1328" s="105"/>
      <c r="O1328" s="46">
        <f>J1328-K1328</f>
        <v>2000000</v>
      </c>
      <c r="P1328" s="46">
        <f>J1328-M1328</f>
        <v>2000000</v>
      </c>
      <c r="Q1328" s="46">
        <v>2000000.0</v>
      </c>
      <c r="R1328" s="101"/>
      <c r="S1328" s="101"/>
      <c r="T1328" s="99"/>
      <c r="U1328" s="99"/>
      <c r="V1328" s="99"/>
      <c r="W1328" s="99"/>
      <c r="X1328" s="99"/>
      <c r="Y1328" s="99"/>
      <c r="Z1328" s="99"/>
      <c r="AA1328" s="99"/>
      <c r="AB1328" s="99"/>
      <c r="AC1328" s="99"/>
      <c r="AD1328" s="99"/>
      <c r="AE1328" s="99"/>
      <c r="AF1328" s="99"/>
      <c r="AG1328" s="99"/>
      <c r="AH1328" s="99"/>
      <c r="AI1328" s="99"/>
      <c r="AJ1328" s="99"/>
      <c r="AK1328" s="99"/>
      <c r="AL1328" s="99"/>
      <c r="AM1328" s="99"/>
    </row>
    <row r="1329" ht="12.75" customHeight="1">
      <c r="A1329" s="110" t="s">
        <v>47</v>
      </c>
      <c r="D1329" s="145" t="s">
        <v>48</v>
      </c>
      <c r="G1329" s="104"/>
      <c r="H1329" s="133"/>
      <c r="I1329" s="104"/>
      <c r="J1329" s="134">
        <f t="shared" ref="J1329:K1329" si="1274">J1331</f>
        <v>24000000</v>
      </c>
      <c r="K1329" s="46" t="str">
        <f t="shared" si="1274"/>
        <v/>
      </c>
      <c r="L1329" s="105"/>
      <c r="M1329" s="106"/>
      <c r="N1329" s="105"/>
      <c r="O1329" s="46">
        <f t="shared" ref="O1329:P1329" si="1275">O1331</f>
        <v>24000000</v>
      </c>
      <c r="P1329" s="46">
        <f t="shared" si="1275"/>
        <v>24000000</v>
      </c>
      <c r="Q1329" s="46">
        <v>2.4E7</v>
      </c>
      <c r="R1329" s="101"/>
      <c r="S1329" s="101"/>
      <c r="T1329" s="99"/>
      <c r="U1329" s="99"/>
      <c r="V1329" s="99"/>
      <c r="W1329" s="99"/>
      <c r="X1329" s="99"/>
      <c r="Y1329" s="99"/>
      <c r="Z1329" s="99"/>
      <c r="AA1329" s="99"/>
      <c r="AB1329" s="99"/>
      <c r="AC1329" s="99"/>
      <c r="AD1329" s="99"/>
      <c r="AE1329" s="99"/>
      <c r="AF1329" s="99"/>
      <c r="AG1329" s="99"/>
      <c r="AH1329" s="99"/>
      <c r="AI1329" s="99"/>
      <c r="AJ1329" s="99"/>
      <c r="AK1329" s="99"/>
      <c r="AL1329" s="99"/>
      <c r="AM1329" s="99"/>
    </row>
    <row r="1330" ht="12.75" customHeight="1">
      <c r="A1330" s="104"/>
      <c r="B1330" s="104"/>
      <c r="C1330" s="104"/>
      <c r="D1330" s="110" t="s">
        <v>23</v>
      </c>
      <c r="G1330" s="104"/>
      <c r="H1330" s="104"/>
      <c r="I1330" s="104"/>
      <c r="J1330" s="111"/>
      <c r="K1330" s="111"/>
      <c r="L1330" s="105"/>
      <c r="M1330" s="106"/>
      <c r="N1330" s="105"/>
      <c r="O1330" s="111"/>
      <c r="P1330" s="111"/>
      <c r="Q1330" s="111"/>
      <c r="R1330" s="101"/>
      <c r="S1330" s="101"/>
      <c r="T1330" s="99"/>
      <c r="U1330" s="99"/>
      <c r="V1330" s="99"/>
      <c r="W1330" s="99"/>
      <c r="X1330" s="99"/>
      <c r="Y1330" s="99"/>
      <c r="Z1330" s="99"/>
      <c r="AA1330" s="99"/>
      <c r="AB1330" s="99"/>
      <c r="AC1330" s="99"/>
      <c r="AD1330" s="99"/>
      <c r="AE1330" s="99"/>
      <c r="AF1330" s="99"/>
      <c r="AG1330" s="99"/>
      <c r="AH1330" s="99"/>
      <c r="AI1330" s="99"/>
      <c r="AJ1330" s="99"/>
      <c r="AK1330" s="99"/>
      <c r="AL1330" s="99"/>
      <c r="AM1330" s="99"/>
    </row>
    <row r="1331" ht="12.75" customHeight="1">
      <c r="A1331" s="104"/>
      <c r="B1331" s="104"/>
      <c r="C1331" s="104"/>
      <c r="D1331" s="110" t="s">
        <v>24</v>
      </c>
      <c r="E1331" s="110" t="s">
        <v>252</v>
      </c>
      <c r="G1331" s="136">
        <v>6.0</v>
      </c>
      <c r="H1331" s="136" t="s">
        <v>26</v>
      </c>
      <c r="I1331" s="137">
        <v>4000000.0</v>
      </c>
      <c r="J1331" s="46">
        <f>G1331*I1331</f>
        <v>24000000</v>
      </c>
      <c r="K1331" s="46"/>
      <c r="L1331" s="105"/>
      <c r="M1331" s="106"/>
      <c r="N1331" s="105"/>
      <c r="O1331" s="46">
        <f>J1331-K1331</f>
        <v>24000000</v>
      </c>
      <c r="P1331" s="46">
        <f>J1331-M1331</f>
        <v>24000000</v>
      </c>
      <c r="Q1331" s="46">
        <v>2.4E7</v>
      </c>
      <c r="R1331" s="101"/>
      <c r="S1331" s="101"/>
      <c r="T1331" s="99"/>
      <c r="U1331" s="99"/>
      <c r="V1331" s="99"/>
      <c r="W1331" s="99"/>
      <c r="X1331" s="99"/>
      <c r="Y1331" s="99"/>
      <c r="Z1331" s="99"/>
      <c r="AA1331" s="99"/>
      <c r="AB1331" s="99"/>
      <c r="AC1331" s="99"/>
      <c r="AD1331" s="99"/>
      <c r="AE1331" s="99"/>
      <c r="AF1331" s="99"/>
      <c r="AG1331" s="99"/>
      <c r="AH1331" s="99"/>
      <c r="AI1331" s="99"/>
      <c r="AJ1331" s="99"/>
      <c r="AK1331" s="99"/>
      <c r="AL1331" s="99"/>
      <c r="AM1331" s="99"/>
    </row>
    <row r="1332" ht="12.75" customHeight="1">
      <c r="A1332" s="144" t="s">
        <v>50</v>
      </c>
      <c r="D1332" s="144" t="s">
        <v>51</v>
      </c>
      <c r="G1332" s="104"/>
      <c r="H1332" s="128"/>
      <c r="I1332" s="104"/>
      <c r="J1332" s="129">
        <f t="shared" ref="J1332:K1332" si="1276">J1333+J1339+J1342</f>
        <v>81700000</v>
      </c>
      <c r="K1332" s="43">
        <f t="shared" si="1276"/>
        <v>0</v>
      </c>
      <c r="L1332" s="105"/>
      <c r="M1332" s="106"/>
      <c r="N1332" s="105"/>
      <c r="O1332" s="43">
        <f t="shared" ref="O1332:P1332" si="1277">O1333+O1339+O1342</f>
        <v>81700000</v>
      </c>
      <c r="P1332" s="43">
        <f t="shared" si="1277"/>
        <v>81700000</v>
      </c>
      <c r="Q1332" s="43">
        <v>8.17E7</v>
      </c>
      <c r="R1332" s="101"/>
      <c r="S1332" s="101"/>
      <c r="T1332" s="99"/>
      <c r="U1332" s="99"/>
      <c r="V1332" s="99"/>
      <c r="W1332" s="99"/>
      <c r="X1332" s="99"/>
      <c r="Y1332" s="99"/>
      <c r="Z1332" s="99"/>
      <c r="AA1332" s="99"/>
      <c r="AB1332" s="99"/>
      <c r="AC1332" s="99"/>
      <c r="AD1332" s="99"/>
      <c r="AE1332" s="99"/>
      <c r="AF1332" s="99"/>
      <c r="AG1332" s="99"/>
      <c r="AH1332" s="99"/>
      <c r="AI1332" s="99"/>
      <c r="AJ1332" s="99"/>
      <c r="AK1332" s="99"/>
      <c r="AL1332" s="99"/>
      <c r="AM1332" s="99"/>
    </row>
    <row r="1333" ht="12.75" customHeight="1">
      <c r="A1333" s="110" t="s">
        <v>40</v>
      </c>
      <c r="D1333" s="145" t="s">
        <v>22</v>
      </c>
      <c r="G1333" s="104"/>
      <c r="H1333" s="133"/>
      <c r="I1333" s="104"/>
      <c r="J1333" s="134">
        <f t="shared" ref="J1333:K1333" si="1278">SUM(J1335:J1338)</f>
        <v>55700000</v>
      </c>
      <c r="K1333" s="46">
        <f t="shared" si="1278"/>
        <v>0</v>
      </c>
      <c r="L1333" s="105"/>
      <c r="M1333" s="106"/>
      <c r="N1333" s="105"/>
      <c r="O1333" s="46">
        <f t="shared" ref="O1333:P1333" si="1279">SUM(O1335:O1338)</f>
        <v>55700000</v>
      </c>
      <c r="P1333" s="46">
        <f t="shared" si="1279"/>
        <v>55700000</v>
      </c>
      <c r="Q1333" s="46">
        <v>5.57E7</v>
      </c>
      <c r="R1333" s="101"/>
      <c r="S1333" s="101"/>
      <c r="T1333" s="99"/>
      <c r="U1333" s="99"/>
      <c r="V1333" s="99"/>
      <c r="W1333" s="99"/>
      <c r="X1333" s="99"/>
      <c r="Y1333" s="99"/>
      <c r="Z1333" s="99"/>
      <c r="AA1333" s="99"/>
      <c r="AB1333" s="99"/>
      <c r="AC1333" s="99"/>
      <c r="AD1333" s="99"/>
      <c r="AE1333" s="99"/>
      <c r="AF1333" s="99"/>
      <c r="AG1333" s="99"/>
      <c r="AH1333" s="99"/>
      <c r="AI1333" s="99"/>
      <c r="AJ1333" s="99"/>
      <c r="AK1333" s="99"/>
      <c r="AL1333" s="99"/>
      <c r="AM1333" s="99"/>
    </row>
    <row r="1334" ht="12.75" customHeight="1">
      <c r="A1334" s="104"/>
      <c r="B1334" s="104"/>
      <c r="C1334" s="104"/>
      <c r="D1334" s="110" t="s">
        <v>23</v>
      </c>
      <c r="G1334" s="104"/>
      <c r="H1334" s="104"/>
      <c r="I1334" s="104"/>
      <c r="J1334" s="111"/>
      <c r="K1334" s="111"/>
      <c r="L1334" s="105"/>
      <c r="M1334" s="106"/>
      <c r="N1334" s="105"/>
      <c r="O1334" s="111"/>
      <c r="P1334" s="111"/>
      <c r="Q1334" s="111"/>
      <c r="R1334" s="101"/>
      <c r="S1334" s="101"/>
      <c r="T1334" s="99"/>
      <c r="U1334" s="99"/>
      <c r="V1334" s="99"/>
      <c r="W1334" s="99"/>
      <c r="X1334" s="99"/>
      <c r="Y1334" s="99"/>
      <c r="Z1334" s="99"/>
      <c r="AA1334" s="99"/>
      <c r="AB1334" s="99"/>
      <c r="AC1334" s="99"/>
      <c r="AD1334" s="99"/>
      <c r="AE1334" s="99"/>
      <c r="AF1334" s="99"/>
      <c r="AG1334" s="99"/>
      <c r="AH1334" s="99"/>
      <c r="AI1334" s="99"/>
      <c r="AJ1334" s="99"/>
      <c r="AK1334" s="99"/>
      <c r="AL1334" s="99"/>
      <c r="AM1334" s="99"/>
    </row>
    <row r="1335" ht="12.75" customHeight="1">
      <c r="A1335" s="104"/>
      <c r="B1335" s="104"/>
      <c r="C1335" s="104"/>
      <c r="D1335" s="110" t="s">
        <v>24</v>
      </c>
      <c r="E1335" s="110" t="s">
        <v>253</v>
      </c>
      <c r="G1335" s="136">
        <v>150.0</v>
      </c>
      <c r="H1335" s="136" t="s">
        <v>26</v>
      </c>
      <c r="I1335" s="137">
        <v>53000.0</v>
      </c>
      <c r="J1335" s="46">
        <f t="shared" ref="J1335:J1338" si="1280">G1335*I1335</f>
        <v>7950000</v>
      </c>
      <c r="K1335" s="46"/>
      <c r="L1335" s="105"/>
      <c r="M1335" s="106"/>
      <c r="N1335" s="105"/>
      <c r="O1335" s="46">
        <f t="shared" ref="O1335:O1338" si="1281">J1335-K1335</f>
        <v>7950000</v>
      </c>
      <c r="P1335" s="46">
        <f t="shared" ref="P1335:P1338" si="1282">J1335-M1335</f>
        <v>7950000</v>
      </c>
      <c r="Q1335" s="46">
        <v>7950000.0</v>
      </c>
      <c r="R1335" s="101"/>
      <c r="S1335" s="101"/>
      <c r="T1335" s="99"/>
      <c r="U1335" s="99"/>
      <c r="V1335" s="99"/>
      <c r="W1335" s="99"/>
      <c r="X1335" s="99"/>
      <c r="Y1335" s="99"/>
      <c r="Z1335" s="99"/>
      <c r="AA1335" s="99"/>
      <c r="AB1335" s="99"/>
      <c r="AC1335" s="99"/>
      <c r="AD1335" s="99"/>
      <c r="AE1335" s="99"/>
      <c r="AF1335" s="99"/>
      <c r="AG1335" s="99"/>
      <c r="AH1335" s="99"/>
      <c r="AI1335" s="99"/>
      <c r="AJ1335" s="99"/>
      <c r="AK1335" s="99"/>
      <c r="AL1335" s="99"/>
      <c r="AM1335" s="99"/>
    </row>
    <row r="1336" ht="12.75" customHeight="1">
      <c r="A1336" s="104"/>
      <c r="B1336" s="104"/>
      <c r="C1336" s="104"/>
      <c r="D1336" s="110" t="s">
        <v>24</v>
      </c>
      <c r="E1336" s="110" t="s">
        <v>53</v>
      </c>
      <c r="G1336" s="136">
        <v>5.0</v>
      </c>
      <c r="H1336" s="136" t="s">
        <v>26</v>
      </c>
      <c r="I1336" s="137">
        <v>500000.0</v>
      </c>
      <c r="J1336" s="46">
        <f t="shared" si="1280"/>
        <v>2500000</v>
      </c>
      <c r="K1336" s="46"/>
      <c r="L1336" s="105"/>
      <c r="M1336" s="106"/>
      <c r="N1336" s="105"/>
      <c r="O1336" s="46">
        <f t="shared" si="1281"/>
        <v>2500000</v>
      </c>
      <c r="P1336" s="46">
        <f t="shared" si="1282"/>
        <v>2500000</v>
      </c>
      <c r="Q1336" s="46">
        <v>2500000.0</v>
      </c>
      <c r="R1336" s="101"/>
      <c r="S1336" s="101"/>
      <c r="T1336" s="99"/>
      <c r="U1336" s="99"/>
      <c r="V1336" s="99"/>
      <c r="W1336" s="99"/>
      <c r="X1336" s="99"/>
      <c r="Y1336" s="99"/>
      <c r="Z1336" s="99"/>
      <c r="AA1336" s="99"/>
      <c r="AB1336" s="99"/>
      <c r="AC1336" s="99"/>
      <c r="AD1336" s="99"/>
      <c r="AE1336" s="99"/>
      <c r="AF1336" s="99"/>
      <c r="AG1336" s="99"/>
      <c r="AH1336" s="99"/>
      <c r="AI1336" s="99"/>
      <c r="AJ1336" s="99"/>
      <c r="AK1336" s="99"/>
      <c r="AL1336" s="99"/>
      <c r="AM1336" s="99"/>
    </row>
    <row r="1337" ht="12.75" customHeight="1">
      <c r="A1337" s="104"/>
      <c r="B1337" s="104"/>
      <c r="C1337" s="104"/>
      <c r="D1337" s="110" t="s">
        <v>24</v>
      </c>
      <c r="E1337" s="110" t="s">
        <v>54</v>
      </c>
      <c r="G1337" s="136">
        <v>1.0</v>
      </c>
      <c r="H1337" s="136" t="s">
        <v>55</v>
      </c>
      <c r="I1337" s="137">
        <v>250000.0</v>
      </c>
      <c r="J1337" s="46">
        <f t="shared" si="1280"/>
        <v>250000</v>
      </c>
      <c r="K1337" s="46"/>
      <c r="L1337" s="105"/>
      <c r="M1337" s="106"/>
      <c r="N1337" s="105"/>
      <c r="O1337" s="46">
        <f t="shared" si="1281"/>
        <v>250000</v>
      </c>
      <c r="P1337" s="46">
        <f t="shared" si="1282"/>
        <v>250000</v>
      </c>
      <c r="Q1337" s="46">
        <v>250000.0</v>
      </c>
      <c r="R1337" s="101"/>
      <c r="S1337" s="101"/>
      <c r="T1337" s="99"/>
      <c r="U1337" s="99"/>
      <c r="V1337" s="99"/>
      <c r="W1337" s="99"/>
      <c r="X1337" s="99"/>
      <c r="Y1337" s="99"/>
      <c r="Z1337" s="99"/>
      <c r="AA1337" s="99"/>
      <c r="AB1337" s="99"/>
      <c r="AC1337" s="99"/>
      <c r="AD1337" s="99"/>
      <c r="AE1337" s="99"/>
      <c r="AF1337" s="99"/>
      <c r="AG1337" s="99"/>
      <c r="AH1337" s="99"/>
      <c r="AI1337" s="99"/>
      <c r="AJ1337" s="99"/>
      <c r="AK1337" s="99"/>
      <c r="AL1337" s="99"/>
      <c r="AM1337" s="99"/>
    </row>
    <row r="1338" ht="12.75" customHeight="1">
      <c r="A1338" s="104"/>
      <c r="B1338" s="104"/>
      <c r="C1338" s="104"/>
      <c r="D1338" s="110" t="s">
        <v>24</v>
      </c>
      <c r="E1338" s="110" t="s">
        <v>254</v>
      </c>
      <c r="G1338" s="136">
        <v>150.0</v>
      </c>
      <c r="H1338" s="136" t="s">
        <v>26</v>
      </c>
      <c r="I1338" s="137">
        <v>300000.0</v>
      </c>
      <c r="J1338" s="46">
        <f t="shared" si="1280"/>
        <v>45000000</v>
      </c>
      <c r="K1338" s="46"/>
      <c r="L1338" s="105"/>
      <c r="M1338" s="106"/>
      <c r="N1338" s="105"/>
      <c r="O1338" s="46">
        <f t="shared" si="1281"/>
        <v>45000000</v>
      </c>
      <c r="P1338" s="46">
        <f t="shared" si="1282"/>
        <v>45000000</v>
      </c>
      <c r="Q1338" s="46">
        <v>4.5E7</v>
      </c>
      <c r="R1338" s="101"/>
      <c r="S1338" s="101"/>
      <c r="T1338" s="99"/>
      <c r="U1338" s="99"/>
      <c r="V1338" s="99"/>
      <c r="W1338" s="99"/>
      <c r="X1338" s="99"/>
      <c r="Y1338" s="99"/>
      <c r="Z1338" s="99"/>
      <c r="AA1338" s="99"/>
      <c r="AB1338" s="99"/>
      <c r="AC1338" s="99"/>
      <c r="AD1338" s="99"/>
      <c r="AE1338" s="99"/>
      <c r="AF1338" s="99"/>
      <c r="AG1338" s="99"/>
      <c r="AH1338" s="99"/>
      <c r="AI1338" s="99"/>
      <c r="AJ1338" s="99"/>
      <c r="AK1338" s="99"/>
      <c r="AL1338" s="99"/>
      <c r="AM1338" s="99"/>
    </row>
    <row r="1339" ht="12.75" customHeight="1">
      <c r="A1339" s="110" t="s">
        <v>47</v>
      </c>
      <c r="D1339" s="145" t="s">
        <v>48</v>
      </c>
      <c r="G1339" s="104"/>
      <c r="H1339" s="133"/>
      <c r="I1339" s="104"/>
      <c r="J1339" s="134">
        <f t="shared" ref="J1339:K1339" si="1283">J1341</f>
        <v>24000000</v>
      </c>
      <c r="K1339" s="46" t="str">
        <f t="shared" si="1283"/>
        <v/>
      </c>
      <c r="L1339" s="105"/>
      <c r="M1339" s="106"/>
      <c r="N1339" s="105"/>
      <c r="O1339" s="46">
        <f t="shared" ref="O1339:P1339" si="1284">O1341</f>
        <v>24000000</v>
      </c>
      <c r="P1339" s="46">
        <f t="shared" si="1284"/>
        <v>24000000</v>
      </c>
      <c r="Q1339" s="46">
        <v>2.4E7</v>
      </c>
      <c r="R1339" s="101"/>
      <c r="S1339" s="101"/>
      <c r="T1339" s="99"/>
      <c r="U1339" s="99"/>
      <c r="V1339" s="99"/>
      <c r="W1339" s="99"/>
      <c r="X1339" s="99"/>
      <c r="Y1339" s="99"/>
      <c r="Z1339" s="99"/>
      <c r="AA1339" s="99"/>
      <c r="AB1339" s="99"/>
      <c r="AC1339" s="99"/>
      <c r="AD1339" s="99"/>
      <c r="AE1339" s="99"/>
      <c r="AF1339" s="99"/>
      <c r="AG1339" s="99"/>
      <c r="AH1339" s="99"/>
      <c r="AI1339" s="99"/>
      <c r="AJ1339" s="99"/>
      <c r="AK1339" s="99"/>
      <c r="AL1339" s="99"/>
      <c r="AM1339" s="99"/>
    </row>
    <row r="1340" ht="12.75" customHeight="1">
      <c r="A1340" s="104"/>
      <c r="B1340" s="104"/>
      <c r="C1340" s="104"/>
      <c r="D1340" s="110" t="s">
        <v>23</v>
      </c>
      <c r="G1340" s="104"/>
      <c r="H1340" s="104"/>
      <c r="I1340" s="104"/>
      <c r="J1340" s="111"/>
      <c r="K1340" s="111"/>
      <c r="L1340" s="105"/>
      <c r="M1340" s="106"/>
      <c r="N1340" s="105"/>
      <c r="O1340" s="111"/>
      <c r="P1340" s="111"/>
      <c r="Q1340" s="111"/>
      <c r="R1340" s="101"/>
      <c r="S1340" s="101"/>
      <c r="T1340" s="99"/>
      <c r="U1340" s="99"/>
      <c r="V1340" s="99"/>
      <c r="W1340" s="99"/>
      <c r="X1340" s="99"/>
      <c r="Y1340" s="99"/>
      <c r="Z1340" s="99"/>
      <c r="AA1340" s="99"/>
      <c r="AB1340" s="99"/>
      <c r="AC1340" s="99"/>
      <c r="AD1340" s="99"/>
      <c r="AE1340" s="99"/>
      <c r="AF1340" s="99"/>
      <c r="AG1340" s="99"/>
      <c r="AH1340" s="99"/>
      <c r="AI1340" s="99"/>
      <c r="AJ1340" s="99"/>
      <c r="AK1340" s="99"/>
      <c r="AL1340" s="99"/>
      <c r="AM1340" s="99"/>
    </row>
    <row r="1341" ht="12.75" customHeight="1">
      <c r="A1341" s="104"/>
      <c r="B1341" s="104"/>
      <c r="C1341" s="104"/>
      <c r="D1341" s="110" t="s">
        <v>24</v>
      </c>
      <c r="E1341" s="110" t="s">
        <v>255</v>
      </c>
      <c r="G1341" s="136">
        <v>6.0</v>
      </c>
      <c r="H1341" s="136" t="s">
        <v>26</v>
      </c>
      <c r="I1341" s="137">
        <v>4000000.0</v>
      </c>
      <c r="J1341" s="46">
        <f>G1341*I1341</f>
        <v>24000000</v>
      </c>
      <c r="K1341" s="46"/>
      <c r="L1341" s="105"/>
      <c r="M1341" s="106"/>
      <c r="N1341" s="105"/>
      <c r="O1341" s="46">
        <f>J1341-K1341</f>
        <v>24000000</v>
      </c>
      <c r="P1341" s="46">
        <f>J1341-M1341</f>
        <v>24000000</v>
      </c>
      <c r="Q1341" s="46">
        <v>2.4E7</v>
      </c>
      <c r="R1341" s="101"/>
      <c r="S1341" s="101"/>
      <c r="T1341" s="99"/>
      <c r="U1341" s="99"/>
      <c r="V1341" s="99"/>
      <c r="W1341" s="99"/>
      <c r="X1341" s="99"/>
      <c r="Y1341" s="99"/>
      <c r="Z1341" s="99"/>
      <c r="AA1341" s="99"/>
      <c r="AB1341" s="99"/>
      <c r="AC1341" s="99"/>
      <c r="AD1341" s="99"/>
      <c r="AE1341" s="99"/>
      <c r="AF1341" s="99"/>
      <c r="AG1341" s="99"/>
      <c r="AH1341" s="99"/>
      <c r="AI1341" s="99"/>
      <c r="AJ1341" s="99"/>
      <c r="AK1341" s="99"/>
      <c r="AL1341" s="99"/>
      <c r="AM1341" s="99"/>
    </row>
    <row r="1342" ht="12.75" customHeight="1">
      <c r="A1342" s="110" t="s">
        <v>58</v>
      </c>
      <c r="D1342" s="145" t="s">
        <v>34</v>
      </c>
      <c r="G1342" s="104"/>
      <c r="H1342" s="133"/>
      <c r="I1342" s="104"/>
      <c r="J1342" s="134">
        <f t="shared" ref="J1342:K1342" si="1285">J1344</f>
        <v>2000000</v>
      </c>
      <c r="K1342" s="46" t="str">
        <f t="shared" si="1285"/>
        <v/>
      </c>
      <c r="L1342" s="105"/>
      <c r="M1342" s="106"/>
      <c r="N1342" s="105"/>
      <c r="O1342" s="46">
        <f t="shared" ref="O1342:P1342" si="1286">O1344</f>
        <v>2000000</v>
      </c>
      <c r="P1342" s="46">
        <f t="shared" si="1286"/>
        <v>2000000</v>
      </c>
      <c r="Q1342" s="46">
        <v>2000000.0</v>
      </c>
      <c r="R1342" s="101"/>
      <c r="S1342" s="101"/>
      <c r="T1342" s="99"/>
      <c r="U1342" s="99"/>
      <c r="V1342" s="99"/>
      <c r="W1342" s="99"/>
      <c r="X1342" s="99"/>
      <c r="Y1342" s="99"/>
      <c r="Z1342" s="99"/>
      <c r="AA1342" s="99"/>
      <c r="AB1342" s="99"/>
      <c r="AC1342" s="99"/>
      <c r="AD1342" s="99"/>
      <c r="AE1342" s="99"/>
      <c r="AF1342" s="99"/>
      <c r="AG1342" s="99"/>
      <c r="AH1342" s="99"/>
      <c r="AI1342" s="99"/>
      <c r="AJ1342" s="99"/>
      <c r="AK1342" s="99"/>
      <c r="AL1342" s="99"/>
      <c r="AM1342" s="99"/>
    </row>
    <row r="1343" ht="12.75" customHeight="1">
      <c r="A1343" s="104"/>
      <c r="B1343" s="104"/>
      <c r="C1343" s="104"/>
      <c r="D1343" s="110" t="s">
        <v>23</v>
      </c>
      <c r="G1343" s="104"/>
      <c r="H1343" s="104"/>
      <c r="I1343" s="104"/>
      <c r="J1343" s="111"/>
      <c r="K1343" s="111"/>
      <c r="L1343" s="105"/>
      <c r="M1343" s="106"/>
      <c r="N1343" s="105"/>
      <c r="O1343" s="111"/>
      <c r="P1343" s="111"/>
      <c r="Q1343" s="111"/>
      <c r="R1343" s="101"/>
      <c r="S1343" s="101"/>
      <c r="T1343" s="99"/>
      <c r="U1343" s="99"/>
      <c r="V1343" s="99"/>
      <c r="W1343" s="99"/>
      <c r="X1343" s="99"/>
      <c r="Y1343" s="99"/>
      <c r="Z1343" s="99"/>
      <c r="AA1343" s="99"/>
      <c r="AB1343" s="99"/>
      <c r="AC1343" s="99"/>
      <c r="AD1343" s="99"/>
      <c r="AE1343" s="99"/>
      <c r="AF1343" s="99"/>
      <c r="AG1343" s="99"/>
      <c r="AH1343" s="99"/>
      <c r="AI1343" s="99"/>
      <c r="AJ1343" s="99"/>
      <c r="AK1343" s="99"/>
      <c r="AL1343" s="99"/>
      <c r="AM1343" s="99"/>
    </row>
    <row r="1344" ht="12.75" customHeight="1">
      <c r="A1344" s="104"/>
      <c r="B1344" s="104"/>
      <c r="C1344" s="104"/>
      <c r="D1344" s="110" t="s">
        <v>24</v>
      </c>
      <c r="E1344" s="110" t="s">
        <v>59</v>
      </c>
      <c r="G1344" s="136">
        <v>4.0</v>
      </c>
      <c r="H1344" s="136" t="s">
        <v>26</v>
      </c>
      <c r="I1344" s="137">
        <v>500000.0</v>
      </c>
      <c r="J1344" s="46">
        <f>G1344*I1344</f>
        <v>2000000</v>
      </c>
      <c r="K1344" s="46"/>
      <c r="L1344" s="105"/>
      <c r="M1344" s="106"/>
      <c r="N1344" s="105"/>
      <c r="O1344" s="46">
        <f>J1344-K1344</f>
        <v>2000000</v>
      </c>
      <c r="P1344" s="46">
        <f>J1344-M1344</f>
        <v>2000000</v>
      </c>
      <c r="Q1344" s="46">
        <v>2000000.0</v>
      </c>
      <c r="R1344" s="101"/>
      <c r="S1344" s="101"/>
      <c r="T1344" s="99"/>
      <c r="U1344" s="99"/>
      <c r="V1344" s="99"/>
      <c r="W1344" s="99"/>
      <c r="X1344" s="99"/>
      <c r="Y1344" s="99"/>
      <c r="Z1344" s="99"/>
      <c r="AA1344" s="99"/>
      <c r="AB1344" s="99"/>
      <c r="AC1344" s="99"/>
      <c r="AD1344" s="99"/>
      <c r="AE1344" s="99"/>
      <c r="AF1344" s="99"/>
      <c r="AG1344" s="99"/>
      <c r="AH1344" s="99"/>
      <c r="AI1344" s="99"/>
      <c r="AJ1344" s="99"/>
      <c r="AK1344" s="99"/>
      <c r="AL1344" s="99"/>
      <c r="AM1344" s="99"/>
    </row>
    <row r="1345" ht="12.75" customHeight="1">
      <c r="A1345" s="144" t="s">
        <v>60</v>
      </c>
      <c r="D1345" s="144" t="s">
        <v>61</v>
      </c>
      <c r="G1345" s="104"/>
      <c r="H1345" s="128"/>
      <c r="I1345" s="104"/>
      <c r="J1345" s="129">
        <f t="shared" ref="J1345:K1345" si="1287">J1346+J1349+J1353+J1356+J1359</f>
        <v>254700000</v>
      </c>
      <c r="K1345" s="43">
        <f t="shared" si="1287"/>
        <v>0</v>
      </c>
      <c r="L1345" s="105"/>
      <c r="M1345" s="106"/>
      <c r="N1345" s="105"/>
      <c r="O1345" s="43">
        <f t="shared" ref="O1345:P1345" si="1288">O1346+O1349+O1353+O1356+O1359</f>
        <v>254700000</v>
      </c>
      <c r="P1345" s="43">
        <f t="shared" si="1288"/>
        <v>254700000</v>
      </c>
      <c r="Q1345" s="43">
        <v>2.547E8</v>
      </c>
      <c r="R1345" s="101"/>
      <c r="S1345" s="101"/>
      <c r="T1345" s="99"/>
      <c r="U1345" s="99"/>
      <c r="V1345" s="99"/>
      <c r="W1345" s="99"/>
      <c r="X1345" s="99"/>
      <c r="Y1345" s="99"/>
      <c r="Z1345" s="99"/>
      <c r="AA1345" s="99"/>
      <c r="AB1345" s="99"/>
      <c r="AC1345" s="99"/>
      <c r="AD1345" s="99"/>
      <c r="AE1345" s="99"/>
      <c r="AF1345" s="99"/>
      <c r="AG1345" s="99"/>
      <c r="AH1345" s="99"/>
      <c r="AI1345" s="99"/>
      <c r="AJ1345" s="99"/>
      <c r="AK1345" s="99"/>
      <c r="AL1345" s="99"/>
      <c r="AM1345" s="99"/>
    </row>
    <row r="1346" ht="12.75" customHeight="1">
      <c r="A1346" s="110" t="s">
        <v>40</v>
      </c>
      <c r="D1346" s="145" t="s">
        <v>22</v>
      </c>
      <c r="G1346" s="104"/>
      <c r="H1346" s="133"/>
      <c r="I1346" s="104"/>
      <c r="J1346" s="134">
        <f t="shared" ref="J1346:K1346" si="1289">J1348</f>
        <v>47700000</v>
      </c>
      <c r="K1346" s="46" t="str">
        <f t="shared" si="1289"/>
        <v/>
      </c>
      <c r="L1346" s="105"/>
      <c r="M1346" s="106"/>
      <c r="N1346" s="105"/>
      <c r="O1346" s="46">
        <f t="shared" ref="O1346:P1346" si="1290">O1348</f>
        <v>47700000</v>
      </c>
      <c r="P1346" s="46">
        <f t="shared" si="1290"/>
        <v>47700000</v>
      </c>
      <c r="Q1346" s="46">
        <v>4.77E7</v>
      </c>
      <c r="R1346" s="101"/>
      <c r="S1346" s="101"/>
      <c r="T1346" s="99"/>
      <c r="U1346" s="99"/>
      <c r="V1346" s="99"/>
      <c r="W1346" s="99"/>
      <c r="X1346" s="99"/>
      <c r="Y1346" s="99"/>
      <c r="Z1346" s="99"/>
      <c r="AA1346" s="99"/>
      <c r="AB1346" s="99"/>
      <c r="AC1346" s="99"/>
      <c r="AD1346" s="99"/>
      <c r="AE1346" s="99"/>
      <c r="AF1346" s="99"/>
      <c r="AG1346" s="99"/>
      <c r="AH1346" s="99"/>
      <c r="AI1346" s="99"/>
      <c r="AJ1346" s="99"/>
      <c r="AK1346" s="99"/>
      <c r="AL1346" s="99"/>
      <c r="AM1346" s="99"/>
    </row>
    <row r="1347" ht="12.75" customHeight="1">
      <c r="A1347" s="104"/>
      <c r="B1347" s="104"/>
      <c r="C1347" s="104"/>
      <c r="D1347" s="110" t="s">
        <v>23</v>
      </c>
      <c r="G1347" s="104"/>
      <c r="H1347" s="104"/>
      <c r="I1347" s="104"/>
      <c r="J1347" s="111"/>
      <c r="K1347" s="111"/>
      <c r="L1347" s="105"/>
      <c r="M1347" s="106"/>
      <c r="N1347" s="105"/>
      <c r="O1347" s="111"/>
      <c r="P1347" s="111"/>
      <c r="Q1347" s="111"/>
      <c r="R1347" s="101"/>
      <c r="S1347" s="101"/>
      <c r="T1347" s="99"/>
      <c r="U1347" s="99"/>
      <c r="V1347" s="99"/>
      <c r="W1347" s="99"/>
      <c r="X1347" s="99"/>
      <c r="Y1347" s="99"/>
      <c r="Z1347" s="99"/>
      <c r="AA1347" s="99"/>
      <c r="AB1347" s="99"/>
      <c r="AC1347" s="99"/>
      <c r="AD1347" s="99"/>
      <c r="AE1347" s="99"/>
      <c r="AF1347" s="99"/>
      <c r="AG1347" s="99"/>
      <c r="AH1347" s="99"/>
      <c r="AI1347" s="99"/>
      <c r="AJ1347" s="99"/>
      <c r="AK1347" s="99"/>
      <c r="AL1347" s="99"/>
      <c r="AM1347" s="99"/>
    </row>
    <row r="1348" ht="15.75" customHeight="1">
      <c r="A1348" s="104"/>
      <c r="B1348" s="104"/>
      <c r="C1348" s="104"/>
      <c r="D1348" s="110" t="s">
        <v>24</v>
      </c>
      <c r="E1348" s="110" t="s">
        <v>256</v>
      </c>
      <c r="G1348" s="136">
        <v>900.0</v>
      </c>
      <c r="H1348" s="136" t="s">
        <v>26</v>
      </c>
      <c r="I1348" s="137">
        <v>53000.0</v>
      </c>
      <c r="J1348" s="46">
        <f>G1348*I1348</f>
        <v>47700000</v>
      </c>
      <c r="K1348" s="46"/>
      <c r="L1348" s="105"/>
      <c r="M1348" s="106"/>
      <c r="N1348" s="105"/>
      <c r="O1348" s="46">
        <f>J1348-K1348</f>
        <v>47700000</v>
      </c>
      <c r="P1348" s="46">
        <f>J1348-M1348</f>
        <v>47700000</v>
      </c>
      <c r="Q1348" s="46">
        <v>4.77E7</v>
      </c>
      <c r="R1348" s="101"/>
      <c r="S1348" s="101"/>
      <c r="T1348" s="99"/>
      <c r="U1348" s="99"/>
      <c r="V1348" s="99"/>
      <c r="W1348" s="99"/>
      <c r="X1348" s="99"/>
      <c r="Y1348" s="99"/>
      <c r="Z1348" s="99"/>
      <c r="AA1348" s="99"/>
      <c r="AB1348" s="99"/>
      <c r="AC1348" s="99"/>
      <c r="AD1348" s="99"/>
      <c r="AE1348" s="99"/>
      <c r="AF1348" s="99"/>
      <c r="AG1348" s="99"/>
      <c r="AH1348" s="99"/>
      <c r="AI1348" s="99"/>
      <c r="AJ1348" s="99"/>
      <c r="AK1348" s="99"/>
      <c r="AL1348" s="99"/>
      <c r="AM1348" s="99"/>
    </row>
    <row r="1349" ht="12.75" customHeight="1">
      <c r="A1349" s="110" t="s">
        <v>63</v>
      </c>
      <c r="D1349" s="145" t="s">
        <v>64</v>
      </c>
      <c r="G1349" s="104"/>
      <c r="H1349" s="133"/>
      <c r="I1349" s="104"/>
      <c r="J1349" s="134">
        <f t="shared" ref="J1349:K1349" si="1291">SUM(J1351:J1352)</f>
        <v>125000000</v>
      </c>
      <c r="K1349" s="46">
        <f t="shared" si="1291"/>
        <v>0</v>
      </c>
      <c r="L1349" s="105"/>
      <c r="M1349" s="106"/>
      <c r="N1349" s="105"/>
      <c r="O1349" s="46">
        <f t="shared" ref="O1349:P1349" si="1292">SUM(O1351:O1352)</f>
        <v>125000000</v>
      </c>
      <c r="P1349" s="46">
        <f t="shared" si="1292"/>
        <v>125000000</v>
      </c>
      <c r="Q1349" s="46">
        <v>1.25E8</v>
      </c>
      <c r="R1349" s="101"/>
      <c r="S1349" s="101"/>
      <c r="T1349" s="99"/>
      <c r="U1349" s="99"/>
      <c r="V1349" s="99"/>
      <c r="W1349" s="99"/>
      <c r="X1349" s="99"/>
      <c r="Y1349" s="99"/>
      <c r="Z1349" s="99"/>
      <c r="AA1349" s="99"/>
      <c r="AB1349" s="99"/>
      <c r="AC1349" s="99"/>
      <c r="AD1349" s="99"/>
      <c r="AE1349" s="99"/>
      <c r="AF1349" s="99"/>
      <c r="AG1349" s="99"/>
      <c r="AH1349" s="99"/>
      <c r="AI1349" s="99"/>
      <c r="AJ1349" s="99"/>
      <c r="AK1349" s="99"/>
      <c r="AL1349" s="99"/>
      <c r="AM1349" s="99"/>
    </row>
    <row r="1350" ht="12.75" customHeight="1">
      <c r="A1350" s="104"/>
      <c r="B1350" s="104"/>
      <c r="C1350" s="104"/>
      <c r="D1350" s="110" t="s">
        <v>23</v>
      </c>
      <c r="G1350" s="104"/>
      <c r="H1350" s="104"/>
      <c r="I1350" s="104"/>
      <c r="J1350" s="111"/>
      <c r="K1350" s="111"/>
      <c r="L1350" s="105"/>
      <c r="M1350" s="106"/>
      <c r="N1350" s="105"/>
      <c r="O1350" s="111"/>
      <c r="P1350" s="111"/>
      <c r="Q1350" s="111"/>
      <c r="R1350" s="101"/>
      <c r="S1350" s="101"/>
      <c r="T1350" s="99"/>
      <c r="U1350" s="99"/>
      <c r="V1350" s="99"/>
      <c r="W1350" s="99"/>
      <c r="X1350" s="99"/>
      <c r="Y1350" s="99"/>
      <c r="Z1350" s="99"/>
      <c r="AA1350" s="99"/>
      <c r="AB1350" s="99"/>
      <c r="AC1350" s="99"/>
      <c r="AD1350" s="99"/>
      <c r="AE1350" s="99"/>
      <c r="AF1350" s="99"/>
      <c r="AG1350" s="99"/>
      <c r="AH1350" s="99"/>
      <c r="AI1350" s="99"/>
      <c r="AJ1350" s="99"/>
      <c r="AK1350" s="99"/>
      <c r="AL1350" s="99"/>
      <c r="AM1350" s="99"/>
    </row>
    <row r="1351" ht="15.75" customHeight="1">
      <c r="A1351" s="104"/>
      <c r="B1351" s="104"/>
      <c r="C1351" s="104"/>
      <c r="D1351" s="110" t="s">
        <v>24</v>
      </c>
      <c r="E1351" s="110" t="s">
        <v>289</v>
      </c>
      <c r="G1351" s="136">
        <v>1.0</v>
      </c>
      <c r="H1351" s="136" t="s">
        <v>97</v>
      </c>
      <c r="I1351" s="137">
        <v>9.5E7</v>
      </c>
      <c r="J1351" s="46">
        <f t="shared" ref="J1351:J1352" si="1293">G1351*I1351</f>
        <v>95000000</v>
      </c>
      <c r="K1351" s="46"/>
      <c r="L1351" s="105"/>
      <c r="M1351" s="106"/>
      <c r="N1351" s="105"/>
      <c r="O1351" s="46">
        <f t="shared" ref="O1351:O1352" si="1294">J1351-K1351</f>
        <v>95000000</v>
      </c>
      <c r="P1351" s="46">
        <f t="shared" ref="P1351:P1352" si="1295">J1351-M1351</f>
        <v>95000000</v>
      </c>
      <c r="Q1351" s="46">
        <v>9.5E7</v>
      </c>
      <c r="R1351" s="101"/>
      <c r="S1351" s="101"/>
      <c r="T1351" s="99"/>
      <c r="U1351" s="99"/>
      <c r="V1351" s="99"/>
      <c r="W1351" s="99"/>
      <c r="X1351" s="99"/>
      <c r="Y1351" s="99"/>
      <c r="Z1351" s="99"/>
      <c r="AA1351" s="99"/>
      <c r="AB1351" s="99"/>
      <c r="AC1351" s="99"/>
      <c r="AD1351" s="99"/>
      <c r="AE1351" s="99"/>
      <c r="AF1351" s="99"/>
      <c r="AG1351" s="99"/>
      <c r="AH1351" s="99"/>
      <c r="AI1351" s="99"/>
      <c r="AJ1351" s="99"/>
      <c r="AK1351" s="99"/>
      <c r="AL1351" s="99"/>
      <c r="AM1351" s="99"/>
    </row>
    <row r="1352" ht="12.75" customHeight="1">
      <c r="A1352" s="104"/>
      <c r="B1352" s="104"/>
      <c r="C1352" s="104"/>
      <c r="D1352" s="110" t="s">
        <v>24</v>
      </c>
      <c r="E1352" s="110" t="s">
        <v>354</v>
      </c>
      <c r="G1352" s="136">
        <v>150.0</v>
      </c>
      <c r="H1352" s="136" t="s">
        <v>26</v>
      </c>
      <c r="I1352" s="137">
        <v>200000.0</v>
      </c>
      <c r="J1352" s="46">
        <f t="shared" si="1293"/>
        <v>30000000</v>
      </c>
      <c r="K1352" s="46"/>
      <c r="L1352" s="105"/>
      <c r="M1352" s="106"/>
      <c r="N1352" s="105"/>
      <c r="O1352" s="46">
        <f t="shared" si="1294"/>
        <v>30000000</v>
      </c>
      <c r="P1352" s="46">
        <f t="shared" si="1295"/>
        <v>30000000</v>
      </c>
      <c r="Q1352" s="46">
        <v>3.0E7</v>
      </c>
      <c r="R1352" s="101"/>
      <c r="S1352" s="101"/>
      <c r="T1352" s="99"/>
      <c r="U1352" s="99"/>
      <c r="V1352" s="99"/>
      <c r="W1352" s="99"/>
      <c r="X1352" s="99"/>
      <c r="Y1352" s="99"/>
      <c r="Z1352" s="99"/>
      <c r="AA1352" s="99"/>
      <c r="AB1352" s="99"/>
      <c r="AC1352" s="99"/>
      <c r="AD1352" s="99"/>
      <c r="AE1352" s="99"/>
      <c r="AF1352" s="99"/>
      <c r="AG1352" s="99"/>
      <c r="AH1352" s="99"/>
      <c r="AI1352" s="99"/>
      <c r="AJ1352" s="99"/>
      <c r="AK1352" s="99"/>
      <c r="AL1352" s="99"/>
      <c r="AM1352" s="99"/>
    </row>
    <row r="1353" ht="12.75" customHeight="1">
      <c r="A1353" s="110" t="s">
        <v>68</v>
      </c>
      <c r="D1353" s="145" t="s">
        <v>69</v>
      </c>
      <c r="G1353" s="104"/>
      <c r="H1353" s="133"/>
      <c r="I1353" s="104"/>
      <c r="J1353" s="134">
        <f t="shared" ref="J1353:K1353" si="1296">J1355</f>
        <v>10000000</v>
      </c>
      <c r="K1353" s="46" t="str">
        <f t="shared" si="1296"/>
        <v/>
      </c>
      <c r="L1353" s="105"/>
      <c r="M1353" s="106"/>
      <c r="N1353" s="105"/>
      <c r="O1353" s="46">
        <f t="shared" ref="O1353:P1353" si="1297">O1355</f>
        <v>10000000</v>
      </c>
      <c r="P1353" s="46">
        <f t="shared" si="1297"/>
        <v>10000000</v>
      </c>
      <c r="Q1353" s="46">
        <v>1.0E7</v>
      </c>
      <c r="R1353" s="101"/>
      <c r="S1353" s="101"/>
      <c r="T1353" s="99"/>
      <c r="U1353" s="99"/>
      <c r="V1353" s="99"/>
      <c r="W1353" s="99"/>
      <c r="X1353" s="99"/>
      <c r="Y1353" s="99"/>
      <c r="Z1353" s="99"/>
      <c r="AA1353" s="99"/>
      <c r="AB1353" s="99"/>
      <c r="AC1353" s="99"/>
      <c r="AD1353" s="99"/>
      <c r="AE1353" s="99"/>
      <c r="AF1353" s="99"/>
      <c r="AG1353" s="99"/>
      <c r="AH1353" s="99"/>
      <c r="AI1353" s="99"/>
      <c r="AJ1353" s="99"/>
      <c r="AK1353" s="99"/>
      <c r="AL1353" s="99"/>
      <c r="AM1353" s="99"/>
    </row>
    <row r="1354" ht="12.75" customHeight="1">
      <c r="A1354" s="104"/>
      <c r="B1354" s="104"/>
      <c r="C1354" s="104"/>
      <c r="D1354" s="110" t="s">
        <v>23</v>
      </c>
      <c r="G1354" s="104"/>
      <c r="H1354" s="104"/>
      <c r="I1354" s="104"/>
      <c r="J1354" s="111"/>
      <c r="K1354" s="111"/>
      <c r="L1354" s="105"/>
      <c r="M1354" s="106"/>
      <c r="N1354" s="105"/>
      <c r="O1354" s="111"/>
      <c r="P1354" s="111"/>
      <c r="Q1354" s="111"/>
      <c r="R1354" s="101"/>
      <c r="S1354" s="101"/>
      <c r="T1354" s="99"/>
      <c r="U1354" s="99"/>
      <c r="V1354" s="99"/>
      <c r="W1354" s="99"/>
      <c r="X1354" s="99"/>
      <c r="Y1354" s="99"/>
      <c r="Z1354" s="99"/>
      <c r="AA1354" s="99"/>
      <c r="AB1354" s="99"/>
      <c r="AC1354" s="99"/>
      <c r="AD1354" s="99"/>
      <c r="AE1354" s="99"/>
      <c r="AF1354" s="99"/>
      <c r="AG1354" s="99"/>
      <c r="AH1354" s="99"/>
      <c r="AI1354" s="99"/>
      <c r="AJ1354" s="99"/>
      <c r="AK1354" s="99"/>
      <c r="AL1354" s="99"/>
      <c r="AM1354" s="99"/>
    </row>
    <row r="1355" ht="12.75" customHeight="1">
      <c r="A1355" s="104"/>
      <c r="B1355" s="104"/>
      <c r="C1355" s="104"/>
      <c r="D1355" s="110" t="s">
        <v>24</v>
      </c>
      <c r="E1355" s="110" t="s">
        <v>70</v>
      </c>
      <c r="G1355" s="136">
        <v>20.0</v>
      </c>
      <c r="H1355" s="136" t="s">
        <v>26</v>
      </c>
      <c r="I1355" s="137">
        <v>500000.0</v>
      </c>
      <c r="J1355" s="46">
        <f>G1355*I1355</f>
        <v>10000000</v>
      </c>
      <c r="K1355" s="46"/>
      <c r="L1355" s="105"/>
      <c r="M1355" s="106"/>
      <c r="N1355" s="105"/>
      <c r="O1355" s="46">
        <f>J1355-K1355</f>
        <v>10000000</v>
      </c>
      <c r="P1355" s="46">
        <f>J1355-M1355</f>
        <v>10000000</v>
      </c>
      <c r="Q1355" s="46">
        <v>1.0E7</v>
      </c>
      <c r="R1355" s="101"/>
      <c r="S1355" s="101"/>
      <c r="T1355" s="99"/>
      <c r="U1355" s="99"/>
      <c r="V1355" s="99"/>
      <c r="W1355" s="99"/>
      <c r="X1355" s="99"/>
      <c r="Y1355" s="99"/>
      <c r="Z1355" s="99"/>
      <c r="AA1355" s="99"/>
      <c r="AB1355" s="99"/>
      <c r="AC1355" s="99"/>
      <c r="AD1355" s="99"/>
      <c r="AE1355" s="99"/>
      <c r="AF1355" s="99"/>
      <c r="AG1355" s="99"/>
      <c r="AH1355" s="99"/>
      <c r="AI1355" s="99"/>
      <c r="AJ1355" s="99"/>
      <c r="AK1355" s="99"/>
      <c r="AL1355" s="99"/>
      <c r="AM1355" s="99"/>
    </row>
    <row r="1356" ht="12.75" customHeight="1">
      <c r="A1356" s="110" t="s">
        <v>47</v>
      </c>
      <c r="D1356" s="145" t="s">
        <v>48</v>
      </c>
      <c r="G1356" s="104"/>
      <c r="H1356" s="133"/>
      <c r="I1356" s="104"/>
      <c r="J1356" s="134">
        <f t="shared" ref="J1356:K1356" si="1298">J1358</f>
        <v>24000000</v>
      </c>
      <c r="K1356" s="46" t="str">
        <f t="shared" si="1298"/>
        <v/>
      </c>
      <c r="L1356" s="105"/>
      <c r="M1356" s="106"/>
      <c r="N1356" s="105"/>
      <c r="O1356" s="46">
        <f t="shared" ref="O1356:P1356" si="1299">O1358</f>
        <v>24000000</v>
      </c>
      <c r="P1356" s="46">
        <f t="shared" si="1299"/>
        <v>24000000</v>
      </c>
      <c r="Q1356" s="46">
        <v>2.4E7</v>
      </c>
      <c r="R1356" s="101"/>
      <c r="S1356" s="101"/>
      <c r="T1356" s="99"/>
      <c r="U1356" s="99"/>
      <c r="V1356" s="99"/>
      <c r="W1356" s="99"/>
      <c r="X1356" s="99"/>
      <c r="Y1356" s="99"/>
      <c r="Z1356" s="99"/>
      <c r="AA1356" s="99"/>
      <c r="AB1356" s="99"/>
      <c r="AC1356" s="99"/>
      <c r="AD1356" s="99"/>
      <c r="AE1356" s="99"/>
      <c r="AF1356" s="99"/>
      <c r="AG1356" s="99"/>
      <c r="AH1356" s="99"/>
      <c r="AI1356" s="99"/>
      <c r="AJ1356" s="99"/>
      <c r="AK1356" s="99"/>
      <c r="AL1356" s="99"/>
      <c r="AM1356" s="99"/>
    </row>
    <row r="1357" ht="12.75" customHeight="1">
      <c r="A1357" s="104"/>
      <c r="B1357" s="104"/>
      <c r="C1357" s="104"/>
      <c r="D1357" s="110" t="s">
        <v>23</v>
      </c>
      <c r="G1357" s="104"/>
      <c r="H1357" s="104"/>
      <c r="I1357" s="104"/>
      <c r="J1357" s="111"/>
      <c r="K1357" s="111"/>
      <c r="L1357" s="105"/>
      <c r="M1357" s="106"/>
      <c r="N1357" s="105"/>
      <c r="O1357" s="111"/>
      <c r="P1357" s="111"/>
      <c r="Q1357" s="111"/>
      <c r="R1357" s="101"/>
      <c r="S1357" s="101"/>
      <c r="T1357" s="99"/>
      <c r="U1357" s="99"/>
      <c r="V1357" s="99"/>
      <c r="W1357" s="99"/>
      <c r="X1357" s="99"/>
      <c r="Y1357" s="99"/>
      <c r="Z1357" s="99"/>
      <c r="AA1357" s="99"/>
      <c r="AB1357" s="99"/>
      <c r="AC1357" s="99"/>
      <c r="AD1357" s="99"/>
      <c r="AE1357" s="99"/>
      <c r="AF1357" s="99"/>
      <c r="AG1357" s="99"/>
      <c r="AH1357" s="99"/>
      <c r="AI1357" s="99"/>
      <c r="AJ1357" s="99"/>
      <c r="AK1357" s="99"/>
      <c r="AL1357" s="99"/>
      <c r="AM1357" s="99"/>
    </row>
    <row r="1358" ht="12.75" customHeight="1">
      <c r="A1358" s="104"/>
      <c r="B1358" s="104"/>
      <c r="C1358" s="104"/>
      <c r="D1358" s="110" t="s">
        <v>24</v>
      </c>
      <c r="E1358" s="110" t="s">
        <v>255</v>
      </c>
      <c r="G1358" s="136">
        <v>6.0</v>
      </c>
      <c r="H1358" s="136" t="s">
        <v>26</v>
      </c>
      <c r="I1358" s="137">
        <v>4000000.0</v>
      </c>
      <c r="J1358" s="46">
        <f>G1358*I1358</f>
        <v>24000000</v>
      </c>
      <c r="K1358" s="46"/>
      <c r="L1358" s="105"/>
      <c r="M1358" s="106"/>
      <c r="N1358" s="105"/>
      <c r="O1358" s="46">
        <f>J1358-K1358</f>
        <v>24000000</v>
      </c>
      <c r="P1358" s="46">
        <f>J1358-M1358</f>
        <v>24000000</v>
      </c>
      <c r="Q1358" s="46">
        <v>2.4E7</v>
      </c>
      <c r="R1358" s="101"/>
      <c r="S1358" s="101"/>
      <c r="T1358" s="99"/>
      <c r="U1358" s="99"/>
      <c r="V1358" s="99"/>
      <c r="W1358" s="99"/>
      <c r="X1358" s="99"/>
      <c r="Y1358" s="99"/>
      <c r="Z1358" s="99"/>
      <c r="AA1358" s="99"/>
      <c r="AB1358" s="99"/>
      <c r="AC1358" s="99"/>
      <c r="AD1358" s="99"/>
      <c r="AE1358" s="99"/>
      <c r="AF1358" s="99"/>
      <c r="AG1358" s="99"/>
      <c r="AH1358" s="99"/>
      <c r="AI1358" s="99"/>
      <c r="AJ1358" s="99"/>
      <c r="AK1358" s="99"/>
      <c r="AL1358" s="99"/>
      <c r="AM1358" s="99"/>
    </row>
    <row r="1359" ht="12.75" customHeight="1">
      <c r="A1359" s="110" t="s">
        <v>58</v>
      </c>
      <c r="D1359" s="145" t="s">
        <v>34</v>
      </c>
      <c r="G1359" s="104"/>
      <c r="H1359" s="133"/>
      <c r="I1359" s="104"/>
      <c r="J1359" s="134">
        <f t="shared" ref="J1359:K1359" si="1300">J1361</f>
        <v>48000000</v>
      </c>
      <c r="K1359" s="46" t="str">
        <f t="shared" si="1300"/>
        <v/>
      </c>
      <c r="L1359" s="105"/>
      <c r="M1359" s="106"/>
      <c r="N1359" s="105"/>
      <c r="O1359" s="46">
        <f t="shared" ref="O1359:P1359" si="1301">O1361</f>
        <v>48000000</v>
      </c>
      <c r="P1359" s="46">
        <f t="shared" si="1301"/>
        <v>48000000</v>
      </c>
      <c r="Q1359" s="46">
        <v>4.8E7</v>
      </c>
      <c r="R1359" s="101"/>
      <c r="S1359" s="101"/>
      <c r="T1359" s="99"/>
      <c r="U1359" s="99"/>
      <c r="V1359" s="99"/>
      <c r="W1359" s="99"/>
      <c r="X1359" s="99"/>
      <c r="Y1359" s="99"/>
      <c r="Z1359" s="99"/>
      <c r="AA1359" s="99"/>
      <c r="AB1359" s="99"/>
      <c r="AC1359" s="99"/>
      <c r="AD1359" s="99"/>
      <c r="AE1359" s="99"/>
      <c r="AF1359" s="99"/>
      <c r="AG1359" s="99"/>
      <c r="AH1359" s="99"/>
      <c r="AI1359" s="99"/>
      <c r="AJ1359" s="99"/>
      <c r="AK1359" s="99"/>
      <c r="AL1359" s="99"/>
      <c r="AM1359" s="99"/>
    </row>
    <row r="1360" ht="12.75" customHeight="1">
      <c r="A1360" s="104"/>
      <c r="B1360" s="104"/>
      <c r="C1360" s="104"/>
      <c r="D1360" s="110" t="s">
        <v>23</v>
      </c>
      <c r="G1360" s="104"/>
      <c r="H1360" s="104"/>
      <c r="I1360" s="104"/>
      <c r="J1360" s="111"/>
      <c r="K1360" s="111"/>
      <c r="L1360" s="105"/>
      <c r="M1360" s="106"/>
      <c r="N1360" s="105"/>
      <c r="O1360" s="111"/>
      <c r="P1360" s="111"/>
      <c r="Q1360" s="111"/>
      <c r="R1360" s="101"/>
      <c r="S1360" s="101"/>
      <c r="T1360" s="99"/>
      <c r="U1360" s="99"/>
      <c r="V1360" s="99"/>
      <c r="W1360" s="99"/>
      <c r="X1360" s="99"/>
      <c r="Y1360" s="99"/>
      <c r="Z1360" s="99"/>
      <c r="AA1360" s="99"/>
      <c r="AB1360" s="99"/>
      <c r="AC1360" s="99"/>
      <c r="AD1360" s="99"/>
      <c r="AE1360" s="99"/>
      <c r="AF1360" s="99"/>
      <c r="AG1360" s="99"/>
      <c r="AH1360" s="99"/>
      <c r="AI1360" s="99"/>
      <c r="AJ1360" s="99"/>
      <c r="AK1360" s="99"/>
      <c r="AL1360" s="99"/>
      <c r="AM1360" s="99"/>
    </row>
    <row r="1361" ht="15.75" customHeight="1">
      <c r="A1361" s="104"/>
      <c r="B1361" s="104"/>
      <c r="C1361" s="104"/>
      <c r="D1361" s="110" t="s">
        <v>24</v>
      </c>
      <c r="E1361" s="110" t="s">
        <v>71</v>
      </c>
      <c r="G1361" s="136">
        <v>96.0</v>
      </c>
      <c r="H1361" s="136" t="s">
        <v>26</v>
      </c>
      <c r="I1361" s="137">
        <v>500000.0</v>
      </c>
      <c r="J1361" s="46">
        <f>G1361*I1361</f>
        <v>48000000</v>
      </c>
      <c r="K1361" s="46"/>
      <c r="L1361" s="105"/>
      <c r="M1361" s="106"/>
      <c r="N1361" s="105"/>
      <c r="O1361" s="46">
        <f>J1361-K1361</f>
        <v>48000000</v>
      </c>
      <c r="P1361" s="46">
        <f>J1361-M1361</f>
        <v>48000000</v>
      </c>
      <c r="Q1361" s="46">
        <v>4.8E7</v>
      </c>
      <c r="R1361" s="101"/>
      <c r="S1361" s="101"/>
      <c r="T1361" s="99"/>
      <c r="U1361" s="99"/>
      <c r="V1361" s="99"/>
      <c r="W1361" s="99"/>
      <c r="X1361" s="99"/>
      <c r="Y1361" s="99"/>
      <c r="Z1361" s="99"/>
      <c r="AA1361" s="99"/>
      <c r="AB1361" s="99"/>
      <c r="AC1361" s="99"/>
      <c r="AD1361" s="99"/>
      <c r="AE1361" s="99"/>
      <c r="AF1361" s="99"/>
      <c r="AG1361" s="99"/>
      <c r="AH1361" s="99"/>
      <c r="AI1361" s="99"/>
      <c r="AJ1361" s="99"/>
      <c r="AK1361" s="99"/>
      <c r="AL1361" s="99"/>
      <c r="AM1361" s="99"/>
    </row>
    <row r="1362" ht="12.75" customHeight="1">
      <c r="A1362" s="144" t="s">
        <v>72</v>
      </c>
      <c r="D1362" s="144" t="s">
        <v>73</v>
      </c>
      <c r="G1362" s="104"/>
      <c r="H1362" s="128"/>
      <c r="I1362" s="104"/>
      <c r="J1362" s="129">
        <f t="shared" ref="J1362:K1362" si="1302">J1363+J1368</f>
        <v>151200000</v>
      </c>
      <c r="K1362" s="43">
        <f t="shared" si="1302"/>
        <v>0</v>
      </c>
      <c r="L1362" s="105"/>
      <c r="M1362" s="106"/>
      <c r="N1362" s="105"/>
      <c r="O1362" s="43">
        <f t="shared" ref="O1362:P1362" si="1303">O1363+O1368</f>
        <v>151200000</v>
      </c>
      <c r="P1362" s="43">
        <f t="shared" si="1303"/>
        <v>151200000</v>
      </c>
      <c r="Q1362" s="43">
        <v>1.512E8</v>
      </c>
      <c r="R1362" s="101"/>
      <c r="S1362" s="101"/>
      <c r="T1362" s="99"/>
      <c r="U1362" s="99"/>
      <c r="V1362" s="99"/>
      <c r="W1362" s="99"/>
      <c r="X1362" s="99"/>
      <c r="Y1362" s="99"/>
      <c r="Z1362" s="99"/>
      <c r="AA1362" s="99"/>
      <c r="AB1362" s="99"/>
      <c r="AC1362" s="99"/>
      <c r="AD1362" s="99"/>
      <c r="AE1362" s="99"/>
      <c r="AF1362" s="99"/>
      <c r="AG1362" s="99"/>
      <c r="AH1362" s="99"/>
      <c r="AI1362" s="99"/>
      <c r="AJ1362" s="99"/>
      <c r="AK1362" s="99"/>
      <c r="AL1362" s="99"/>
      <c r="AM1362" s="99"/>
    </row>
    <row r="1363" ht="12.75" customHeight="1">
      <c r="A1363" s="110" t="s">
        <v>74</v>
      </c>
      <c r="D1363" s="145" t="s">
        <v>75</v>
      </c>
      <c r="G1363" s="104"/>
      <c r="H1363" s="133"/>
      <c r="I1363" s="104"/>
      <c r="J1363" s="134">
        <f t="shared" ref="J1363:K1363" si="1304">SUM(J1365:J1367)</f>
        <v>142700000</v>
      </c>
      <c r="K1363" s="46">
        <f t="shared" si="1304"/>
        <v>0</v>
      </c>
      <c r="L1363" s="105"/>
      <c r="M1363" s="106"/>
      <c r="N1363" s="105"/>
      <c r="O1363" s="46">
        <f t="shared" ref="O1363:P1363" si="1305">SUM(O1365:O1367)</f>
        <v>142700000</v>
      </c>
      <c r="P1363" s="46">
        <f t="shared" si="1305"/>
        <v>142700000</v>
      </c>
      <c r="Q1363" s="46">
        <v>1.427E8</v>
      </c>
      <c r="R1363" s="101"/>
      <c r="S1363" s="101"/>
      <c r="T1363" s="99"/>
      <c r="U1363" s="99"/>
      <c r="V1363" s="99"/>
      <c r="W1363" s="99"/>
      <c r="X1363" s="99"/>
      <c r="Y1363" s="99"/>
      <c r="Z1363" s="99"/>
      <c r="AA1363" s="99"/>
      <c r="AB1363" s="99"/>
      <c r="AC1363" s="99"/>
      <c r="AD1363" s="99"/>
      <c r="AE1363" s="99"/>
      <c r="AF1363" s="99"/>
      <c r="AG1363" s="99"/>
      <c r="AH1363" s="99"/>
      <c r="AI1363" s="99"/>
      <c r="AJ1363" s="99"/>
      <c r="AK1363" s="99"/>
      <c r="AL1363" s="99"/>
      <c r="AM1363" s="99"/>
    </row>
    <row r="1364" ht="12.75" customHeight="1">
      <c r="A1364" s="104"/>
      <c r="B1364" s="104"/>
      <c r="C1364" s="104"/>
      <c r="D1364" s="110" t="s">
        <v>23</v>
      </c>
      <c r="G1364" s="104"/>
      <c r="H1364" s="104"/>
      <c r="I1364" s="104"/>
      <c r="J1364" s="111"/>
      <c r="K1364" s="111"/>
      <c r="L1364" s="105"/>
      <c r="M1364" s="106"/>
      <c r="N1364" s="105"/>
      <c r="O1364" s="111"/>
      <c r="P1364" s="111"/>
      <c r="Q1364" s="111"/>
      <c r="R1364" s="101"/>
      <c r="S1364" s="101"/>
      <c r="T1364" s="99"/>
      <c r="U1364" s="99"/>
      <c r="V1364" s="99"/>
      <c r="W1364" s="99"/>
      <c r="X1364" s="99"/>
      <c r="Y1364" s="99"/>
      <c r="Z1364" s="99"/>
      <c r="AA1364" s="99"/>
      <c r="AB1364" s="99"/>
      <c r="AC1364" s="99"/>
      <c r="AD1364" s="99"/>
      <c r="AE1364" s="99"/>
      <c r="AF1364" s="99"/>
      <c r="AG1364" s="99"/>
      <c r="AH1364" s="99"/>
      <c r="AI1364" s="99"/>
      <c r="AJ1364" s="99"/>
      <c r="AK1364" s="99"/>
      <c r="AL1364" s="99"/>
      <c r="AM1364" s="99"/>
    </row>
    <row r="1365" ht="12.75" customHeight="1">
      <c r="A1365" s="104"/>
      <c r="B1365" s="104"/>
      <c r="C1365" s="104"/>
      <c r="D1365" s="110" t="s">
        <v>24</v>
      </c>
      <c r="E1365" s="110" t="s">
        <v>76</v>
      </c>
      <c r="G1365" s="136">
        <v>20.0</v>
      </c>
      <c r="H1365" s="136" t="s">
        <v>26</v>
      </c>
      <c r="I1365" s="137">
        <v>5000000.0</v>
      </c>
      <c r="J1365" s="46">
        <f t="shared" ref="J1365:J1367" si="1306">G1365*I1365</f>
        <v>100000000</v>
      </c>
      <c r="K1365" s="46"/>
      <c r="L1365" s="105"/>
      <c r="M1365" s="106"/>
      <c r="N1365" s="105"/>
      <c r="O1365" s="46">
        <f t="shared" ref="O1365:O1367" si="1307">J1365-K1365</f>
        <v>100000000</v>
      </c>
      <c r="P1365" s="46">
        <f t="shared" ref="P1365:P1367" si="1308">J1365-M1365</f>
        <v>100000000</v>
      </c>
      <c r="Q1365" s="46">
        <v>1.0E8</v>
      </c>
      <c r="R1365" s="101"/>
      <c r="S1365" s="101"/>
      <c r="T1365" s="99"/>
      <c r="U1365" s="99"/>
      <c r="V1365" s="99"/>
      <c r="W1365" s="99"/>
      <c r="X1365" s="99"/>
      <c r="Y1365" s="99"/>
      <c r="Z1365" s="99"/>
      <c r="AA1365" s="99"/>
      <c r="AB1365" s="99"/>
      <c r="AC1365" s="99"/>
      <c r="AD1365" s="99"/>
      <c r="AE1365" s="99"/>
      <c r="AF1365" s="99"/>
      <c r="AG1365" s="99"/>
      <c r="AH1365" s="99"/>
      <c r="AI1365" s="99"/>
      <c r="AJ1365" s="99"/>
      <c r="AK1365" s="99"/>
      <c r="AL1365" s="99"/>
      <c r="AM1365" s="99"/>
    </row>
    <row r="1366" ht="15.75" customHeight="1">
      <c r="A1366" s="104"/>
      <c r="B1366" s="104"/>
      <c r="C1366" s="104"/>
      <c r="D1366" s="110" t="s">
        <v>24</v>
      </c>
      <c r="E1366" s="110" t="s">
        <v>77</v>
      </c>
      <c r="G1366" s="136">
        <v>30.0</v>
      </c>
      <c r="H1366" s="136" t="s">
        <v>26</v>
      </c>
      <c r="I1366" s="137">
        <v>850000.0</v>
      </c>
      <c r="J1366" s="46">
        <f t="shared" si="1306"/>
        <v>25500000</v>
      </c>
      <c r="K1366" s="46"/>
      <c r="L1366" s="105"/>
      <c r="M1366" s="106"/>
      <c r="N1366" s="105"/>
      <c r="O1366" s="46">
        <f t="shared" si="1307"/>
        <v>25500000</v>
      </c>
      <c r="P1366" s="46">
        <f t="shared" si="1308"/>
        <v>25500000</v>
      </c>
      <c r="Q1366" s="46">
        <v>2.55E7</v>
      </c>
      <c r="R1366" s="101"/>
      <c r="S1366" s="101"/>
      <c r="T1366" s="99"/>
      <c r="U1366" s="99"/>
      <c r="V1366" s="99"/>
      <c r="W1366" s="99"/>
      <c r="X1366" s="99"/>
      <c r="Y1366" s="99"/>
      <c r="Z1366" s="99"/>
      <c r="AA1366" s="99"/>
      <c r="AB1366" s="99"/>
      <c r="AC1366" s="99"/>
      <c r="AD1366" s="99"/>
      <c r="AE1366" s="99"/>
      <c r="AF1366" s="99"/>
      <c r="AG1366" s="99"/>
      <c r="AH1366" s="99"/>
      <c r="AI1366" s="99"/>
      <c r="AJ1366" s="99"/>
      <c r="AK1366" s="99"/>
      <c r="AL1366" s="99"/>
      <c r="AM1366" s="99"/>
    </row>
    <row r="1367" ht="12.75" customHeight="1">
      <c r="A1367" s="104"/>
      <c r="B1367" s="104"/>
      <c r="C1367" s="104"/>
      <c r="D1367" s="110" t="s">
        <v>24</v>
      </c>
      <c r="E1367" s="110" t="s">
        <v>78</v>
      </c>
      <c r="G1367" s="136">
        <v>40.0</v>
      </c>
      <c r="H1367" s="136" t="s">
        <v>26</v>
      </c>
      <c r="I1367" s="137">
        <v>430000.0</v>
      </c>
      <c r="J1367" s="46">
        <f t="shared" si="1306"/>
        <v>17200000</v>
      </c>
      <c r="K1367" s="46"/>
      <c r="L1367" s="105"/>
      <c r="M1367" s="106"/>
      <c r="N1367" s="105"/>
      <c r="O1367" s="46">
        <f t="shared" si="1307"/>
        <v>17200000</v>
      </c>
      <c r="P1367" s="46">
        <f t="shared" si="1308"/>
        <v>17200000</v>
      </c>
      <c r="Q1367" s="46">
        <v>1.72E7</v>
      </c>
      <c r="R1367" s="101"/>
      <c r="S1367" s="101"/>
      <c r="T1367" s="99"/>
      <c r="U1367" s="99"/>
      <c r="V1367" s="99"/>
      <c r="W1367" s="99"/>
      <c r="X1367" s="99"/>
      <c r="Y1367" s="99"/>
      <c r="Z1367" s="99"/>
      <c r="AA1367" s="99"/>
      <c r="AB1367" s="99"/>
      <c r="AC1367" s="99"/>
      <c r="AD1367" s="99"/>
      <c r="AE1367" s="99"/>
      <c r="AF1367" s="99"/>
      <c r="AG1367" s="99"/>
      <c r="AH1367" s="99"/>
      <c r="AI1367" s="99"/>
      <c r="AJ1367" s="99"/>
      <c r="AK1367" s="99"/>
      <c r="AL1367" s="99"/>
      <c r="AM1367" s="99"/>
    </row>
    <row r="1368" ht="12.75" customHeight="1">
      <c r="A1368" s="110" t="s">
        <v>79</v>
      </c>
      <c r="D1368" s="145" t="s">
        <v>80</v>
      </c>
      <c r="G1368" s="104"/>
      <c r="H1368" s="133"/>
      <c r="I1368" s="104"/>
      <c r="J1368" s="134">
        <f t="shared" ref="J1368:K1368" si="1309">J1370</f>
        <v>8500000</v>
      </c>
      <c r="K1368" s="46" t="str">
        <f t="shared" si="1309"/>
        <v/>
      </c>
      <c r="L1368" s="105"/>
      <c r="M1368" s="106"/>
      <c r="N1368" s="105"/>
      <c r="O1368" s="46">
        <f t="shared" ref="O1368:P1368" si="1310">O1370</f>
        <v>8500000</v>
      </c>
      <c r="P1368" s="46">
        <f t="shared" si="1310"/>
        <v>8500000</v>
      </c>
      <c r="Q1368" s="46">
        <v>8500000.0</v>
      </c>
      <c r="R1368" s="101"/>
      <c r="S1368" s="101"/>
      <c r="T1368" s="99"/>
      <c r="U1368" s="99"/>
      <c r="V1368" s="99"/>
      <c r="W1368" s="99"/>
      <c r="X1368" s="99"/>
      <c r="Y1368" s="99"/>
      <c r="Z1368" s="99"/>
      <c r="AA1368" s="99"/>
      <c r="AB1368" s="99"/>
      <c r="AC1368" s="99"/>
      <c r="AD1368" s="99"/>
      <c r="AE1368" s="99"/>
      <c r="AF1368" s="99"/>
      <c r="AG1368" s="99"/>
      <c r="AH1368" s="99"/>
      <c r="AI1368" s="99"/>
      <c r="AJ1368" s="99"/>
      <c r="AK1368" s="99"/>
      <c r="AL1368" s="99"/>
      <c r="AM1368" s="99"/>
    </row>
    <row r="1369" ht="12.75" customHeight="1">
      <c r="A1369" s="104"/>
      <c r="B1369" s="104"/>
      <c r="C1369" s="104"/>
      <c r="D1369" s="110" t="s">
        <v>23</v>
      </c>
      <c r="G1369" s="104"/>
      <c r="H1369" s="104"/>
      <c r="I1369" s="104"/>
      <c r="J1369" s="111"/>
      <c r="K1369" s="111"/>
      <c r="L1369" s="105"/>
      <c r="M1369" s="106"/>
      <c r="N1369" s="105"/>
      <c r="O1369" s="111"/>
      <c r="P1369" s="111"/>
      <c r="Q1369" s="111"/>
      <c r="R1369" s="101"/>
      <c r="S1369" s="101"/>
      <c r="T1369" s="99"/>
      <c r="U1369" s="99"/>
      <c r="V1369" s="99"/>
      <c r="W1369" s="99"/>
      <c r="X1369" s="99"/>
      <c r="Y1369" s="99"/>
      <c r="Z1369" s="99"/>
      <c r="AA1369" s="99"/>
      <c r="AB1369" s="99"/>
      <c r="AC1369" s="99"/>
      <c r="AD1369" s="99"/>
      <c r="AE1369" s="99"/>
      <c r="AF1369" s="99"/>
      <c r="AG1369" s="99"/>
      <c r="AH1369" s="99"/>
      <c r="AI1369" s="99"/>
      <c r="AJ1369" s="99"/>
      <c r="AK1369" s="99"/>
      <c r="AL1369" s="99"/>
      <c r="AM1369" s="99"/>
    </row>
    <row r="1370" ht="12.75" customHeight="1">
      <c r="A1370" s="104"/>
      <c r="B1370" s="104"/>
      <c r="C1370" s="104"/>
      <c r="D1370" s="110" t="s">
        <v>24</v>
      </c>
      <c r="E1370" s="110" t="s">
        <v>81</v>
      </c>
      <c r="G1370" s="136">
        <v>50.0</v>
      </c>
      <c r="H1370" s="136" t="s">
        <v>26</v>
      </c>
      <c r="I1370" s="137">
        <v>170000.0</v>
      </c>
      <c r="J1370" s="46">
        <f>G1370*I1370</f>
        <v>8500000</v>
      </c>
      <c r="K1370" s="46"/>
      <c r="L1370" s="105"/>
      <c r="M1370" s="106"/>
      <c r="N1370" s="105"/>
      <c r="O1370" s="46">
        <f>J1370-K1370</f>
        <v>8500000</v>
      </c>
      <c r="P1370" s="46">
        <f>J1370-M1370</f>
        <v>8500000</v>
      </c>
      <c r="Q1370" s="46">
        <v>8500000.0</v>
      </c>
      <c r="R1370" s="101"/>
      <c r="S1370" s="101"/>
      <c r="T1370" s="99"/>
      <c r="U1370" s="99"/>
      <c r="V1370" s="99"/>
      <c r="W1370" s="99"/>
      <c r="X1370" s="99"/>
      <c r="Y1370" s="99"/>
      <c r="Z1370" s="99"/>
      <c r="AA1370" s="99"/>
      <c r="AB1370" s="99"/>
      <c r="AC1370" s="99"/>
      <c r="AD1370" s="99"/>
      <c r="AE1370" s="99"/>
      <c r="AF1370" s="99"/>
      <c r="AG1370" s="99"/>
      <c r="AH1370" s="99"/>
      <c r="AI1370" s="99"/>
      <c r="AJ1370" s="99"/>
      <c r="AK1370" s="99"/>
      <c r="AL1370" s="99"/>
      <c r="AM1370" s="99"/>
    </row>
    <row r="1371" ht="12.75" customHeight="1">
      <c r="A1371" s="144" t="s">
        <v>82</v>
      </c>
      <c r="D1371" s="144" t="s">
        <v>83</v>
      </c>
      <c r="G1371" s="104"/>
      <c r="H1371" s="128"/>
      <c r="I1371" s="104"/>
      <c r="J1371" s="129">
        <f t="shared" ref="J1371:K1371" si="1311">J1372+J1377</f>
        <v>1993500000</v>
      </c>
      <c r="K1371" s="43">
        <f t="shared" si="1311"/>
        <v>0</v>
      </c>
      <c r="L1371" s="105"/>
      <c r="M1371" s="106"/>
      <c r="N1371" s="105"/>
      <c r="O1371" s="43">
        <f t="shared" ref="O1371:P1371" si="1312">O1372+O1377</f>
        <v>1993500000</v>
      </c>
      <c r="P1371" s="43">
        <f t="shared" si="1312"/>
        <v>1993500000</v>
      </c>
      <c r="Q1371" s="43">
        <v>1.9935E9</v>
      </c>
      <c r="R1371" s="101"/>
      <c r="S1371" s="101"/>
      <c r="T1371" s="99"/>
      <c r="U1371" s="99"/>
      <c r="V1371" s="99"/>
      <c r="W1371" s="99"/>
      <c r="X1371" s="99"/>
      <c r="Y1371" s="99"/>
      <c r="Z1371" s="99"/>
      <c r="AA1371" s="99"/>
      <c r="AB1371" s="99"/>
      <c r="AC1371" s="99"/>
      <c r="AD1371" s="99"/>
      <c r="AE1371" s="99"/>
      <c r="AF1371" s="99"/>
      <c r="AG1371" s="99"/>
      <c r="AH1371" s="99"/>
      <c r="AI1371" s="99"/>
      <c r="AJ1371" s="99"/>
      <c r="AK1371" s="99"/>
      <c r="AL1371" s="99"/>
      <c r="AM1371" s="99"/>
    </row>
    <row r="1372" ht="12.75" customHeight="1">
      <c r="A1372" s="110" t="s">
        <v>84</v>
      </c>
      <c r="D1372" s="145" t="s">
        <v>85</v>
      </c>
      <c r="G1372" s="104"/>
      <c r="H1372" s="133"/>
      <c r="I1372" s="104"/>
      <c r="J1372" s="134">
        <f t="shared" ref="J1372:K1372" si="1313">SUM(J1374:J1376)</f>
        <v>1867500000</v>
      </c>
      <c r="K1372" s="46">
        <f t="shared" si="1313"/>
        <v>0</v>
      </c>
      <c r="L1372" s="105"/>
      <c r="M1372" s="106"/>
      <c r="N1372" s="105"/>
      <c r="O1372" s="46">
        <f t="shared" ref="O1372:P1372" si="1314">SUM(O1374:O1376)</f>
        <v>1867500000</v>
      </c>
      <c r="P1372" s="46">
        <f t="shared" si="1314"/>
        <v>1867500000</v>
      </c>
      <c r="Q1372" s="46">
        <v>1.8675E9</v>
      </c>
      <c r="R1372" s="101"/>
      <c r="S1372" s="101"/>
      <c r="T1372" s="99"/>
      <c r="U1372" s="99"/>
      <c r="V1372" s="99"/>
      <c r="W1372" s="99"/>
      <c r="X1372" s="99"/>
      <c r="Y1372" s="99"/>
      <c r="Z1372" s="99"/>
      <c r="AA1372" s="99"/>
      <c r="AB1372" s="99"/>
      <c r="AC1372" s="99"/>
      <c r="AD1372" s="99"/>
      <c r="AE1372" s="99"/>
      <c r="AF1372" s="99"/>
      <c r="AG1372" s="99"/>
      <c r="AH1372" s="99"/>
      <c r="AI1372" s="99"/>
      <c r="AJ1372" s="99"/>
      <c r="AK1372" s="99"/>
      <c r="AL1372" s="99"/>
      <c r="AM1372" s="99"/>
    </row>
    <row r="1373" ht="12.75" customHeight="1">
      <c r="A1373" s="104"/>
      <c r="B1373" s="104"/>
      <c r="C1373" s="104"/>
      <c r="D1373" s="110" t="s">
        <v>23</v>
      </c>
      <c r="G1373" s="104"/>
      <c r="H1373" s="104"/>
      <c r="I1373" s="104"/>
      <c r="J1373" s="111"/>
      <c r="K1373" s="111"/>
      <c r="L1373" s="105"/>
      <c r="M1373" s="106"/>
      <c r="N1373" s="105"/>
      <c r="O1373" s="111"/>
      <c r="P1373" s="111"/>
      <c r="Q1373" s="111"/>
      <c r="R1373" s="101"/>
      <c r="S1373" s="101"/>
      <c r="T1373" s="99"/>
      <c r="U1373" s="99"/>
      <c r="V1373" s="99"/>
      <c r="W1373" s="99"/>
      <c r="X1373" s="99"/>
      <c r="Y1373" s="99"/>
      <c r="Z1373" s="99"/>
      <c r="AA1373" s="99"/>
      <c r="AB1373" s="99"/>
      <c r="AC1373" s="99"/>
      <c r="AD1373" s="99"/>
      <c r="AE1373" s="99"/>
      <c r="AF1373" s="99"/>
      <c r="AG1373" s="99"/>
      <c r="AH1373" s="99"/>
      <c r="AI1373" s="99"/>
      <c r="AJ1373" s="99"/>
      <c r="AK1373" s="99"/>
      <c r="AL1373" s="99"/>
      <c r="AM1373" s="99"/>
    </row>
    <row r="1374" ht="12.75" customHeight="1">
      <c r="A1374" s="104"/>
      <c r="B1374" s="104"/>
      <c r="C1374" s="104"/>
      <c r="D1374" s="110" t="s">
        <v>24</v>
      </c>
      <c r="E1374" s="110" t="s">
        <v>259</v>
      </c>
      <c r="G1374" s="136">
        <v>82125.0</v>
      </c>
      <c r="H1374" s="136" t="s">
        <v>87</v>
      </c>
      <c r="I1374" s="137">
        <v>15000.0</v>
      </c>
      <c r="J1374" s="46">
        <f t="shared" ref="J1374:J1376" si="1315">G1374*I1374</f>
        <v>1231875000</v>
      </c>
      <c r="K1374" s="46"/>
      <c r="L1374" s="105"/>
      <c r="M1374" s="106"/>
      <c r="N1374" s="105"/>
      <c r="O1374" s="46">
        <f t="shared" ref="O1374:O1376" si="1316">J1374-K1374</f>
        <v>1231875000</v>
      </c>
      <c r="P1374" s="46">
        <f t="shared" ref="P1374:P1376" si="1317">J1374-M1374</f>
        <v>1231875000</v>
      </c>
      <c r="Q1374" s="46">
        <v>1.231875E9</v>
      </c>
      <c r="R1374" s="101"/>
      <c r="S1374" s="101"/>
      <c r="T1374" s="99"/>
      <c r="U1374" s="99"/>
      <c r="V1374" s="99"/>
      <c r="W1374" s="99"/>
      <c r="X1374" s="99"/>
      <c r="Y1374" s="99"/>
      <c r="Z1374" s="99"/>
      <c r="AA1374" s="99"/>
      <c r="AB1374" s="99"/>
      <c r="AC1374" s="99"/>
      <c r="AD1374" s="99"/>
      <c r="AE1374" s="99"/>
      <c r="AF1374" s="99"/>
      <c r="AG1374" s="99"/>
      <c r="AH1374" s="99"/>
      <c r="AI1374" s="99"/>
      <c r="AJ1374" s="99"/>
      <c r="AK1374" s="99"/>
      <c r="AL1374" s="99"/>
      <c r="AM1374" s="99"/>
    </row>
    <row r="1375" ht="12.75" customHeight="1">
      <c r="A1375" s="104"/>
      <c r="B1375" s="104"/>
      <c r="C1375" s="104"/>
      <c r="D1375" s="110" t="s">
        <v>24</v>
      </c>
      <c r="E1375" s="110" t="s">
        <v>88</v>
      </c>
      <c r="G1375" s="136">
        <v>9000.0</v>
      </c>
      <c r="H1375" s="136" t="s">
        <v>87</v>
      </c>
      <c r="I1375" s="137">
        <v>25000.0</v>
      </c>
      <c r="J1375" s="46">
        <f t="shared" si="1315"/>
        <v>225000000</v>
      </c>
      <c r="K1375" s="46"/>
      <c r="L1375" s="105"/>
      <c r="M1375" s="106"/>
      <c r="N1375" s="105"/>
      <c r="O1375" s="46">
        <f t="shared" si="1316"/>
        <v>225000000</v>
      </c>
      <c r="P1375" s="46">
        <f t="shared" si="1317"/>
        <v>225000000</v>
      </c>
      <c r="Q1375" s="46">
        <v>2.25E8</v>
      </c>
      <c r="R1375" s="101"/>
      <c r="S1375" s="101"/>
      <c r="T1375" s="99"/>
      <c r="U1375" s="99"/>
      <c r="V1375" s="99"/>
      <c r="W1375" s="99"/>
      <c r="X1375" s="99"/>
      <c r="Y1375" s="99"/>
      <c r="Z1375" s="99"/>
      <c r="AA1375" s="99"/>
      <c r="AB1375" s="99"/>
      <c r="AC1375" s="99"/>
      <c r="AD1375" s="99"/>
      <c r="AE1375" s="99"/>
      <c r="AF1375" s="99"/>
      <c r="AG1375" s="99"/>
      <c r="AH1375" s="99"/>
      <c r="AI1375" s="99"/>
      <c r="AJ1375" s="99"/>
      <c r="AK1375" s="99"/>
      <c r="AL1375" s="99"/>
      <c r="AM1375" s="99"/>
    </row>
    <row r="1376" ht="12.75" customHeight="1">
      <c r="A1376" s="104"/>
      <c r="B1376" s="104"/>
      <c r="C1376" s="104"/>
      <c r="D1376" s="110" t="s">
        <v>24</v>
      </c>
      <c r="E1376" s="110" t="s">
        <v>260</v>
      </c>
      <c r="G1376" s="136">
        <v>54750.0</v>
      </c>
      <c r="H1376" s="136" t="s">
        <v>87</v>
      </c>
      <c r="I1376" s="137">
        <v>7500.0</v>
      </c>
      <c r="J1376" s="46">
        <f t="shared" si="1315"/>
        <v>410625000</v>
      </c>
      <c r="K1376" s="46"/>
      <c r="L1376" s="105"/>
      <c r="M1376" s="106"/>
      <c r="N1376" s="105"/>
      <c r="O1376" s="46">
        <f t="shared" si="1316"/>
        <v>410625000</v>
      </c>
      <c r="P1376" s="46">
        <f t="shared" si="1317"/>
        <v>410625000</v>
      </c>
      <c r="Q1376" s="46">
        <v>4.10625E8</v>
      </c>
      <c r="R1376" s="101"/>
      <c r="S1376" s="101"/>
      <c r="T1376" s="99"/>
      <c r="U1376" s="99"/>
      <c r="V1376" s="99"/>
      <c r="W1376" s="99"/>
      <c r="X1376" s="99"/>
      <c r="Y1376" s="99"/>
      <c r="Z1376" s="99"/>
      <c r="AA1376" s="99"/>
      <c r="AB1376" s="99"/>
      <c r="AC1376" s="99"/>
      <c r="AD1376" s="99"/>
      <c r="AE1376" s="99"/>
      <c r="AF1376" s="99"/>
      <c r="AG1376" s="99"/>
      <c r="AH1376" s="99"/>
      <c r="AI1376" s="99"/>
      <c r="AJ1376" s="99"/>
      <c r="AK1376" s="99"/>
      <c r="AL1376" s="99"/>
      <c r="AM1376" s="99"/>
    </row>
    <row r="1377" ht="12.75" customHeight="1">
      <c r="A1377" s="110" t="s">
        <v>63</v>
      </c>
      <c r="D1377" s="145" t="s">
        <v>64</v>
      </c>
      <c r="G1377" s="104"/>
      <c r="H1377" s="133"/>
      <c r="I1377" s="104"/>
      <c r="J1377" s="134">
        <f>SUM(J1379:J1380)</f>
        <v>126000000</v>
      </c>
      <c r="K1377" s="46">
        <f t="shared" ref="K1377:P1377" si="1318">K1379+K1380</f>
        <v>0</v>
      </c>
      <c r="L1377" s="46">
        <f t="shared" si="1318"/>
        <v>0</v>
      </c>
      <c r="M1377" s="146">
        <f t="shared" si="1318"/>
        <v>0</v>
      </c>
      <c r="N1377" s="46">
        <f t="shared" si="1318"/>
        <v>0</v>
      </c>
      <c r="O1377" s="46">
        <f t="shared" si="1318"/>
        <v>126000000</v>
      </c>
      <c r="P1377" s="46">
        <f t="shared" si="1318"/>
        <v>126000000</v>
      </c>
      <c r="Q1377" s="46">
        <v>1.26E8</v>
      </c>
      <c r="R1377" s="101"/>
      <c r="S1377" s="101"/>
      <c r="T1377" s="99"/>
      <c r="U1377" s="99"/>
      <c r="V1377" s="99"/>
      <c r="W1377" s="99"/>
      <c r="X1377" s="99"/>
      <c r="Y1377" s="99"/>
      <c r="Z1377" s="99"/>
      <c r="AA1377" s="99"/>
      <c r="AB1377" s="99"/>
      <c r="AC1377" s="99"/>
      <c r="AD1377" s="99"/>
      <c r="AE1377" s="99"/>
      <c r="AF1377" s="99"/>
      <c r="AG1377" s="99"/>
      <c r="AH1377" s="99"/>
      <c r="AI1377" s="99"/>
      <c r="AJ1377" s="99"/>
      <c r="AK1377" s="99"/>
      <c r="AL1377" s="99"/>
      <c r="AM1377" s="99"/>
    </row>
    <row r="1378" ht="12.75" customHeight="1">
      <c r="A1378" s="104"/>
      <c r="B1378" s="104"/>
      <c r="C1378" s="104"/>
      <c r="D1378" s="110" t="s">
        <v>23</v>
      </c>
      <c r="G1378" s="104"/>
      <c r="H1378" s="104"/>
      <c r="I1378" s="104"/>
      <c r="J1378" s="111"/>
      <c r="K1378" s="111"/>
      <c r="L1378" s="105"/>
      <c r="M1378" s="106"/>
      <c r="N1378" s="105"/>
      <c r="O1378" s="111"/>
      <c r="P1378" s="111"/>
      <c r="Q1378" s="111"/>
      <c r="R1378" s="101"/>
      <c r="S1378" s="101"/>
      <c r="T1378" s="99"/>
      <c r="U1378" s="99"/>
      <c r="V1378" s="99"/>
      <c r="W1378" s="99"/>
      <c r="X1378" s="99"/>
      <c r="Y1378" s="99"/>
      <c r="Z1378" s="99"/>
      <c r="AA1378" s="99"/>
      <c r="AB1378" s="99"/>
      <c r="AC1378" s="99"/>
      <c r="AD1378" s="99"/>
      <c r="AE1378" s="99"/>
      <c r="AF1378" s="99"/>
      <c r="AG1378" s="99"/>
      <c r="AH1378" s="99"/>
      <c r="AI1378" s="99"/>
      <c r="AJ1378" s="99"/>
      <c r="AK1378" s="99"/>
      <c r="AL1378" s="99"/>
      <c r="AM1378" s="99"/>
    </row>
    <row r="1379" ht="12.75" customHeight="1">
      <c r="A1379" s="104"/>
      <c r="B1379" s="104"/>
      <c r="C1379" s="104"/>
      <c r="D1379" s="110" t="s">
        <v>24</v>
      </c>
      <c r="E1379" s="110" t="s">
        <v>90</v>
      </c>
      <c r="G1379" s="136">
        <v>180.0</v>
      </c>
      <c r="H1379" s="136" t="s">
        <v>87</v>
      </c>
      <c r="I1379" s="137">
        <v>500000.0</v>
      </c>
      <c r="J1379" s="46">
        <f t="shared" ref="J1379:J1380" si="1319">G1379*I1379</f>
        <v>90000000</v>
      </c>
      <c r="K1379" s="46"/>
      <c r="L1379" s="105"/>
      <c r="M1379" s="106"/>
      <c r="N1379" s="105"/>
      <c r="O1379" s="46">
        <f t="shared" ref="O1379:O1380" si="1320">J1379-K1379</f>
        <v>90000000</v>
      </c>
      <c r="P1379" s="46">
        <f t="shared" ref="P1379:P1380" si="1321">J1379-M1379</f>
        <v>90000000</v>
      </c>
      <c r="Q1379" s="46">
        <v>9.0E7</v>
      </c>
      <c r="R1379" s="101"/>
      <c r="S1379" s="101"/>
      <c r="T1379" s="99"/>
      <c r="U1379" s="99"/>
      <c r="V1379" s="99"/>
      <c r="W1379" s="99"/>
      <c r="X1379" s="99"/>
      <c r="Y1379" s="99"/>
      <c r="Z1379" s="99"/>
      <c r="AA1379" s="99"/>
      <c r="AB1379" s="99"/>
      <c r="AC1379" s="99"/>
      <c r="AD1379" s="99"/>
      <c r="AE1379" s="99"/>
      <c r="AF1379" s="99"/>
      <c r="AG1379" s="99"/>
      <c r="AH1379" s="99"/>
      <c r="AI1379" s="99"/>
      <c r="AJ1379" s="99"/>
      <c r="AK1379" s="99"/>
      <c r="AL1379" s="99"/>
      <c r="AM1379" s="99"/>
    </row>
    <row r="1380" ht="12.75" customHeight="1">
      <c r="A1380" s="104"/>
      <c r="B1380" s="104"/>
      <c r="C1380" s="104"/>
      <c r="D1380" s="110" t="s">
        <v>24</v>
      </c>
      <c r="E1380" s="110" t="s">
        <v>261</v>
      </c>
      <c r="G1380" s="136">
        <v>900.0</v>
      </c>
      <c r="H1380" s="136" t="s">
        <v>87</v>
      </c>
      <c r="I1380" s="137">
        <v>40000.0</v>
      </c>
      <c r="J1380" s="46">
        <f t="shared" si="1319"/>
        <v>36000000</v>
      </c>
      <c r="K1380" s="46"/>
      <c r="L1380" s="105"/>
      <c r="M1380" s="106"/>
      <c r="N1380" s="105"/>
      <c r="O1380" s="46">
        <f t="shared" si="1320"/>
        <v>36000000</v>
      </c>
      <c r="P1380" s="46">
        <f t="shared" si="1321"/>
        <v>36000000</v>
      </c>
      <c r="Q1380" s="46">
        <v>3.6E7</v>
      </c>
      <c r="R1380" s="101"/>
      <c r="S1380" s="101"/>
      <c r="T1380" s="99"/>
      <c r="U1380" s="99"/>
      <c r="V1380" s="99"/>
      <c r="W1380" s="99"/>
      <c r="X1380" s="99"/>
      <c r="Y1380" s="99"/>
      <c r="Z1380" s="99"/>
      <c r="AA1380" s="99"/>
      <c r="AB1380" s="99"/>
      <c r="AC1380" s="99"/>
      <c r="AD1380" s="99"/>
      <c r="AE1380" s="99"/>
      <c r="AF1380" s="99"/>
      <c r="AG1380" s="99"/>
      <c r="AH1380" s="99"/>
      <c r="AI1380" s="99"/>
      <c r="AJ1380" s="99"/>
      <c r="AK1380" s="99"/>
      <c r="AL1380" s="99"/>
      <c r="AM1380" s="99"/>
    </row>
    <row r="1381" ht="12.75" customHeight="1">
      <c r="A1381" s="144" t="s">
        <v>92</v>
      </c>
      <c r="D1381" s="144" t="s">
        <v>93</v>
      </c>
      <c r="G1381" s="104"/>
      <c r="H1381" s="128"/>
      <c r="I1381" s="104"/>
      <c r="J1381" s="129">
        <f t="shared" ref="J1381:K1381" si="1322">J1382</f>
        <v>42756000</v>
      </c>
      <c r="K1381" s="43">
        <f t="shared" si="1322"/>
        <v>0</v>
      </c>
      <c r="L1381" s="105"/>
      <c r="M1381" s="106"/>
      <c r="N1381" s="105"/>
      <c r="O1381" s="43">
        <f t="shared" ref="O1381:P1381" si="1323">O1382</f>
        <v>42756000</v>
      </c>
      <c r="P1381" s="43">
        <f t="shared" si="1323"/>
        <v>42756000</v>
      </c>
      <c r="Q1381" s="43">
        <v>4.2756E7</v>
      </c>
      <c r="R1381" s="101"/>
      <c r="S1381" s="101"/>
      <c r="T1381" s="99"/>
      <c r="U1381" s="99"/>
      <c r="V1381" s="99"/>
      <c r="W1381" s="99"/>
      <c r="X1381" s="99"/>
      <c r="Y1381" s="99"/>
      <c r="Z1381" s="99"/>
      <c r="AA1381" s="99"/>
      <c r="AB1381" s="99"/>
      <c r="AC1381" s="99"/>
      <c r="AD1381" s="99"/>
      <c r="AE1381" s="99"/>
      <c r="AF1381" s="99"/>
      <c r="AG1381" s="99"/>
      <c r="AH1381" s="99"/>
      <c r="AI1381" s="99"/>
      <c r="AJ1381" s="99"/>
      <c r="AK1381" s="99"/>
      <c r="AL1381" s="99"/>
      <c r="AM1381" s="99"/>
    </row>
    <row r="1382" ht="12.75" customHeight="1">
      <c r="A1382" s="110" t="s">
        <v>68</v>
      </c>
      <c r="D1382" s="145" t="s">
        <v>69</v>
      </c>
      <c r="G1382" s="104"/>
      <c r="H1382" s="133"/>
      <c r="I1382" s="104"/>
      <c r="J1382" s="134">
        <f t="shared" ref="J1382:K1382" si="1324">SUM(J1384:J1385)</f>
        <v>42756000</v>
      </c>
      <c r="K1382" s="46">
        <f t="shared" si="1324"/>
        <v>0</v>
      </c>
      <c r="L1382" s="105"/>
      <c r="M1382" s="106"/>
      <c r="N1382" s="105"/>
      <c r="O1382" s="46">
        <f t="shared" ref="O1382:P1382" si="1325">SUM(O1384:O1385)</f>
        <v>42756000</v>
      </c>
      <c r="P1382" s="46">
        <f t="shared" si="1325"/>
        <v>42756000</v>
      </c>
      <c r="Q1382" s="46">
        <v>4.2756E7</v>
      </c>
      <c r="R1382" s="101"/>
      <c r="S1382" s="101"/>
      <c r="T1382" s="99"/>
      <c r="U1382" s="99"/>
      <c r="V1382" s="99"/>
      <c r="W1382" s="99"/>
      <c r="X1382" s="99"/>
      <c r="Y1382" s="99"/>
      <c r="Z1382" s="99"/>
      <c r="AA1382" s="99"/>
      <c r="AB1382" s="99"/>
      <c r="AC1382" s="99"/>
      <c r="AD1382" s="99"/>
      <c r="AE1382" s="99"/>
      <c r="AF1382" s="99"/>
      <c r="AG1382" s="99"/>
      <c r="AH1382" s="99"/>
      <c r="AI1382" s="99"/>
      <c r="AJ1382" s="99"/>
      <c r="AK1382" s="99"/>
      <c r="AL1382" s="99"/>
      <c r="AM1382" s="99"/>
    </row>
    <row r="1383" ht="12.75" customHeight="1">
      <c r="A1383" s="104"/>
      <c r="B1383" s="104"/>
      <c r="C1383" s="104"/>
      <c r="D1383" s="110" t="s">
        <v>23</v>
      </c>
      <c r="G1383" s="104"/>
      <c r="H1383" s="104"/>
      <c r="I1383" s="104"/>
      <c r="J1383" s="111"/>
      <c r="K1383" s="111"/>
      <c r="L1383" s="105"/>
      <c r="M1383" s="106"/>
      <c r="N1383" s="105"/>
      <c r="O1383" s="111"/>
      <c r="P1383" s="111"/>
      <c r="Q1383" s="111"/>
      <c r="R1383" s="101"/>
      <c r="S1383" s="101"/>
      <c r="T1383" s="99"/>
      <c r="U1383" s="99"/>
      <c r="V1383" s="99"/>
      <c r="W1383" s="99"/>
      <c r="X1383" s="99"/>
      <c r="Y1383" s="99"/>
      <c r="Z1383" s="99"/>
      <c r="AA1383" s="99"/>
      <c r="AB1383" s="99"/>
      <c r="AC1383" s="99"/>
      <c r="AD1383" s="99"/>
      <c r="AE1383" s="99"/>
      <c r="AF1383" s="99"/>
      <c r="AG1383" s="99"/>
      <c r="AH1383" s="99"/>
      <c r="AI1383" s="99"/>
      <c r="AJ1383" s="99"/>
      <c r="AK1383" s="99"/>
      <c r="AL1383" s="99"/>
      <c r="AM1383" s="99"/>
    </row>
    <row r="1384" ht="12.75" customHeight="1">
      <c r="A1384" s="104"/>
      <c r="B1384" s="104"/>
      <c r="C1384" s="104"/>
      <c r="D1384" s="110" t="s">
        <v>24</v>
      </c>
      <c r="E1384" s="110" t="s">
        <v>94</v>
      </c>
      <c r="G1384" s="136">
        <v>12.0</v>
      </c>
      <c r="H1384" s="136" t="s">
        <v>95</v>
      </c>
      <c r="I1384" s="137">
        <v>2500000.0</v>
      </c>
      <c r="J1384" s="46">
        <f t="shared" ref="J1384:J1385" si="1326">G1384*I1384</f>
        <v>30000000</v>
      </c>
      <c r="K1384" s="46"/>
      <c r="L1384" s="105"/>
      <c r="M1384" s="106"/>
      <c r="N1384" s="105"/>
      <c r="O1384" s="46">
        <f t="shared" ref="O1384:O1385" si="1327">J1384-K1384</f>
        <v>30000000</v>
      </c>
      <c r="P1384" s="46">
        <f t="shared" ref="P1384:P1385" si="1328">J1384-M1384</f>
        <v>30000000</v>
      </c>
      <c r="Q1384" s="46">
        <v>3.0E7</v>
      </c>
      <c r="R1384" s="101"/>
      <c r="S1384" s="101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  <c r="AG1384" s="99"/>
      <c r="AH1384" s="99"/>
      <c r="AI1384" s="99"/>
      <c r="AJ1384" s="99"/>
      <c r="AK1384" s="99"/>
      <c r="AL1384" s="99"/>
      <c r="AM1384" s="99"/>
    </row>
    <row r="1385" ht="12.75" customHeight="1">
      <c r="A1385" s="104"/>
      <c r="B1385" s="104"/>
      <c r="C1385" s="104"/>
      <c r="D1385" s="110" t="s">
        <v>24</v>
      </c>
      <c r="E1385" s="110" t="s">
        <v>290</v>
      </c>
      <c r="G1385" s="136">
        <v>1.0</v>
      </c>
      <c r="H1385" s="136" t="s">
        <v>97</v>
      </c>
      <c r="I1385" s="137">
        <v>1.2756E7</v>
      </c>
      <c r="J1385" s="46">
        <f t="shared" si="1326"/>
        <v>12756000</v>
      </c>
      <c r="K1385" s="46"/>
      <c r="L1385" s="105"/>
      <c r="M1385" s="106"/>
      <c r="N1385" s="105"/>
      <c r="O1385" s="46">
        <f t="shared" si="1327"/>
        <v>12756000</v>
      </c>
      <c r="P1385" s="46">
        <f t="shared" si="1328"/>
        <v>12756000</v>
      </c>
      <c r="Q1385" s="46">
        <v>1.2756E7</v>
      </c>
      <c r="R1385" s="101"/>
      <c r="S1385" s="101"/>
      <c r="T1385" s="99"/>
      <c r="U1385" s="99"/>
      <c r="V1385" s="99"/>
      <c r="W1385" s="99"/>
      <c r="X1385" s="99"/>
      <c r="Y1385" s="99"/>
      <c r="Z1385" s="99"/>
      <c r="AA1385" s="99"/>
      <c r="AB1385" s="99"/>
      <c r="AC1385" s="99"/>
      <c r="AD1385" s="99"/>
      <c r="AE1385" s="99"/>
      <c r="AF1385" s="99"/>
      <c r="AG1385" s="99"/>
      <c r="AH1385" s="99"/>
      <c r="AI1385" s="99"/>
      <c r="AJ1385" s="99"/>
      <c r="AK1385" s="99"/>
      <c r="AL1385" s="99"/>
      <c r="AM1385" s="99"/>
    </row>
    <row r="1386" ht="12.75" customHeight="1">
      <c r="A1386" s="144" t="s">
        <v>98</v>
      </c>
      <c r="D1386" s="144" t="s">
        <v>99</v>
      </c>
      <c r="G1386" s="104"/>
      <c r="H1386" s="128"/>
      <c r="I1386" s="104"/>
      <c r="J1386" s="129">
        <f t="shared" ref="J1386:K1386" si="1329">J1387+J1396</f>
        <v>6760000</v>
      </c>
      <c r="K1386" s="43">
        <f t="shared" si="1329"/>
        <v>0</v>
      </c>
      <c r="L1386" s="105"/>
      <c r="M1386" s="106"/>
      <c r="N1386" s="105"/>
      <c r="O1386" s="43">
        <f t="shared" ref="O1386:P1386" si="1330">O1387+O1396</f>
        <v>6760000</v>
      </c>
      <c r="P1386" s="43">
        <f t="shared" si="1330"/>
        <v>6760000</v>
      </c>
      <c r="Q1386" s="43">
        <v>6760000.0</v>
      </c>
      <c r="R1386" s="101"/>
      <c r="S1386" s="101"/>
      <c r="T1386" s="99"/>
      <c r="U1386" s="99"/>
      <c r="V1386" s="99"/>
      <c r="W1386" s="99"/>
      <c r="X1386" s="99"/>
      <c r="Y1386" s="99"/>
      <c r="Z1386" s="99"/>
      <c r="AA1386" s="99"/>
      <c r="AB1386" s="99"/>
      <c r="AC1386" s="99"/>
      <c r="AD1386" s="99"/>
      <c r="AE1386" s="99"/>
      <c r="AF1386" s="99"/>
      <c r="AG1386" s="99"/>
      <c r="AH1386" s="99"/>
      <c r="AI1386" s="99"/>
      <c r="AJ1386" s="99"/>
      <c r="AK1386" s="99"/>
      <c r="AL1386" s="99"/>
      <c r="AM1386" s="99"/>
    </row>
    <row r="1387" ht="12.75" customHeight="1">
      <c r="A1387" s="110" t="s">
        <v>100</v>
      </c>
      <c r="D1387" s="145" t="s">
        <v>101</v>
      </c>
      <c r="G1387" s="104"/>
      <c r="H1387" s="133"/>
      <c r="I1387" s="104"/>
      <c r="J1387" s="134">
        <f t="shared" ref="J1387:K1387" si="1331">SUM(J1389:J1395)</f>
        <v>5600000</v>
      </c>
      <c r="K1387" s="46">
        <f t="shared" si="1331"/>
        <v>0</v>
      </c>
      <c r="L1387" s="105"/>
      <c r="M1387" s="106"/>
      <c r="N1387" s="105"/>
      <c r="O1387" s="46">
        <f t="shared" ref="O1387:P1387" si="1332">SUM(O1389:O1395)</f>
        <v>5600000</v>
      </c>
      <c r="P1387" s="46">
        <f t="shared" si="1332"/>
        <v>5600000</v>
      </c>
      <c r="Q1387" s="46">
        <v>5600000.0</v>
      </c>
      <c r="R1387" s="101"/>
      <c r="S1387" s="101"/>
      <c r="T1387" s="99"/>
      <c r="U1387" s="99"/>
      <c r="V1387" s="99"/>
      <c r="W1387" s="99"/>
      <c r="X1387" s="99"/>
      <c r="Y1387" s="99"/>
      <c r="Z1387" s="99"/>
      <c r="AA1387" s="99"/>
      <c r="AB1387" s="99"/>
      <c r="AC1387" s="99"/>
      <c r="AD1387" s="99"/>
      <c r="AE1387" s="99"/>
      <c r="AF1387" s="99"/>
      <c r="AG1387" s="99"/>
      <c r="AH1387" s="99"/>
      <c r="AI1387" s="99"/>
      <c r="AJ1387" s="99"/>
      <c r="AK1387" s="99"/>
      <c r="AL1387" s="99"/>
      <c r="AM1387" s="99"/>
    </row>
    <row r="1388" ht="12.75" customHeight="1">
      <c r="A1388" s="104"/>
      <c r="B1388" s="104"/>
      <c r="C1388" s="104"/>
      <c r="D1388" s="110" t="s">
        <v>23</v>
      </c>
      <c r="G1388" s="104"/>
      <c r="H1388" s="104"/>
      <c r="I1388" s="104"/>
      <c r="J1388" s="111"/>
      <c r="K1388" s="111"/>
      <c r="L1388" s="105"/>
      <c r="M1388" s="106"/>
      <c r="N1388" s="105"/>
      <c r="O1388" s="111"/>
      <c r="P1388" s="111"/>
      <c r="Q1388" s="111"/>
      <c r="R1388" s="101"/>
      <c r="S1388" s="101"/>
      <c r="T1388" s="99"/>
      <c r="U1388" s="99"/>
      <c r="V1388" s="99"/>
      <c r="W1388" s="99"/>
      <c r="X1388" s="99"/>
      <c r="Y1388" s="99"/>
      <c r="Z1388" s="99"/>
      <c r="AA1388" s="99"/>
      <c r="AB1388" s="99"/>
      <c r="AC1388" s="99"/>
      <c r="AD1388" s="99"/>
      <c r="AE1388" s="99"/>
      <c r="AF1388" s="99"/>
      <c r="AG1388" s="99"/>
      <c r="AH1388" s="99"/>
      <c r="AI1388" s="99"/>
      <c r="AJ1388" s="99"/>
      <c r="AK1388" s="99"/>
      <c r="AL1388" s="99"/>
      <c r="AM1388" s="99"/>
    </row>
    <row r="1389" ht="12.75" customHeight="1">
      <c r="A1389" s="104"/>
      <c r="B1389" s="104"/>
      <c r="C1389" s="104"/>
      <c r="D1389" s="110" t="s">
        <v>24</v>
      </c>
      <c r="E1389" s="110" t="s">
        <v>102</v>
      </c>
      <c r="G1389" s="136">
        <v>2.0</v>
      </c>
      <c r="H1389" s="136" t="s">
        <v>95</v>
      </c>
      <c r="I1389" s="137">
        <v>350000.0</v>
      </c>
      <c r="J1389" s="46">
        <f t="shared" ref="J1389:J1395" si="1333">G1389*I1389</f>
        <v>700000</v>
      </c>
      <c r="K1389" s="46"/>
      <c r="L1389" s="105"/>
      <c r="M1389" s="106"/>
      <c r="N1389" s="105"/>
      <c r="O1389" s="46">
        <f t="shared" ref="O1389:O1395" si="1334">J1389-K1389</f>
        <v>700000</v>
      </c>
      <c r="P1389" s="46">
        <f t="shared" ref="P1389:P1395" si="1335">J1389-M1389</f>
        <v>700000</v>
      </c>
      <c r="Q1389" s="46">
        <v>700000.0</v>
      </c>
      <c r="R1389" s="101"/>
      <c r="S1389" s="101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  <c r="AG1389" s="99"/>
      <c r="AH1389" s="99"/>
      <c r="AI1389" s="99"/>
      <c r="AJ1389" s="99"/>
      <c r="AK1389" s="99"/>
      <c r="AL1389" s="99"/>
      <c r="AM1389" s="99"/>
    </row>
    <row r="1390" ht="12.75" customHeight="1">
      <c r="A1390" s="104"/>
      <c r="B1390" s="104"/>
      <c r="C1390" s="104"/>
      <c r="D1390" s="110" t="s">
        <v>24</v>
      </c>
      <c r="E1390" s="110" t="s">
        <v>103</v>
      </c>
      <c r="G1390" s="136">
        <v>2.0</v>
      </c>
      <c r="H1390" s="136" t="s">
        <v>95</v>
      </c>
      <c r="I1390" s="137">
        <v>225000.0</v>
      </c>
      <c r="J1390" s="46">
        <f t="shared" si="1333"/>
        <v>450000</v>
      </c>
      <c r="K1390" s="46"/>
      <c r="L1390" s="105"/>
      <c r="M1390" s="106"/>
      <c r="N1390" s="105"/>
      <c r="O1390" s="46">
        <f t="shared" si="1334"/>
        <v>450000</v>
      </c>
      <c r="P1390" s="46">
        <f t="shared" si="1335"/>
        <v>450000</v>
      </c>
      <c r="Q1390" s="46">
        <v>450000.0</v>
      </c>
      <c r="R1390" s="101"/>
      <c r="S1390" s="101"/>
      <c r="T1390" s="99"/>
      <c r="U1390" s="99"/>
      <c r="V1390" s="99"/>
      <c r="W1390" s="99"/>
      <c r="X1390" s="99"/>
      <c r="Y1390" s="99"/>
      <c r="Z1390" s="99"/>
      <c r="AA1390" s="99"/>
      <c r="AB1390" s="99"/>
      <c r="AC1390" s="99"/>
      <c r="AD1390" s="99"/>
      <c r="AE1390" s="99"/>
      <c r="AF1390" s="99"/>
      <c r="AG1390" s="99"/>
      <c r="AH1390" s="99"/>
      <c r="AI1390" s="99"/>
      <c r="AJ1390" s="99"/>
      <c r="AK1390" s="99"/>
      <c r="AL1390" s="99"/>
      <c r="AM1390" s="99"/>
    </row>
    <row r="1391" ht="15.75" customHeight="1">
      <c r="A1391" s="104"/>
      <c r="B1391" s="104"/>
      <c r="C1391" s="104"/>
      <c r="D1391" s="110" t="s">
        <v>24</v>
      </c>
      <c r="E1391" s="110" t="s">
        <v>104</v>
      </c>
      <c r="G1391" s="136">
        <v>2.0</v>
      </c>
      <c r="H1391" s="136" t="s">
        <v>95</v>
      </c>
      <c r="I1391" s="137">
        <v>450000.0</v>
      </c>
      <c r="J1391" s="46">
        <f t="shared" si="1333"/>
        <v>900000</v>
      </c>
      <c r="K1391" s="46"/>
      <c r="L1391" s="105"/>
      <c r="M1391" s="106"/>
      <c r="N1391" s="105"/>
      <c r="O1391" s="46">
        <f t="shared" si="1334"/>
        <v>900000</v>
      </c>
      <c r="P1391" s="46">
        <f t="shared" si="1335"/>
        <v>900000</v>
      </c>
      <c r="Q1391" s="46">
        <v>900000.0</v>
      </c>
      <c r="R1391" s="101"/>
      <c r="S1391" s="101"/>
      <c r="T1391" s="99"/>
      <c r="U1391" s="99"/>
      <c r="V1391" s="99"/>
      <c r="W1391" s="99"/>
      <c r="X1391" s="99"/>
      <c r="Y1391" s="99"/>
      <c r="Z1391" s="99"/>
      <c r="AA1391" s="99"/>
      <c r="AB1391" s="99"/>
      <c r="AC1391" s="99"/>
      <c r="AD1391" s="99"/>
      <c r="AE1391" s="99"/>
      <c r="AF1391" s="99"/>
      <c r="AG1391" s="99"/>
      <c r="AH1391" s="99"/>
      <c r="AI1391" s="99"/>
      <c r="AJ1391" s="99"/>
      <c r="AK1391" s="99"/>
      <c r="AL1391" s="99"/>
      <c r="AM1391" s="99"/>
    </row>
    <row r="1392" ht="12.75" customHeight="1">
      <c r="A1392" s="104"/>
      <c r="B1392" s="104"/>
      <c r="C1392" s="104"/>
      <c r="D1392" s="110" t="s">
        <v>24</v>
      </c>
      <c r="E1392" s="110" t="s">
        <v>105</v>
      </c>
      <c r="G1392" s="136">
        <v>2.0</v>
      </c>
      <c r="H1392" s="136" t="s">
        <v>95</v>
      </c>
      <c r="I1392" s="137">
        <v>250000.0</v>
      </c>
      <c r="J1392" s="46">
        <f t="shared" si="1333"/>
        <v>500000</v>
      </c>
      <c r="K1392" s="46"/>
      <c r="L1392" s="105"/>
      <c r="M1392" s="106"/>
      <c r="N1392" s="105"/>
      <c r="O1392" s="46">
        <f t="shared" si="1334"/>
        <v>500000</v>
      </c>
      <c r="P1392" s="46">
        <f t="shared" si="1335"/>
        <v>500000</v>
      </c>
      <c r="Q1392" s="46">
        <v>500000.0</v>
      </c>
      <c r="R1392" s="101"/>
      <c r="S1392" s="101"/>
      <c r="T1392" s="99"/>
      <c r="U1392" s="99"/>
      <c r="V1392" s="99"/>
      <c r="W1392" s="99"/>
      <c r="X1392" s="99"/>
      <c r="Y1392" s="99"/>
      <c r="Z1392" s="99"/>
      <c r="AA1392" s="99"/>
      <c r="AB1392" s="99"/>
      <c r="AC1392" s="99"/>
      <c r="AD1392" s="99"/>
      <c r="AE1392" s="99"/>
      <c r="AF1392" s="99"/>
      <c r="AG1392" s="99"/>
      <c r="AH1392" s="99"/>
      <c r="AI1392" s="99"/>
      <c r="AJ1392" s="99"/>
      <c r="AK1392" s="99"/>
      <c r="AL1392" s="99"/>
      <c r="AM1392" s="99"/>
    </row>
    <row r="1393" ht="12.75" customHeight="1">
      <c r="A1393" s="104"/>
      <c r="B1393" s="104"/>
      <c r="C1393" s="104"/>
      <c r="D1393" s="110" t="s">
        <v>24</v>
      </c>
      <c r="E1393" s="110" t="s">
        <v>106</v>
      </c>
      <c r="G1393" s="136">
        <v>2.0</v>
      </c>
      <c r="H1393" s="136" t="s">
        <v>95</v>
      </c>
      <c r="I1393" s="137">
        <v>100000.0</v>
      </c>
      <c r="J1393" s="46">
        <f t="shared" si="1333"/>
        <v>200000</v>
      </c>
      <c r="K1393" s="46"/>
      <c r="L1393" s="105"/>
      <c r="M1393" s="106"/>
      <c r="N1393" s="105"/>
      <c r="O1393" s="46">
        <f t="shared" si="1334"/>
        <v>200000</v>
      </c>
      <c r="P1393" s="46">
        <f t="shared" si="1335"/>
        <v>200000</v>
      </c>
      <c r="Q1393" s="46">
        <v>200000.0</v>
      </c>
      <c r="R1393" s="101"/>
      <c r="S1393" s="101"/>
      <c r="T1393" s="99"/>
      <c r="U1393" s="99"/>
      <c r="V1393" s="99"/>
      <c r="W1393" s="99"/>
      <c r="X1393" s="99"/>
      <c r="Y1393" s="99"/>
      <c r="Z1393" s="99"/>
      <c r="AA1393" s="99"/>
      <c r="AB1393" s="99"/>
      <c r="AC1393" s="99"/>
      <c r="AD1393" s="99"/>
      <c r="AE1393" s="99"/>
      <c r="AF1393" s="99"/>
      <c r="AG1393" s="99"/>
      <c r="AH1393" s="99"/>
      <c r="AI1393" s="99"/>
      <c r="AJ1393" s="99"/>
      <c r="AK1393" s="99"/>
      <c r="AL1393" s="99"/>
      <c r="AM1393" s="99"/>
    </row>
    <row r="1394" ht="12.75" customHeight="1">
      <c r="A1394" s="104"/>
      <c r="B1394" s="104"/>
      <c r="C1394" s="104"/>
      <c r="D1394" s="110" t="s">
        <v>24</v>
      </c>
      <c r="E1394" s="110" t="s">
        <v>107</v>
      </c>
      <c r="G1394" s="136">
        <v>2.0</v>
      </c>
      <c r="H1394" s="136" t="s">
        <v>95</v>
      </c>
      <c r="I1394" s="137">
        <v>725000.0</v>
      </c>
      <c r="J1394" s="46">
        <f t="shared" si="1333"/>
        <v>1450000</v>
      </c>
      <c r="K1394" s="46"/>
      <c r="L1394" s="105"/>
      <c r="M1394" s="106"/>
      <c r="N1394" s="105"/>
      <c r="O1394" s="46">
        <f t="shared" si="1334"/>
        <v>1450000</v>
      </c>
      <c r="P1394" s="46">
        <f t="shared" si="1335"/>
        <v>1450000</v>
      </c>
      <c r="Q1394" s="46">
        <v>1450000.0</v>
      </c>
      <c r="R1394" s="101"/>
      <c r="S1394" s="101"/>
      <c r="T1394" s="99"/>
      <c r="U1394" s="99"/>
      <c r="V1394" s="99"/>
      <c r="W1394" s="99"/>
      <c r="X1394" s="99"/>
      <c r="Y1394" s="99"/>
      <c r="Z1394" s="99"/>
      <c r="AA1394" s="99"/>
      <c r="AB1394" s="99"/>
      <c r="AC1394" s="99"/>
      <c r="AD1394" s="99"/>
      <c r="AE1394" s="99"/>
      <c r="AF1394" s="99"/>
      <c r="AG1394" s="99"/>
      <c r="AH1394" s="99"/>
      <c r="AI1394" s="99"/>
      <c r="AJ1394" s="99"/>
      <c r="AK1394" s="99"/>
      <c r="AL1394" s="99"/>
      <c r="AM1394" s="99"/>
    </row>
    <row r="1395" ht="15.75" customHeight="1">
      <c r="A1395" s="104"/>
      <c r="B1395" s="104"/>
      <c r="C1395" s="104"/>
      <c r="D1395" s="110" t="s">
        <v>24</v>
      </c>
      <c r="E1395" s="110" t="s">
        <v>108</v>
      </c>
      <c r="G1395" s="136">
        <v>2.0</v>
      </c>
      <c r="H1395" s="136" t="s">
        <v>95</v>
      </c>
      <c r="I1395" s="137">
        <v>700000.0</v>
      </c>
      <c r="J1395" s="46">
        <f t="shared" si="1333"/>
        <v>1400000</v>
      </c>
      <c r="K1395" s="46"/>
      <c r="L1395" s="105"/>
      <c r="M1395" s="106"/>
      <c r="N1395" s="105"/>
      <c r="O1395" s="46">
        <f t="shared" si="1334"/>
        <v>1400000</v>
      </c>
      <c r="P1395" s="46">
        <f t="shared" si="1335"/>
        <v>1400000</v>
      </c>
      <c r="Q1395" s="46">
        <v>1400000.0</v>
      </c>
      <c r="R1395" s="101"/>
      <c r="S1395" s="101"/>
      <c r="T1395" s="99"/>
      <c r="U1395" s="99"/>
      <c r="V1395" s="99"/>
      <c r="W1395" s="99"/>
      <c r="X1395" s="99"/>
      <c r="Y1395" s="99"/>
      <c r="Z1395" s="99"/>
      <c r="AA1395" s="99"/>
      <c r="AB1395" s="99"/>
      <c r="AC1395" s="99"/>
      <c r="AD1395" s="99"/>
      <c r="AE1395" s="99"/>
      <c r="AF1395" s="99"/>
      <c r="AG1395" s="99"/>
      <c r="AH1395" s="99"/>
      <c r="AI1395" s="99"/>
      <c r="AJ1395" s="99"/>
      <c r="AK1395" s="99"/>
      <c r="AL1395" s="99"/>
      <c r="AM1395" s="99"/>
    </row>
    <row r="1396" ht="12.75" customHeight="1">
      <c r="A1396" s="110" t="s">
        <v>68</v>
      </c>
      <c r="D1396" s="145" t="s">
        <v>69</v>
      </c>
      <c r="G1396" s="104"/>
      <c r="H1396" s="133"/>
      <c r="I1396" s="104"/>
      <c r="J1396" s="134">
        <f t="shared" ref="J1396:K1396" si="1336">SUM(J1398:J1401)</f>
        <v>1160000</v>
      </c>
      <c r="K1396" s="46">
        <f t="shared" si="1336"/>
        <v>0</v>
      </c>
      <c r="L1396" s="105"/>
      <c r="M1396" s="106"/>
      <c r="N1396" s="105"/>
      <c r="O1396" s="46">
        <f t="shared" ref="O1396:P1396" si="1337">SUM(O1398:O1401)</f>
        <v>1160000</v>
      </c>
      <c r="P1396" s="46">
        <f t="shared" si="1337"/>
        <v>1160000</v>
      </c>
      <c r="Q1396" s="46">
        <v>1160000.0</v>
      </c>
      <c r="R1396" s="101"/>
      <c r="S1396" s="101"/>
      <c r="T1396" s="99"/>
      <c r="U1396" s="99"/>
      <c r="V1396" s="99"/>
      <c r="W1396" s="99"/>
      <c r="X1396" s="99"/>
      <c r="Y1396" s="99"/>
      <c r="Z1396" s="99"/>
      <c r="AA1396" s="99"/>
      <c r="AB1396" s="99"/>
      <c r="AC1396" s="99"/>
      <c r="AD1396" s="99"/>
      <c r="AE1396" s="99"/>
      <c r="AF1396" s="99"/>
      <c r="AG1396" s="99"/>
      <c r="AH1396" s="99"/>
      <c r="AI1396" s="99"/>
      <c r="AJ1396" s="99"/>
      <c r="AK1396" s="99"/>
      <c r="AL1396" s="99"/>
      <c r="AM1396" s="99"/>
    </row>
    <row r="1397" ht="12.75" customHeight="1">
      <c r="A1397" s="104"/>
      <c r="B1397" s="104"/>
      <c r="C1397" s="104"/>
      <c r="D1397" s="110" t="s">
        <v>23</v>
      </c>
      <c r="G1397" s="104"/>
      <c r="H1397" s="104"/>
      <c r="I1397" s="104"/>
      <c r="J1397" s="111"/>
      <c r="K1397" s="111"/>
      <c r="L1397" s="105"/>
      <c r="M1397" s="106"/>
      <c r="N1397" s="105"/>
      <c r="O1397" s="111"/>
      <c r="P1397" s="111"/>
      <c r="Q1397" s="111"/>
      <c r="R1397" s="101"/>
      <c r="S1397" s="101"/>
      <c r="T1397" s="99"/>
      <c r="U1397" s="99"/>
      <c r="V1397" s="99"/>
      <c r="W1397" s="99"/>
      <c r="X1397" s="99"/>
      <c r="Y1397" s="99"/>
      <c r="Z1397" s="99"/>
      <c r="AA1397" s="99"/>
      <c r="AB1397" s="99"/>
      <c r="AC1397" s="99"/>
      <c r="AD1397" s="99"/>
      <c r="AE1397" s="99"/>
      <c r="AF1397" s="99"/>
      <c r="AG1397" s="99"/>
      <c r="AH1397" s="99"/>
      <c r="AI1397" s="99"/>
      <c r="AJ1397" s="99"/>
      <c r="AK1397" s="99"/>
      <c r="AL1397" s="99"/>
      <c r="AM1397" s="99"/>
    </row>
    <row r="1398" ht="12.75" customHeight="1">
      <c r="A1398" s="104"/>
      <c r="B1398" s="104"/>
      <c r="C1398" s="104"/>
      <c r="D1398" s="110" t="s">
        <v>24</v>
      </c>
      <c r="E1398" s="110" t="s">
        <v>109</v>
      </c>
      <c r="G1398" s="136">
        <v>10.0</v>
      </c>
      <c r="H1398" s="136" t="s">
        <v>95</v>
      </c>
      <c r="I1398" s="137">
        <v>50000.0</v>
      </c>
      <c r="J1398" s="46">
        <f t="shared" ref="J1398:J1401" si="1338">G1398*I1398</f>
        <v>500000</v>
      </c>
      <c r="K1398" s="46"/>
      <c r="L1398" s="105"/>
      <c r="M1398" s="106"/>
      <c r="N1398" s="105"/>
      <c r="O1398" s="46">
        <f t="shared" ref="O1398:O1401" si="1339">J1398-K1398</f>
        <v>500000</v>
      </c>
      <c r="P1398" s="46">
        <f t="shared" ref="P1398:P1401" si="1340">J1398-M1398</f>
        <v>500000</v>
      </c>
      <c r="Q1398" s="46">
        <v>500000.0</v>
      </c>
      <c r="R1398" s="101"/>
      <c r="S1398" s="101"/>
      <c r="T1398" s="99"/>
      <c r="U1398" s="99"/>
      <c r="V1398" s="99"/>
      <c r="W1398" s="99"/>
      <c r="X1398" s="99"/>
      <c r="Y1398" s="99"/>
      <c r="Z1398" s="99"/>
      <c r="AA1398" s="99"/>
      <c r="AB1398" s="99"/>
      <c r="AC1398" s="99"/>
      <c r="AD1398" s="99"/>
      <c r="AE1398" s="99"/>
      <c r="AF1398" s="99"/>
      <c r="AG1398" s="99"/>
      <c r="AH1398" s="99"/>
      <c r="AI1398" s="99"/>
      <c r="AJ1398" s="99"/>
      <c r="AK1398" s="99"/>
      <c r="AL1398" s="99"/>
      <c r="AM1398" s="99"/>
    </row>
    <row r="1399" ht="12.75" customHeight="1">
      <c r="A1399" s="104"/>
      <c r="B1399" s="104"/>
      <c r="C1399" s="104"/>
      <c r="D1399" s="110" t="s">
        <v>24</v>
      </c>
      <c r="E1399" s="110" t="s">
        <v>110</v>
      </c>
      <c r="G1399" s="136">
        <v>2.0</v>
      </c>
      <c r="H1399" s="136" t="s">
        <v>95</v>
      </c>
      <c r="I1399" s="137">
        <v>100000.0</v>
      </c>
      <c r="J1399" s="46">
        <f t="shared" si="1338"/>
        <v>200000</v>
      </c>
      <c r="K1399" s="46"/>
      <c r="L1399" s="105"/>
      <c r="M1399" s="106"/>
      <c r="N1399" s="105"/>
      <c r="O1399" s="46">
        <f t="shared" si="1339"/>
        <v>200000</v>
      </c>
      <c r="P1399" s="46">
        <f t="shared" si="1340"/>
        <v>200000</v>
      </c>
      <c r="Q1399" s="46">
        <v>200000.0</v>
      </c>
      <c r="R1399" s="101"/>
      <c r="S1399" s="101"/>
      <c r="T1399" s="99"/>
      <c r="U1399" s="99"/>
      <c r="V1399" s="99"/>
      <c r="W1399" s="99"/>
      <c r="X1399" s="99"/>
      <c r="Y1399" s="99"/>
      <c r="Z1399" s="99"/>
      <c r="AA1399" s="99"/>
      <c r="AB1399" s="99"/>
      <c r="AC1399" s="99"/>
      <c r="AD1399" s="99"/>
      <c r="AE1399" s="99"/>
      <c r="AF1399" s="99"/>
      <c r="AG1399" s="99"/>
      <c r="AH1399" s="99"/>
      <c r="AI1399" s="99"/>
      <c r="AJ1399" s="99"/>
      <c r="AK1399" s="99"/>
      <c r="AL1399" s="99"/>
      <c r="AM1399" s="99"/>
    </row>
    <row r="1400" ht="12.75" customHeight="1">
      <c r="A1400" s="104"/>
      <c r="B1400" s="104"/>
      <c r="C1400" s="104"/>
      <c r="D1400" s="110" t="s">
        <v>24</v>
      </c>
      <c r="E1400" s="110" t="s">
        <v>111</v>
      </c>
      <c r="G1400" s="136">
        <v>2.0</v>
      </c>
      <c r="H1400" s="136" t="s">
        <v>95</v>
      </c>
      <c r="I1400" s="137">
        <v>200000.0</v>
      </c>
      <c r="J1400" s="46">
        <f t="shared" si="1338"/>
        <v>400000</v>
      </c>
      <c r="K1400" s="46"/>
      <c r="L1400" s="105"/>
      <c r="M1400" s="106"/>
      <c r="N1400" s="105"/>
      <c r="O1400" s="46">
        <f t="shared" si="1339"/>
        <v>400000</v>
      </c>
      <c r="P1400" s="46">
        <f t="shared" si="1340"/>
        <v>400000</v>
      </c>
      <c r="Q1400" s="46">
        <v>400000.0</v>
      </c>
      <c r="R1400" s="101"/>
      <c r="S1400" s="101"/>
      <c r="T1400" s="99"/>
      <c r="U1400" s="99"/>
      <c r="V1400" s="99"/>
      <c r="W1400" s="99"/>
      <c r="X1400" s="99"/>
      <c r="Y1400" s="99"/>
      <c r="Z1400" s="99"/>
      <c r="AA1400" s="99"/>
      <c r="AB1400" s="99"/>
      <c r="AC1400" s="99"/>
      <c r="AD1400" s="99"/>
      <c r="AE1400" s="99"/>
      <c r="AF1400" s="99"/>
      <c r="AG1400" s="99"/>
      <c r="AH1400" s="99"/>
      <c r="AI1400" s="99"/>
      <c r="AJ1400" s="99"/>
      <c r="AK1400" s="99"/>
      <c r="AL1400" s="99"/>
      <c r="AM1400" s="99"/>
    </row>
    <row r="1401" ht="12.75" customHeight="1">
      <c r="A1401" s="104"/>
      <c r="B1401" s="104"/>
      <c r="C1401" s="104"/>
      <c r="D1401" s="110" t="s">
        <v>24</v>
      </c>
      <c r="E1401" s="110" t="s">
        <v>112</v>
      </c>
      <c r="G1401" s="136">
        <v>2.0</v>
      </c>
      <c r="H1401" s="136" t="s">
        <v>95</v>
      </c>
      <c r="I1401" s="137">
        <v>30000.0</v>
      </c>
      <c r="J1401" s="46">
        <f t="shared" si="1338"/>
        <v>60000</v>
      </c>
      <c r="K1401" s="46"/>
      <c r="L1401" s="105"/>
      <c r="M1401" s="106"/>
      <c r="N1401" s="105"/>
      <c r="O1401" s="46">
        <f t="shared" si="1339"/>
        <v>60000</v>
      </c>
      <c r="P1401" s="46">
        <f t="shared" si="1340"/>
        <v>60000</v>
      </c>
      <c r="Q1401" s="46">
        <v>60000.0</v>
      </c>
      <c r="R1401" s="101"/>
      <c r="S1401" s="101"/>
      <c r="T1401" s="99"/>
      <c r="U1401" s="99"/>
      <c r="V1401" s="99"/>
      <c r="W1401" s="99"/>
      <c r="X1401" s="99"/>
      <c r="Y1401" s="99"/>
      <c r="Z1401" s="99"/>
      <c r="AA1401" s="99"/>
      <c r="AB1401" s="99"/>
      <c r="AC1401" s="99"/>
      <c r="AD1401" s="99"/>
      <c r="AE1401" s="99"/>
      <c r="AF1401" s="99"/>
      <c r="AG1401" s="99"/>
      <c r="AH1401" s="99"/>
      <c r="AI1401" s="99"/>
      <c r="AJ1401" s="99"/>
      <c r="AK1401" s="99"/>
      <c r="AL1401" s="99"/>
      <c r="AM1401" s="99"/>
    </row>
    <row r="1402" ht="12.75" customHeight="1">
      <c r="A1402" s="144" t="s">
        <v>113</v>
      </c>
      <c r="D1402" s="144" t="s">
        <v>114</v>
      </c>
      <c r="G1402" s="104"/>
      <c r="H1402" s="128"/>
      <c r="I1402" s="104"/>
      <c r="J1402" s="129">
        <f t="shared" ref="J1402:K1402" si="1341">J1403</f>
        <v>616125000</v>
      </c>
      <c r="K1402" s="43">
        <f t="shared" si="1341"/>
        <v>0</v>
      </c>
      <c r="L1402" s="105"/>
      <c r="M1402" s="106"/>
      <c r="N1402" s="105"/>
      <c r="O1402" s="43">
        <f t="shared" ref="O1402:P1402" si="1342">O1403</f>
        <v>616125000</v>
      </c>
      <c r="P1402" s="43">
        <f t="shared" si="1342"/>
        <v>616125000</v>
      </c>
      <c r="Q1402" s="43">
        <v>6.16125E8</v>
      </c>
      <c r="R1402" s="101"/>
      <c r="S1402" s="101"/>
      <c r="T1402" s="99"/>
      <c r="U1402" s="99"/>
      <c r="V1402" s="99"/>
      <c r="W1402" s="99"/>
      <c r="X1402" s="99"/>
      <c r="Y1402" s="99"/>
      <c r="Z1402" s="99"/>
      <c r="AA1402" s="99"/>
      <c r="AB1402" s="99"/>
      <c r="AC1402" s="99"/>
      <c r="AD1402" s="99"/>
      <c r="AE1402" s="99"/>
      <c r="AF1402" s="99"/>
      <c r="AG1402" s="99"/>
      <c r="AH1402" s="99"/>
      <c r="AI1402" s="99"/>
      <c r="AJ1402" s="99"/>
      <c r="AK1402" s="99"/>
      <c r="AL1402" s="99"/>
      <c r="AM1402" s="99"/>
    </row>
    <row r="1403" ht="12.75" customHeight="1">
      <c r="A1403" s="110" t="s">
        <v>68</v>
      </c>
      <c r="D1403" s="145" t="s">
        <v>69</v>
      </c>
      <c r="G1403" s="104"/>
      <c r="H1403" s="133"/>
      <c r="I1403" s="104"/>
      <c r="J1403" s="134">
        <f t="shared" ref="J1403:K1403" si="1343">SUM(J1405:J1415)</f>
        <v>616125000</v>
      </c>
      <c r="K1403" s="46">
        <f t="shared" si="1343"/>
        <v>0</v>
      </c>
      <c r="L1403" s="105"/>
      <c r="M1403" s="106"/>
      <c r="N1403" s="105"/>
      <c r="O1403" s="46">
        <f t="shared" ref="O1403:P1403" si="1344">SUM(O1405:O1415)</f>
        <v>616125000</v>
      </c>
      <c r="P1403" s="46">
        <f t="shared" si="1344"/>
        <v>616125000</v>
      </c>
      <c r="Q1403" s="46">
        <v>6.16125E8</v>
      </c>
      <c r="R1403" s="101"/>
      <c r="S1403" s="101"/>
      <c r="T1403" s="99"/>
      <c r="U1403" s="99"/>
      <c r="V1403" s="99"/>
      <c r="W1403" s="99"/>
      <c r="X1403" s="99"/>
      <c r="Y1403" s="99"/>
      <c r="Z1403" s="99"/>
      <c r="AA1403" s="99"/>
      <c r="AB1403" s="99"/>
      <c r="AC1403" s="99"/>
      <c r="AD1403" s="99"/>
      <c r="AE1403" s="99"/>
      <c r="AF1403" s="99"/>
      <c r="AG1403" s="99"/>
      <c r="AH1403" s="99"/>
      <c r="AI1403" s="99"/>
      <c r="AJ1403" s="99"/>
      <c r="AK1403" s="99"/>
      <c r="AL1403" s="99"/>
      <c r="AM1403" s="99"/>
    </row>
    <row r="1404" ht="12.75" customHeight="1">
      <c r="A1404" s="104"/>
      <c r="B1404" s="104"/>
      <c r="C1404" s="104"/>
      <c r="D1404" s="110" t="s">
        <v>23</v>
      </c>
      <c r="G1404" s="104"/>
      <c r="H1404" s="104"/>
      <c r="I1404" s="104"/>
      <c r="J1404" s="111"/>
      <c r="K1404" s="111"/>
      <c r="L1404" s="105"/>
      <c r="M1404" s="106"/>
      <c r="N1404" s="105"/>
      <c r="O1404" s="111"/>
      <c r="P1404" s="111"/>
      <c r="Q1404" s="111"/>
      <c r="R1404" s="101"/>
      <c r="S1404" s="101"/>
      <c r="T1404" s="99"/>
      <c r="U1404" s="99"/>
      <c r="V1404" s="99"/>
      <c r="W1404" s="99"/>
      <c r="X1404" s="99"/>
      <c r="Y1404" s="99"/>
      <c r="Z1404" s="99"/>
      <c r="AA1404" s="99"/>
      <c r="AB1404" s="99"/>
      <c r="AC1404" s="99"/>
      <c r="AD1404" s="99"/>
      <c r="AE1404" s="99"/>
      <c r="AF1404" s="99"/>
      <c r="AG1404" s="99"/>
      <c r="AH1404" s="99"/>
      <c r="AI1404" s="99"/>
      <c r="AJ1404" s="99"/>
      <c r="AK1404" s="99"/>
      <c r="AL1404" s="99"/>
      <c r="AM1404" s="99"/>
    </row>
    <row r="1405" ht="12.75" customHeight="1">
      <c r="A1405" s="104"/>
      <c r="B1405" s="104"/>
      <c r="C1405" s="104"/>
      <c r="D1405" s="110" t="s">
        <v>24</v>
      </c>
      <c r="E1405" s="110" t="s">
        <v>262</v>
      </c>
      <c r="G1405" s="136">
        <v>150.0</v>
      </c>
      <c r="H1405" s="136" t="s">
        <v>95</v>
      </c>
      <c r="I1405" s="137">
        <v>110000.0</v>
      </c>
      <c r="J1405" s="46">
        <f t="shared" ref="J1405:J1415" si="1345">G1405*I1405</f>
        <v>16500000</v>
      </c>
      <c r="K1405" s="46"/>
      <c r="L1405" s="105"/>
      <c r="M1405" s="106"/>
      <c r="N1405" s="105"/>
      <c r="O1405" s="46">
        <f t="shared" ref="O1405:O1415" si="1346">J1405-K1405</f>
        <v>16500000</v>
      </c>
      <c r="P1405" s="46">
        <f t="shared" ref="P1405:P1415" si="1347">J1405-M1405</f>
        <v>16500000</v>
      </c>
      <c r="Q1405" s="46">
        <v>1.65E7</v>
      </c>
      <c r="R1405" s="101"/>
      <c r="S1405" s="101"/>
      <c r="T1405" s="99"/>
      <c r="U1405" s="99"/>
      <c r="V1405" s="99"/>
      <c r="W1405" s="99"/>
      <c r="X1405" s="99"/>
      <c r="Y1405" s="99"/>
      <c r="Z1405" s="99"/>
      <c r="AA1405" s="99"/>
      <c r="AB1405" s="99"/>
      <c r="AC1405" s="99"/>
      <c r="AD1405" s="99"/>
      <c r="AE1405" s="99"/>
      <c r="AF1405" s="99"/>
      <c r="AG1405" s="99"/>
      <c r="AH1405" s="99"/>
      <c r="AI1405" s="99"/>
      <c r="AJ1405" s="99"/>
      <c r="AK1405" s="99"/>
      <c r="AL1405" s="99"/>
      <c r="AM1405" s="99"/>
    </row>
    <row r="1406" ht="12.75" customHeight="1">
      <c r="A1406" s="104"/>
      <c r="B1406" s="104"/>
      <c r="C1406" s="104"/>
      <c r="D1406" s="110" t="s">
        <v>24</v>
      </c>
      <c r="E1406" s="110" t="s">
        <v>263</v>
      </c>
      <c r="G1406" s="136">
        <v>150.0</v>
      </c>
      <c r="H1406" s="136" t="s">
        <v>95</v>
      </c>
      <c r="I1406" s="137">
        <v>120000.0</v>
      </c>
      <c r="J1406" s="46">
        <f t="shared" si="1345"/>
        <v>18000000</v>
      </c>
      <c r="K1406" s="46"/>
      <c r="L1406" s="105"/>
      <c r="M1406" s="106"/>
      <c r="N1406" s="105"/>
      <c r="O1406" s="46">
        <f t="shared" si="1346"/>
        <v>18000000</v>
      </c>
      <c r="P1406" s="46">
        <f t="shared" si="1347"/>
        <v>18000000</v>
      </c>
      <c r="Q1406" s="46">
        <v>1.8E7</v>
      </c>
      <c r="R1406" s="101"/>
      <c r="S1406" s="101"/>
      <c r="T1406" s="99"/>
      <c r="U1406" s="99"/>
      <c r="V1406" s="99"/>
      <c r="W1406" s="99"/>
      <c r="X1406" s="99"/>
      <c r="Y1406" s="99"/>
      <c r="Z1406" s="99"/>
      <c r="AA1406" s="99"/>
      <c r="AB1406" s="99"/>
      <c r="AC1406" s="99"/>
      <c r="AD1406" s="99"/>
      <c r="AE1406" s="99"/>
      <c r="AF1406" s="99"/>
      <c r="AG1406" s="99"/>
      <c r="AH1406" s="99"/>
      <c r="AI1406" s="99"/>
      <c r="AJ1406" s="99"/>
      <c r="AK1406" s="99"/>
      <c r="AL1406" s="99"/>
      <c r="AM1406" s="99"/>
    </row>
    <row r="1407" ht="12.75" customHeight="1">
      <c r="A1407" s="104"/>
      <c r="B1407" s="104"/>
      <c r="C1407" s="104"/>
      <c r="D1407" s="110" t="s">
        <v>24</v>
      </c>
      <c r="E1407" s="110" t="s">
        <v>264</v>
      </c>
      <c r="G1407" s="136">
        <v>150.0</v>
      </c>
      <c r="H1407" s="136" t="s">
        <v>95</v>
      </c>
      <c r="I1407" s="137">
        <v>150000.0</v>
      </c>
      <c r="J1407" s="46">
        <f t="shared" si="1345"/>
        <v>22500000</v>
      </c>
      <c r="K1407" s="46"/>
      <c r="L1407" s="105"/>
      <c r="M1407" s="106"/>
      <c r="N1407" s="105"/>
      <c r="O1407" s="46">
        <f t="shared" si="1346"/>
        <v>22500000</v>
      </c>
      <c r="P1407" s="46">
        <f t="shared" si="1347"/>
        <v>22500000</v>
      </c>
      <c r="Q1407" s="46">
        <v>2.25E7</v>
      </c>
      <c r="R1407" s="101"/>
      <c r="S1407" s="101"/>
      <c r="T1407" s="99"/>
      <c r="U1407" s="99"/>
      <c r="V1407" s="99"/>
      <c r="W1407" s="99"/>
      <c r="X1407" s="99"/>
      <c r="Y1407" s="99"/>
      <c r="Z1407" s="99"/>
      <c r="AA1407" s="99"/>
      <c r="AB1407" s="99"/>
      <c r="AC1407" s="99"/>
      <c r="AD1407" s="99"/>
      <c r="AE1407" s="99"/>
      <c r="AF1407" s="99"/>
      <c r="AG1407" s="99"/>
      <c r="AH1407" s="99"/>
      <c r="AI1407" s="99"/>
      <c r="AJ1407" s="99"/>
      <c r="AK1407" s="99"/>
      <c r="AL1407" s="99"/>
      <c r="AM1407" s="99"/>
    </row>
    <row r="1408" ht="12.75" customHeight="1">
      <c r="A1408" s="104"/>
      <c r="B1408" s="104"/>
      <c r="C1408" s="104"/>
      <c r="D1408" s="110" t="s">
        <v>24</v>
      </c>
      <c r="E1408" s="110" t="s">
        <v>265</v>
      </c>
      <c r="G1408" s="136">
        <v>150.0</v>
      </c>
      <c r="H1408" s="136" t="s">
        <v>95</v>
      </c>
      <c r="I1408" s="137">
        <v>100000.0</v>
      </c>
      <c r="J1408" s="46">
        <f t="shared" si="1345"/>
        <v>15000000</v>
      </c>
      <c r="K1408" s="46"/>
      <c r="L1408" s="105"/>
      <c r="M1408" s="106"/>
      <c r="N1408" s="105"/>
      <c r="O1408" s="46">
        <f t="shared" si="1346"/>
        <v>15000000</v>
      </c>
      <c r="P1408" s="46">
        <f t="shared" si="1347"/>
        <v>15000000</v>
      </c>
      <c r="Q1408" s="46">
        <v>1.5E7</v>
      </c>
      <c r="R1408" s="101"/>
      <c r="S1408" s="101"/>
      <c r="T1408" s="99"/>
      <c r="U1408" s="99"/>
      <c r="V1408" s="99"/>
      <c r="W1408" s="99"/>
      <c r="X1408" s="99"/>
      <c r="Y1408" s="99"/>
      <c r="Z1408" s="99"/>
      <c r="AA1408" s="99"/>
      <c r="AB1408" s="99"/>
      <c r="AC1408" s="99"/>
      <c r="AD1408" s="99"/>
      <c r="AE1408" s="99"/>
      <c r="AF1408" s="99"/>
      <c r="AG1408" s="99"/>
      <c r="AH1408" s="99"/>
      <c r="AI1408" s="99"/>
      <c r="AJ1408" s="99"/>
      <c r="AK1408" s="99"/>
      <c r="AL1408" s="99"/>
      <c r="AM1408" s="99"/>
    </row>
    <row r="1409" ht="12.75" customHeight="1">
      <c r="A1409" s="104"/>
      <c r="B1409" s="104"/>
      <c r="C1409" s="104"/>
      <c r="D1409" s="110" t="s">
        <v>24</v>
      </c>
      <c r="E1409" s="110" t="s">
        <v>266</v>
      </c>
      <c r="G1409" s="136">
        <v>150.0</v>
      </c>
      <c r="H1409" s="136" t="s">
        <v>95</v>
      </c>
      <c r="I1409" s="137">
        <v>350000.0</v>
      </c>
      <c r="J1409" s="46">
        <f t="shared" si="1345"/>
        <v>52500000</v>
      </c>
      <c r="K1409" s="46"/>
      <c r="L1409" s="105"/>
      <c r="M1409" s="106"/>
      <c r="N1409" s="105"/>
      <c r="O1409" s="46">
        <f t="shared" si="1346"/>
        <v>52500000</v>
      </c>
      <c r="P1409" s="46">
        <f t="shared" si="1347"/>
        <v>52500000</v>
      </c>
      <c r="Q1409" s="46">
        <v>5.25E7</v>
      </c>
      <c r="R1409" s="101"/>
      <c r="S1409" s="101"/>
      <c r="T1409" s="99"/>
      <c r="U1409" s="99"/>
      <c r="V1409" s="99"/>
      <c r="W1409" s="99"/>
      <c r="X1409" s="99"/>
      <c r="Y1409" s="99"/>
      <c r="Z1409" s="99"/>
      <c r="AA1409" s="99"/>
      <c r="AB1409" s="99"/>
      <c r="AC1409" s="99"/>
      <c r="AD1409" s="99"/>
      <c r="AE1409" s="99"/>
      <c r="AF1409" s="99"/>
      <c r="AG1409" s="99"/>
      <c r="AH1409" s="99"/>
      <c r="AI1409" s="99"/>
      <c r="AJ1409" s="99"/>
      <c r="AK1409" s="99"/>
      <c r="AL1409" s="99"/>
      <c r="AM1409" s="99"/>
    </row>
    <row r="1410" ht="12.75" customHeight="1">
      <c r="A1410" s="104"/>
      <c r="B1410" s="104"/>
      <c r="C1410" s="104"/>
      <c r="D1410" s="110" t="s">
        <v>24</v>
      </c>
      <c r="E1410" s="110" t="s">
        <v>267</v>
      </c>
      <c r="G1410" s="136">
        <v>75.0</v>
      </c>
      <c r="H1410" s="136" t="s">
        <v>95</v>
      </c>
      <c r="I1410" s="137">
        <v>175000.0</v>
      </c>
      <c r="J1410" s="46">
        <f t="shared" si="1345"/>
        <v>13125000</v>
      </c>
      <c r="K1410" s="46"/>
      <c r="L1410" s="105"/>
      <c r="M1410" s="106"/>
      <c r="N1410" s="105"/>
      <c r="O1410" s="46">
        <f t="shared" si="1346"/>
        <v>13125000</v>
      </c>
      <c r="P1410" s="46">
        <f t="shared" si="1347"/>
        <v>13125000</v>
      </c>
      <c r="Q1410" s="46">
        <v>1.3125E7</v>
      </c>
      <c r="R1410" s="101"/>
      <c r="S1410" s="101"/>
      <c r="T1410" s="99"/>
      <c r="U1410" s="99"/>
      <c r="V1410" s="99"/>
      <c r="W1410" s="99"/>
      <c r="X1410" s="99"/>
      <c r="Y1410" s="99"/>
      <c r="Z1410" s="99"/>
      <c r="AA1410" s="99"/>
      <c r="AB1410" s="99"/>
      <c r="AC1410" s="99"/>
      <c r="AD1410" s="99"/>
      <c r="AE1410" s="99"/>
      <c r="AF1410" s="99"/>
      <c r="AG1410" s="99"/>
      <c r="AH1410" s="99"/>
      <c r="AI1410" s="99"/>
      <c r="AJ1410" s="99"/>
      <c r="AK1410" s="99"/>
      <c r="AL1410" s="99"/>
      <c r="AM1410" s="99"/>
    </row>
    <row r="1411" ht="12.75" customHeight="1">
      <c r="A1411" s="104"/>
      <c r="B1411" s="104"/>
      <c r="C1411" s="104"/>
      <c r="D1411" s="110" t="s">
        <v>24</v>
      </c>
      <c r="E1411" s="110" t="s">
        <v>268</v>
      </c>
      <c r="G1411" s="136">
        <v>525.0</v>
      </c>
      <c r="H1411" s="136" t="s">
        <v>95</v>
      </c>
      <c r="I1411" s="137">
        <v>150000.0</v>
      </c>
      <c r="J1411" s="46">
        <f t="shared" si="1345"/>
        <v>78750000</v>
      </c>
      <c r="K1411" s="46"/>
      <c r="L1411" s="105"/>
      <c r="M1411" s="106"/>
      <c r="N1411" s="105"/>
      <c r="O1411" s="46">
        <f t="shared" si="1346"/>
        <v>78750000</v>
      </c>
      <c r="P1411" s="46">
        <f t="shared" si="1347"/>
        <v>78750000</v>
      </c>
      <c r="Q1411" s="46">
        <v>7.875E7</v>
      </c>
      <c r="R1411" s="101"/>
      <c r="S1411" s="101"/>
      <c r="T1411" s="99"/>
      <c r="U1411" s="99"/>
      <c r="V1411" s="99"/>
      <c r="W1411" s="99"/>
      <c r="X1411" s="99"/>
      <c r="Y1411" s="99"/>
      <c r="Z1411" s="99"/>
      <c r="AA1411" s="99"/>
      <c r="AB1411" s="99"/>
      <c r="AC1411" s="99"/>
      <c r="AD1411" s="99"/>
      <c r="AE1411" s="99"/>
      <c r="AF1411" s="99"/>
      <c r="AG1411" s="99"/>
      <c r="AH1411" s="99"/>
      <c r="AI1411" s="99"/>
      <c r="AJ1411" s="99"/>
      <c r="AK1411" s="99"/>
      <c r="AL1411" s="99"/>
      <c r="AM1411" s="99"/>
    </row>
    <row r="1412" ht="12.75" customHeight="1">
      <c r="A1412" s="104"/>
      <c r="B1412" s="104"/>
      <c r="C1412" s="104"/>
      <c r="D1412" s="110" t="s">
        <v>24</v>
      </c>
      <c r="E1412" s="110" t="s">
        <v>269</v>
      </c>
      <c r="G1412" s="136">
        <v>525.0</v>
      </c>
      <c r="H1412" s="136" t="s">
        <v>95</v>
      </c>
      <c r="I1412" s="137">
        <v>200000.0</v>
      </c>
      <c r="J1412" s="46">
        <f t="shared" si="1345"/>
        <v>105000000</v>
      </c>
      <c r="K1412" s="46"/>
      <c r="L1412" s="105"/>
      <c r="M1412" s="106"/>
      <c r="N1412" s="105"/>
      <c r="O1412" s="46">
        <f t="shared" si="1346"/>
        <v>105000000</v>
      </c>
      <c r="P1412" s="46">
        <f t="shared" si="1347"/>
        <v>105000000</v>
      </c>
      <c r="Q1412" s="46">
        <v>1.05E8</v>
      </c>
      <c r="R1412" s="101"/>
      <c r="S1412" s="101"/>
      <c r="T1412" s="99"/>
      <c r="U1412" s="99"/>
      <c r="V1412" s="99"/>
      <c r="W1412" s="99"/>
      <c r="X1412" s="99"/>
      <c r="Y1412" s="99"/>
      <c r="Z1412" s="99"/>
      <c r="AA1412" s="99"/>
      <c r="AB1412" s="99"/>
      <c r="AC1412" s="99"/>
      <c r="AD1412" s="99"/>
      <c r="AE1412" s="99"/>
      <c r="AF1412" s="99"/>
      <c r="AG1412" s="99"/>
      <c r="AH1412" s="99"/>
      <c r="AI1412" s="99"/>
      <c r="AJ1412" s="99"/>
      <c r="AK1412" s="99"/>
      <c r="AL1412" s="99"/>
      <c r="AM1412" s="99"/>
    </row>
    <row r="1413" ht="15.75" customHeight="1">
      <c r="A1413" s="104"/>
      <c r="B1413" s="104"/>
      <c r="C1413" s="104"/>
      <c r="D1413" s="110" t="s">
        <v>24</v>
      </c>
      <c r="E1413" s="110" t="s">
        <v>270</v>
      </c>
      <c r="G1413" s="136">
        <v>900.0</v>
      </c>
      <c r="H1413" s="136" t="s">
        <v>95</v>
      </c>
      <c r="I1413" s="137">
        <v>250000.0</v>
      </c>
      <c r="J1413" s="46">
        <f t="shared" si="1345"/>
        <v>225000000</v>
      </c>
      <c r="K1413" s="46"/>
      <c r="L1413" s="105"/>
      <c r="M1413" s="106"/>
      <c r="N1413" s="105"/>
      <c r="O1413" s="46">
        <f t="shared" si="1346"/>
        <v>225000000</v>
      </c>
      <c r="P1413" s="46">
        <f t="shared" si="1347"/>
        <v>225000000</v>
      </c>
      <c r="Q1413" s="46">
        <v>2.25E8</v>
      </c>
      <c r="R1413" s="101"/>
      <c r="S1413" s="101"/>
      <c r="T1413" s="99"/>
      <c r="U1413" s="99"/>
      <c r="V1413" s="99"/>
      <c r="W1413" s="99"/>
      <c r="X1413" s="99"/>
      <c r="Y1413" s="99"/>
      <c r="Z1413" s="99"/>
      <c r="AA1413" s="99"/>
      <c r="AB1413" s="99"/>
      <c r="AC1413" s="99"/>
      <c r="AD1413" s="99"/>
      <c r="AE1413" s="99"/>
      <c r="AF1413" s="99"/>
      <c r="AG1413" s="99"/>
      <c r="AH1413" s="99"/>
      <c r="AI1413" s="99"/>
      <c r="AJ1413" s="99"/>
      <c r="AK1413" s="99"/>
      <c r="AL1413" s="99"/>
      <c r="AM1413" s="99"/>
    </row>
    <row r="1414" ht="12.75" customHeight="1">
      <c r="A1414" s="104"/>
      <c r="B1414" s="104"/>
      <c r="C1414" s="104"/>
      <c r="D1414" s="110" t="s">
        <v>24</v>
      </c>
      <c r="E1414" s="110" t="s">
        <v>271</v>
      </c>
      <c r="G1414" s="136">
        <v>540.0</v>
      </c>
      <c r="H1414" s="136" t="s">
        <v>95</v>
      </c>
      <c r="I1414" s="137">
        <v>100000.0</v>
      </c>
      <c r="J1414" s="46">
        <f t="shared" si="1345"/>
        <v>54000000</v>
      </c>
      <c r="K1414" s="46"/>
      <c r="L1414" s="105"/>
      <c r="M1414" s="106"/>
      <c r="N1414" s="105"/>
      <c r="O1414" s="46">
        <f t="shared" si="1346"/>
        <v>54000000</v>
      </c>
      <c r="P1414" s="46">
        <f t="shared" si="1347"/>
        <v>54000000</v>
      </c>
      <c r="Q1414" s="46">
        <v>5.4E7</v>
      </c>
      <c r="R1414" s="101"/>
      <c r="S1414" s="101"/>
      <c r="T1414" s="99"/>
      <c r="U1414" s="99"/>
      <c r="V1414" s="99"/>
      <c r="W1414" s="99"/>
      <c r="X1414" s="99"/>
      <c r="Y1414" s="99"/>
      <c r="Z1414" s="99"/>
      <c r="AA1414" s="99"/>
      <c r="AB1414" s="99"/>
      <c r="AC1414" s="99"/>
      <c r="AD1414" s="99"/>
      <c r="AE1414" s="99"/>
      <c r="AF1414" s="99"/>
      <c r="AG1414" s="99"/>
      <c r="AH1414" s="99"/>
      <c r="AI1414" s="99"/>
      <c r="AJ1414" s="99"/>
      <c r="AK1414" s="99"/>
      <c r="AL1414" s="99"/>
      <c r="AM1414" s="99"/>
    </row>
    <row r="1415" ht="12.75" customHeight="1">
      <c r="A1415" s="104"/>
      <c r="B1415" s="104"/>
      <c r="C1415" s="104"/>
      <c r="D1415" s="110" t="s">
        <v>24</v>
      </c>
      <c r="E1415" s="110" t="s">
        <v>272</v>
      </c>
      <c r="G1415" s="136">
        <v>315.0</v>
      </c>
      <c r="H1415" s="136" t="s">
        <v>95</v>
      </c>
      <c r="I1415" s="137">
        <v>50000.0</v>
      </c>
      <c r="J1415" s="46">
        <f t="shared" si="1345"/>
        <v>15750000</v>
      </c>
      <c r="K1415" s="46"/>
      <c r="L1415" s="105"/>
      <c r="M1415" s="106"/>
      <c r="N1415" s="105"/>
      <c r="O1415" s="46">
        <f t="shared" si="1346"/>
        <v>15750000</v>
      </c>
      <c r="P1415" s="46">
        <f t="shared" si="1347"/>
        <v>15750000</v>
      </c>
      <c r="Q1415" s="46">
        <v>1.575E7</v>
      </c>
      <c r="R1415" s="101"/>
      <c r="S1415" s="101"/>
      <c r="T1415" s="99"/>
      <c r="U1415" s="99"/>
      <c r="V1415" s="99"/>
      <c r="W1415" s="99"/>
      <c r="X1415" s="99"/>
      <c r="Y1415" s="99"/>
      <c r="Z1415" s="99"/>
      <c r="AA1415" s="99"/>
      <c r="AB1415" s="99"/>
      <c r="AC1415" s="99"/>
      <c r="AD1415" s="99"/>
      <c r="AE1415" s="99"/>
      <c r="AF1415" s="99"/>
      <c r="AG1415" s="99"/>
      <c r="AH1415" s="99"/>
      <c r="AI1415" s="99"/>
      <c r="AJ1415" s="99"/>
      <c r="AK1415" s="99"/>
      <c r="AL1415" s="99"/>
      <c r="AM1415" s="99"/>
    </row>
    <row r="1416" ht="12.75" customHeight="1">
      <c r="A1416" s="144" t="s">
        <v>126</v>
      </c>
      <c r="D1416" s="144" t="s">
        <v>127</v>
      </c>
      <c r="G1416" s="104"/>
      <c r="H1416" s="128"/>
      <c r="I1416" s="104"/>
      <c r="J1416" s="129">
        <f t="shared" ref="J1416:K1416" si="1348">J1417</f>
        <v>190740000</v>
      </c>
      <c r="K1416" s="43">
        <f t="shared" si="1348"/>
        <v>0</v>
      </c>
      <c r="L1416" s="105"/>
      <c r="M1416" s="106"/>
      <c r="N1416" s="105"/>
      <c r="O1416" s="43">
        <f t="shared" ref="O1416:P1416" si="1349">O1417</f>
        <v>190740000</v>
      </c>
      <c r="P1416" s="43">
        <f t="shared" si="1349"/>
        <v>190740000</v>
      </c>
      <c r="Q1416" s="43">
        <v>1.9074E8</v>
      </c>
      <c r="R1416" s="101"/>
      <c r="S1416" s="101"/>
      <c r="T1416" s="99"/>
      <c r="U1416" s="99"/>
      <c r="V1416" s="99"/>
      <c r="W1416" s="99"/>
      <c r="X1416" s="99"/>
      <c r="Y1416" s="99"/>
      <c r="Z1416" s="99"/>
      <c r="AA1416" s="99"/>
      <c r="AB1416" s="99"/>
      <c r="AC1416" s="99"/>
      <c r="AD1416" s="99"/>
      <c r="AE1416" s="99"/>
      <c r="AF1416" s="99"/>
      <c r="AG1416" s="99"/>
      <c r="AH1416" s="99"/>
      <c r="AI1416" s="99"/>
      <c r="AJ1416" s="99"/>
      <c r="AK1416" s="99"/>
      <c r="AL1416" s="99"/>
      <c r="AM1416" s="99"/>
    </row>
    <row r="1417" ht="12.75" customHeight="1">
      <c r="A1417" s="110" t="s">
        <v>68</v>
      </c>
      <c r="D1417" s="145" t="s">
        <v>69</v>
      </c>
      <c r="G1417" s="104"/>
      <c r="H1417" s="133"/>
      <c r="I1417" s="104"/>
      <c r="J1417" s="134">
        <f t="shared" ref="J1417:K1417" si="1350">SUM(J1419:J1423)</f>
        <v>190740000</v>
      </c>
      <c r="K1417" s="46">
        <f t="shared" si="1350"/>
        <v>0</v>
      </c>
      <c r="L1417" s="105"/>
      <c r="M1417" s="106"/>
      <c r="N1417" s="105"/>
      <c r="O1417" s="46">
        <f t="shared" ref="O1417:P1417" si="1351">SUM(O1419:O1423)</f>
        <v>190740000</v>
      </c>
      <c r="P1417" s="46">
        <f t="shared" si="1351"/>
        <v>190740000</v>
      </c>
      <c r="Q1417" s="46">
        <v>1.9074E8</v>
      </c>
      <c r="R1417" s="101"/>
      <c r="S1417" s="101"/>
      <c r="T1417" s="99"/>
      <c r="U1417" s="99"/>
      <c r="V1417" s="99"/>
      <c r="W1417" s="99"/>
      <c r="X1417" s="99"/>
      <c r="Y1417" s="99"/>
      <c r="Z1417" s="99"/>
      <c r="AA1417" s="99"/>
      <c r="AB1417" s="99"/>
      <c r="AC1417" s="99"/>
      <c r="AD1417" s="99"/>
      <c r="AE1417" s="99"/>
      <c r="AF1417" s="99"/>
      <c r="AG1417" s="99"/>
      <c r="AH1417" s="99"/>
      <c r="AI1417" s="99"/>
      <c r="AJ1417" s="99"/>
      <c r="AK1417" s="99"/>
      <c r="AL1417" s="99"/>
      <c r="AM1417" s="99"/>
    </row>
    <row r="1418" ht="12.75" customHeight="1">
      <c r="A1418" s="104"/>
      <c r="B1418" s="104"/>
      <c r="C1418" s="104"/>
      <c r="D1418" s="110" t="s">
        <v>23</v>
      </c>
      <c r="G1418" s="104"/>
      <c r="H1418" s="104"/>
      <c r="I1418" s="104"/>
      <c r="J1418" s="111"/>
      <c r="K1418" s="111"/>
      <c r="L1418" s="105"/>
      <c r="M1418" s="106"/>
      <c r="N1418" s="105"/>
      <c r="O1418" s="111"/>
      <c r="P1418" s="111"/>
      <c r="Q1418" s="111"/>
      <c r="R1418" s="101"/>
      <c r="S1418" s="101"/>
      <c r="T1418" s="99"/>
      <c r="U1418" s="99"/>
      <c r="V1418" s="99"/>
      <c r="W1418" s="99"/>
      <c r="X1418" s="99"/>
      <c r="Y1418" s="99"/>
      <c r="Z1418" s="99"/>
      <c r="AA1418" s="99"/>
      <c r="AB1418" s="99"/>
      <c r="AC1418" s="99"/>
      <c r="AD1418" s="99"/>
      <c r="AE1418" s="99"/>
      <c r="AF1418" s="99"/>
      <c r="AG1418" s="99"/>
      <c r="AH1418" s="99"/>
      <c r="AI1418" s="99"/>
      <c r="AJ1418" s="99"/>
      <c r="AK1418" s="99"/>
      <c r="AL1418" s="99"/>
      <c r="AM1418" s="99"/>
    </row>
    <row r="1419" ht="12.75" customHeight="1">
      <c r="A1419" s="104"/>
      <c r="B1419" s="104"/>
      <c r="C1419" s="104"/>
      <c r="D1419" s="110" t="s">
        <v>24</v>
      </c>
      <c r="E1419" s="110" t="s">
        <v>128</v>
      </c>
      <c r="G1419" s="136">
        <v>88.0</v>
      </c>
      <c r="H1419" s="136" t="s">
        <v>233</v>
      </c>
      <c r="I1419" s="137">
        <v>110000.0</v>
      </c>
      <c r="J1419" s="46">
        <f t="shared" ref="J1419:J1423" si="1352">G1419*I1419</f>
        <v>9680000</v>
      </c>
      <c r="K1419" s="46"/>
      <c r="L1419" s="105"/>
      <c r="M1419" s="106"/>
      <c r="N1419" s="105"/>
      <c r="O1419" s="46">
        <f t="shared" ref="O1419:O1423" si="1353">J1419-K1419</f>
        <v>9680000</v>
      </c>
      <c r="P1419" s="46">
        <f t="shared" ref="P1419:P1423" si="1354">J1419-M1419</f>
        <v>9680000</v>
      </c>
      <c r="Q1419" s="46">
        <v>9680000.0</v>
      </c>
      <c r="R1419" s="101"/>
      <c r="S1419" s="101"/>
      <c r="T1419" s="99"/>
      <c r="U1419" s="99"/>
      <c r="V1419" s="99"/>
      <c r="W1419" s="99"/>
      <c r="X1419" s="99"/>
      <c r="Y1419" s="99"/>
      <c r="Z1419" s="99"/>
      <c r="AA1419" s="99"/>
      <c r="AB1419" s="99"/>
      <c r="AC1419" s="99"/>
      <c r="AD1419" s="99"/>
      <c r="AE1419" s="99"/>
      <c r="AF1419" s="99"/>
      <c r="AG1419" s="99"/>
      <c r="AH1419" s="99"/>
      <c r="AI1419" s="99"/>
      <c r="AJ1419" s="99"/>
      <c r="AK1419" s="99"/>
      <c r="AL1419" s="99"/>
      <c r="AM1419" s="99"/>
    </row>
    <row r="1420" ht="12.75" customHeight="1">
      <c r="A1420" s="104"/>
      <c r="B1420" s="104"/>
      <c r="C1420" s="104"/>
      <c r="D1420" s="110" t="s">
        <v>24</v>
      </c>
      <c r="E1420" s="110" t="s">
        <v>130</v>
      </c>
      <c r="G1420" s="136">
        <v>88.0</v>
      </c>
      <c r="H1420" s="136" t="s">
        <v>233</v>
      </c>
      <c r="I1420" s="137">
        <v>120000.0</v>
      </c>
      <c r="J1420" s="46">
        <f t="shared" si="1352"/>
        <v>10560000</v>
      </c>
      <c r="K1420" s="46"/>
      <c r="L1420" s="105"/>
      <c r="M1420" s="106"/>
      <c r="N1420" s="105"/>
      <c r="O1420" s="46">
        <f t="shared" si="1353"/>
        <v>10560000</v>
      </c>
      <c r="P1420" s="46">
        <f t="shared" si="1354"/>
        <v>10560000</v>
      </c>
      <c r="Q1420" s="46">
        <v>1.056E7</v>
      </c>
      <c r="R1420" s="101"/>
      <c r="S1420" s="101"/>
      <c r="T1420" s="99"/>
      <c r="U1420" s="99"/>
      <c r="V1420" s="99"/>
      <c r="W1420" s="99"/>
      <c r="X1420" s="99"/>
      <c r="Y1420" s="99"/>
      <c r="Z1420" s="99"/>
      <c r="AA1420" s="99"/>
      <c r="AB1420" s="99"/>
      <c r="AC1420" s="99"/>
      <c r="AD1420" s="99"/>
      <c r="AE1420" s="99"/>
      <c r="AF1420" s="99"/>
      <c r="AG1420" s="99"/>
      <c r="AH1420" s="99"/>
      <c r="AI1420" s="99"/>
      <c r="AJ1420" s="99"/>
      <c r="AK1420" s="99"/>
      <c r="AL1420" s="99"/>
      <c r="AM1420" s="99"/>
    </row>
    <row r="1421" ht="12.75" customHeight="1">
      <c r="A1421" s="104"/>
      <c r="B1421" s="104"/>
      <c r="C1421" s="104"/>
      <c r="D1421" s="110" t="s">
        <v>24</v>
      </c>
      <c r="E1421" s="110" t="s">
        <v>131</v>
      </c>
      <c r="G1421" s="136">
        <v>88.0</v>
      </c>
      <c r="H1421" s="136" t="s">
        <v>233</v>
      </c>
      <c r="I1421" s="137">
        <v>350000.0</v>
      </c>
      <c r="J1421" s="46">
        <f t="shared" si="1352"/>
        <v>30800000</v>
      </c>
      <c r="K1421" s="46"/>
      <c r="L1421" s="105"/>
      <c r="M1421" s="106"/>
      <c r="N1421" s="105"/>
      <c r="O1421" s="46">
        <f t="shared" si="1353"/>
        <v>30800000</v>
      </c>
      <c r="P1421" s="46">
        <f t="shared" si="1354"/>
        <v>30800000</v>
      </c>
      <c r="Q1421" s="46">
        <v>3.08E7</v>
      </c>
      <c r="R1421" s="101"/>
      <c r="S1421" s="101"/>
      <c r="T1421" s="99"/>
      <c r="U1421" s="99"/>
      <c r="V1421" s="99"/>
      <c r="W1421" s="99"/>
      <c r="X1421" s="99"/>
      <c r="Y1421" s="99"/>
      <c r="Z1421" s="99"/>
      <c r="AA1421" s="99"/>
      <c r="AB1421" s="99"/>
      <c r="AC1421" s="99"/>
      <c r="AD1421" s="99"/>
      <c r="AE1421" s="99"/>
      <c r="AF1421" s="99"/>
      <c r="AG1421" s="99"/>
      <c r="AH1421" s="99"/>
      <c r="AI1421" s="99"/>
      <c r="AJ1421" s="99"/>
      <c r="AK1421" s="99"/>
      <c r="AL1421" s="99"/>
      <c r="AM1421" s="99"/>
    </row>
    <row r="1422" ht="12.75" customHeight="1">
      <c r="A1422" s="104"/>
      <c r="B1422" s="104"/>
      <c r="C1422" s="104"/>
      <c r="D1422" s="110" t="s">
        <v>24</v>
      </c>
      <c r="E1422" s="110" t="s">
        <v>132</v>
      </c>
      <c r="G1422" s="136">
        <v>44.0</v>
      </c>
      <c r="H1422" s="136" t="s">
        <v>233</v>
      </c>
      <c r="I1422" s="137">
        <v>175000.0</v>
      </c>
      <c r="J1422" s="46">
        <f t="shared" si="1352"/>
        <v>7700000</v>
      </c>
      <c r="K1422" s="46"/>
      <c r="L1422" s="105"/>
      <c r="M1422" s="106"/>
      <c r="N1422" s="105"/>
      <c r="O1422" s="46">
        <f t="shared" si="1353"/>
        <v>7700000</v>
      </c>
      <c r="P1422" s="46">
        <f t="shared" si="1354"/>
        <v>7700000</v>
      </c>
      <c r="Q1422" s="46">
        <v>7700000.0</v>
      </c>
      <c r="R1422" s="101"/>
      <c r="S1422" s="101"/>
      <c r="T1422" s="99"/>
      <c r="U1422" s="99"/>
      <c r="V1422" s="99"/>
      <c r="W1422" s="99"/>
      <c r="X1422" s="99"/>
      <c r="Y1422" s="99"/>
      <c r="Z1422" s="99"/>
      <c r="AA1422" s="99"/>
      <c r="AB1422" s="99"/>
      <c r="AC1422" s="99"/>
      <c r="AD1422" s="99"/>
      <c r="AE1422" s="99"/>
      <c r="AF1422" s="99"/>
      <c r="AG1422" s="99"/>
      <c r="AH1422" s="99"/>
      <c r="AI1422" s="99"/>
      <c r="AJ1422" s="99"/>
      <c r="AK1422" s="99"/>
      <c r="AL1422" s="99"/>
      <c r="AM1422" s="99"/>
    </row>
    <row r="1423" ht="15.75" customHeight="1">
      <c r="A1423" s="104"/>
      <c r="B1423" s="104"/>
      <c r="C1423" s="104"/>
      <c r="D1423" s="110" t="s">
        <v>24</v>
      </c>
      <c r="E1423" s="110" t="s">
        <v>133</v>
      </c>
      <c r="G1423" s="136">
        <v>528.0</v>
      </c>
      <c r="H1423" s="136" t="s">
        <v>233</v>
      </c>
      <c r="I1423" s="137">
        <v>250000.0</v>
      </c>
      <c r="J1423" s="46">
        <f t="shared" si="1352"/>
        <v>132000000</v>
      </c>
      <c r="K1423" s="46"/>
      <c r="L1423" s="105"/>
      <c r="M1423" s="106"/>
      <c r="N1423" s="105"/>
      <c r="O1423" s="46">
        <f t="shared" si="1353"/>
        <v>132000000</v>
      </c>
      <c r="P1423" s="46">
        <f t="shared" si="1354"/>
        <v>132000000</v>
      </c>
      <c r="Q1423" s="46">
        <v>1.32E8</v>
      </c>
      <c r="R1423" s="101"/>
      <c r="S1423" s="101"/>
      <c r="T1423" s="99"/>
      <c r="U1423" s="99"/>
      <c r="V1423" s="99"/>
      <c r="W1423" s="99"/>
      <c r="X1423" s="99"/>
      <c r="Y1423" s="99"/>
      <c r="Z1423" s="99"/>
      <c r="AA1423" s="99"/>
      <c r="AB1423" s="99"/>
      <c r="AC1423" s="99"/>
      <c r="AD1423" s="99"/>
      <c r="AE1423" s="99"/>
      <c r="AF1423" s="99"/>
      <c r="AG1423" s="99"/>
      <c r="AH1423" s="99"/>
      <c r="AI1423" s="99"/>
      <c r="AJ1423" s="99"/>
      <c r="AK1423" s="99"/>
      <c r="AL1423" s="99"/>
      <c r="AM1423" s="99"/>
    </row>
    <row r="1424" ht="12.75" customHeight="1">
      <c r="A1424" s="144" t="s">
        <v>134</v>
      </c>
      <c r="D1424" s="144" t="s">
        <v>273</v>
      </c>
      <c r="G1424" s="104"/>
      <c r="H1424" s="128"/>
      <c r="I1424" s="104"/>
      <c r="J1424" s="129">
        <f t="shared" ref="J1424:K1424" si="1355">J1425</f>
        <v>29670000</v>
      </c>
      <c r="K1424" s="43">
        <f t="shared" si="1355"/>
        <v>0</v>
      </c>
      <c r="L1424" s="105"/>
      <c r="M1424" s="106"/>
      <c r="N1424" s="105"/>
      <c r="O1424" s="43">
        <f t="shared" ref="O1424:P1424" si="1356">O1425</f>
        <v>29670000</v>
      </c>
      <c r="P1424" s="43">
        <f t="shared" si="1356"/>
        <v>29670000</v>
      </c>
      <c r="Q1424" s="43">
        <v>2.967E7</v>
      </c>
      <c r="R1424" s="101"/>
      <c r="S1424" s="101"/>
      <c r="T1424" s="99"/>
      <c r="U1424" s="99"/>
      <c r="V1424" s="99"/>
      <c r="W1424" s="99"/>
      <c r="X1424" s="99"/>
      <c r="Y1424" s="99"/>
      <c r="Z1424" s="99"/>
      <c r="AA1424" s="99"/>
      <c r="AB1424" s="99"/>
      <c r="AC1424" s="99"/>
      <c r="AD1424" s="99"/>
      <c r="AE1424" s="99"/>
      <c r="AF1424" s="99"/>
      <c r="AG1424" s="99"/>
      <c r="AH1424" s="99"/>
      <c r="AI1424" s="99"/>
      <c r="AJ1424" s="99"/>
      <c r="AK1424" s="99"/>
      <c r="AL1424" s="99"/>
      <c r="AM1424" s="99"/>
    </row>
    <row r="1425" ht="12.75" customHeight="1">
      <c r="A1425" s="110" t="s">
        <v>68</v>
      </c>
      <c r="D1425" s="145" t="s">
        <v>69</v>
      </c>
      <c r="G1425" s="104"/>
      <c r="H1425" s="133"/>
      <c r="I1425" s="104"/>
      <c r="J1425" s="134">
        <f t="shared" ref="J1425:K1425" si="1357">SUM(J1427:J1431)</f>
        <v>29670000</v>
      </c>
      <c r="K1425" s="46">
        <f t="shared" si="1357"/>
        <v>0</v>
      </c>
      <c r="L1425" s="105"/>
      <c r="M1425" s="106"/>
      <c r="N1425" s="105"/>
      <c r="O1425" s="46">
        <f t="shared" ref="O1425:P1425" si="1358">SUM(O1427:O1431)</f>
        <v>29670000</v>
      </c>
      <c r="P1425" s="46">
        <f t="shared" si="1358"/>
        <v>29670000</v>
      </c>
      <c r="Q1425" s="46">
        <v>2.967E7</v>
      </c>
      <c r="R1425" s="101"/>
      <c r="S1425" s="101"/>
      <c r="T1425" s="99"/>
      <c r="U1425" s="99"/>
      <c r="V1425" s="99"/>
      <c r="W1425" s="99"/>
      <c r="X1425" s="99"/>
      <c r="Y1425" s="99"/>
      <c r="Z1425" s="99"/>
      <c r="AA1425" s="99"/>
      <c r="AB1425" s="99"/>
      <c r="AC1425" s="99"/>
      <c r="AD1425" s="99"/>
      <c r="AE1425" s="99"/>
      <c r="AF1425" s="99"/>
      <c r="AG1425" s="99"/>
      <c r="AH1425" s="99"/>
      <c r="AI1425" s="99"/>
      <c r="AJ1425" s="99"/>
      <c r="AK1425" s="99"/>
      <c r="AL1425" s="99"/>
      <c r="AM1425" s="99"/>
    </row>
    <row r="1426" ht="12.75" customHeight="1">
      <c r="A1426" s="104"/>
      <c r="B1426" s="104"/>
      <c r="C1426" s="104"/>
      <c r="D1426" s="110" t="s">
        <v>23</v>
      </c>
      <c r="G1426" s="104"/>
      <c r="H1426" s="104"/>
      <c r="I1426" s="104"/>
      <c r="J1426" s="111"/>
      <c r="K1426" s="111"/>
      <c r="L1426" s="105"/>
      <c r="M1426" s="106"/>
      <c r="N1426" s="105"/>
      <c r="O1426" s="111"/>
      <c r="P1426" s="111"/>
      <c r="Q1426" s="111"/>
      <c r="R1426" s="101"/>
      <c r="S1426" s="101"/>
      <c r="T1426" s="99"/>
      <c r="U1426" s="99"/>
      <c r="V1426" s="99"/>
      <c r="W1426" s="99"/>
      <c r="X1426" s="99"/>
      <c r="Y1426" s="99"/>
      <c r="Z1426" s="99"/>
      <c r="AA1426" s="99"/>
      <c r="AB1426" s="99"/>
      <c r="AC1426" s="99"/>
      <c r="AD1426" s="99"/>
      <c r="AE1426" s="99"/>
      <c r="AF1426" s="99"/>
      <c r="AG1426" s="99"/>
      <c r="AH1426" s="99"/>
      <c r="AI1426" s="99"/>
      <c r="AJ1426" s="99"/>
      <c r="AK1426" s="99"/>
      <c r="AL1426" s="99"/>
      <c r="AM1426" s="99"/>
    </row>
    <row r="1427" ht="12.75" customHeight="1">
      <c r="A1427" s="104"/>
      <c r="B1427" s="104"/>
      <c r="C1427" s="104"/>
      <c r="D1427" s="110" t="s">
        <v>24</v>
      </c>
      <c r="E1427" s="110" t="s">
        <v>274</v>
      </c>
      <c r="G1427" s="136">
        <v>225.0</v>
      </c>
      <c r="H1427" s="136" t="s">
        <v>95</v>
      </c>
      <c r="I1427" s="137">
        <v>75000.0</v>
      </c>
      <c r="J1427" s="46">
        <f t="shared" ref="J1427:J1431" si="1359">G1427*I1427</f>
        <v>16875000</v>
      </c>
      <c r="K1427" s="46"/>
      <c r="L1427" s="105"/>
      <c r="M1427" s="106"/>
      <c r="N1427" s="105"/>
      <c r="O1427" s="46">
        <f t="shared" ref="O1427:O1431" si="1360">J1427-K1427</f>
        <v>16875000</v>
      </c>
      <c r="P1427" s="46">
        <f t="shared" ref="P1427:P1431" si="1361">J1427-M1427</f>
        <v>16875000</v>
      </c>
      <c r="Q1427" s="46">
        <v>1.6875E7</v>
      </c>
      <c r="R1427" s="101"/>
      <c r="S1427" s="101"/>
      <c r="T1427" s="99"/>
      <c r="U1427" s="99"/>
      <c r="V1427" s="99"/>
      <c r="W1427" s="99"/>
      <c r="X1427" s="99"/>
      <c r="Y1427" s="99"/>
      <c r="Z1427" s="99"/>
      <c r="AA1427" s="99"/>
      <c r="AB1427" s="99"/>
      <c r="AC1427" s="99"/>
      <c r="AD1427" s="99"/>
      <c r="AE1427" s="99"/>
      <c r="AF1427" s="99"/>
      <c r="AG1427" s="99"/>
      <c r="AH1427" s="99"/>
      <c r="AI1427" s="99"/>
      <c r="AJ1427" s="99"/>
      <c r="AK1427" s="99"/>
      <c r="AL1427" s="99"/>
      <c r="AM1427" s="99"/>
    </row>
    <row r="1428" ht="12.75" customHeight="1">
      <c r="A1428" s="104"/>
      <c r="B1428" s="104"/>
      <c r="C1428" s="104"/>
      <c r="D1428" s="110" t="s">
        <v>24</v>
      </c>
      <c r="E1428" s="110" t="s">
        <v>137</v>
      </c>
      <c r="G1428" s="136">
        <v>2.0</v>
      </c>
      <c r="H1428" s="136" t="s">
        <v>95</v>
      </c>
      <c r="I1428" s="137">
        <v>360000.0</v>
      </c>
      <c r="J1428" s="46">
        <f t="shared" si="1359"/>
        <v>720000</v>
      </c>
      <c r="K1428" s="46"/>
      <c r="L1428" s="105"/>
      <c r="M1428" s="106"/>
      <c r="N1428" s="105"/>
      <c r="O1428" s="46">
        <f t="shared" si="1360"/>
        <v>720000</v>
      </c>
      <c r="P1428" s="46">
        <f t="shared" si="1361"/>
        <v>720000</v>
      </c>
      <c r="Q1428" s="46">
        <v>720000.0</v>
      </c>
      <c r="R1428" s="101"/>
      <c r="S1428" s="101"/>
      <c r="T1428" s="99"/>
      <c r="U1428" s="99"/>
      <c r="V1428" s="99"/>
      <c r="W1428" s="99"/>
      <c r="X1428" s="99"/>
      <c r="Y1428" s="99"/>
      <c r="Z1428" s="99"/>
      <c r="AA1428" s="99"/>
      <c r="AB1428" s="99"/>
      <c r="AC1428" s="99"/>
      <c r="AD1428" s="99"/>
      <c r="AE1428" s="99"/>
      <c r="AF1428" s="99"/>
      <c r="AG1428" s="99"/>
      <c r="AH1428" s="99"/>
      <c r="AI1428" s="99"/>
      <c r="AJ1428" s="99"/>
      <c r="AK1428" s="99"/>
      <c r="AL1428" s="99"/>
      <c r="AM1428" s="99"/>
    </row>
    <row r="1429" ht="15.75" customHeight="1">
      <c r="A1429" s="104"/>
      <c r="B1429" s="104"/>
      <c r="C1429" s="104"/>
      <c r="D1429" s="110" t="s">
        <v>24</v>
      </c>
      <c r="E1429" s="110" t="s">
        <v>275</v>
      </c>
      <c r="G1429" s="136">
        <v>75.0</v>
      </c>
      <c r="H1429" s="136" t="s">
        <v>95</v>
      </c>
      <c r="I1429" s="137">
        <v>93000.0</v>
      </c>
      <c r="J1429" s="46">
        <f t="shared" si="1359"/>
        <v>6975000</v>
      </c>
      <c r="K1429" s="46"/>
      <c r="L1429" s="105"/>
      <c r="M1429" s="106"/>
      <c r="N1429" s="105"/>
      <c r="O1429" s="46">
        <f t="shared" si="1360"/>
        <v>6975000</v>
      </c>
      <c r="P1429" s="46">
        <f t="shared" si="1361"/>
        <v>6975000</v>
      </c>
      <c r="Q1429" s="46">
        <v>6975000.0</v>
      </c>
      <c r="R1429" s="101"/>
      <c r="S1429" s="101"/>
      <c r="T1429" s="99"/>
      <c r="U1429" s="99"/>
      <c r="V1429" s="99"/>
      <c r="W1429" s="99"/>
      <c r="X1429" s="99"/>
      <c r="Y1429" s="99"/>
      <c r="Z1429" s="99"/>
      <c r="AA1429" s="99"/>
      <c r="AB1429" s="99"/>
      <c r="AC1429" s="99"/>
      <c r="AD1429" s="99"/>
      <c r="AE1429" s="99"/>
      <c r="AF1429" s="99"/>
      <c r="AG1429" s="99"/>
      <c r="AH1429" s="99"/>
      <c r="AI1429" s="99"/>
      <c r="AJ1429" s="99"/>
      <c r="AK1429" s="99"/>
      <c r="AL1429" s="99"/>
      <c r="AM1429" s="99"/>
    </row>
    <row r="1430" ht="12.75" customHeight="1">
      <c r="A1430" s="104"/>
      <c r="B1430" s="104"/>
      <c r="C1430" s="104"/>
      <c r="D1430" s="110" t="s">
        <v>24</v>
      </c>
      <c r="E1430" s="110" t="s">
        <v>276</v>
      </c>
      <c r="G1430" s="136">
        <v>75.0</v>
      </c>
      <c r="H1430" s="136" t="s">
        <v>95</v>
      </c>
      <c r="I1430" s="137">
        <v>53000.0</v>
      </c>
      <c r="J1430" s="46">
        <f t="shared" si="1359"/>
        <v>3975000</v>
      </c>
      <c r="K1430" s="46"/>
      <c r="L1430" s="105"/>
      <c r="M1430" s="106"/>
      <c r="N1430" s="105"/>
      <c r="O1430" s="46">
        <f t="shared" si="1360"/>
        <v>3975000</v>
      </c>
      <c r="P1430" s="46">
        <f t="shared" si="1361"/>
        <v>3975000</v>
      </c>
      <c r="Q1430" s="46">
        <v>3975000.0</v>
      </c>
      <c r="R1430" s="101"/>
      <c r="S1430" s="101"/>
      <c r="T1430" s="99"/>
      <c r="U1430" s="99"/>
      <c r="V1430" s="99"/>
      <c r="W1430" s="99"/>
      <c r="X1430" s="99"/>
      <c r="Y1430" s="99"/>
      <c r="Z1430" s="99"/>
      <c r="AA1430" s="99"/>
      <c r="AB1430" s="99"/>
      <c r="AC1430" s="99"/>
      <c r="AD1430" s="99"/>
      <c r="AE1430" s="99"/>
      <c r="AF1430" s="99"/>
      <c r="AG1430" s="99"/>
      <c r="AH1430" s="99"/>
      <c r="AI1430" s="99"/>
      <c r="AJ1430" s="99"/>
      <c r="AK1430" s="99"/>
      <c r="AL1430" s="99"/>
      <c r="AM1430" s="99"/>
    </row>
    <row r="1431" ht="12.75" customHeight="1">
      <c r="A1431" s="104"/>
      <c r="B1431" s="104"/>
      <c r="C1431" s="104"/>
      <c r="D1431" s="110" t="s">
        <v>24</v>
      </c>
      <c r="E1431" s="110" t="s">
        <v>277</v>
      </c>
      <c r="G1431" s="136">
        <v>75.0</v>
      </c>
      <c r="H1431" s="136" t="s">
        <v>95</v>
      </c>
      <c r="I1431" s="137">
        <v>15000.0</v>
      </c>
      <c r="J1431" s="46">
        <f t="shared" si="1359"/>
        <v>1125000</v>
      </c>
      <c r="K1431" s="46"/>
      <c r="L1431" s="105"/>
      <c r="M1431" s="106"/>
      <c r="N1431" s="105"/>
      <c r="O1431" s="46">
        <f t="shared" si="1360"/>
        <v>1125000</v>
      </c>
      <c r="P1431" s="46">
        <f t="shared" si="1361"/>
        <v>1125000</v>
      </c>
      <c r="Q1431" s="46">
        <v>1125000.0</v>
      </c>
      <c r="R1431" s="101"/>
      <c r="S1431" s="101"/>
      <c r="T1431" s="99"/>
      <c r="U1431" s="99"/>
      <c r="V1431" s="99"/>
      <c r="W1431" s="99"/>
      <c r="X1431" s="99"/>
      <c r="Y1431" s="99"/>
      <c r="Z1431" s="99"/>
      <c r="AA1431" s="99"/>
      <c r="AB1431" s="99"/>
      <c r="AC1431" s="99"/>
      <c r="AD1431" s="99"/>
      <c r="AE1431" s="99"/>
      <c r="AF1431" s="99"/>
      <c r="AG1431" s="99"/>
      <c r="AH1431" s="99"/>
      <c r="AI1431" s="99"/>
      <c r="AJ1431" s="99"/>
      <c r="AK1431" s="99"/>
      <c r="AL1431" s="99"/>
      <c r="AM1431" s="99"/>
    </row>
    <row r="1432" ht="12.75" customHeight="1">
      <c r="A1432" s="144" t="s">
        <v>141</v>
      </c>
      <c r="D1432" s="144" t="s">
        <v>142</v>
      </c>
      <c r="G1432" s="104"/>
      <c r="H1432" s="128"/>
      <c r="I1432" s="104"/>
      <c r="J1432" s="129">
        <f t="shared" ref="J1432:K1432" si="1362">J1433</f>
        <v>214250000</v>
      </c>
      <c r="K1432" s="43">
        <f t="shared" si="1362"/>
        <v>0</v>
      </c>
      <c r="L1432" s="105"/>
      <c r="M1432" s="106"/>
      <c r="N1432" s="105"/>
      <c r="O1432" s="43">
        <f t="shared" ref="O1432:P1432" si="1363">O1433</f>
        <v>214250000</v>
      </c>
      <c r="P1432" s="43">
        <f t="shared" si="1363"/>
        <v>214250000</v>
      </c>
      <c r="Q1432" s="43">
        <v>2.1425E8</v>
      </c>
      <c r="R1432" s="101"/>
      <c r="S1432" s="101"/>
      <c r="T1432" s="99"/>
      <c r="U1432" s="99"/>
      <c r="V1432" s="99"/>
      <c r="W1432" s="99"/>
      <c r="X1432" s="99"/>
      <c r="Y1432" s="99"/>
      <c r="Z1432" s="99"/>
      <c r="AA1432" s="99"/>
      <c r="AB1432" s="99"/>
      <c r="AC1432" s="99"/>
      <c r="AD1432" s="99"/>
      <c r="AE1432" s="99"/>
      <c r="AF1432" s="99"/>
      <c r="AG1432" s="99"/>
      <c r="AH1432" s="99"/>
      <c r="AI1432" s="99"/>
      <c r="AJ1432" s="99"/>
      <c r="AK1432" s="99"/>
      <c r="AL1432" s="99"/>
      <c r="AM1432" s="99"/>
    </row>
    <row r="1433" ht="12.75" customHeight="1">
      <c r="A1433" s="110" t="s">
        <v>68</v>
      </c>
      <c r="D1433" s="145" t="s">
        <v>69</v>
      </c>
      <c r="G1433" s="104"/>
      <c r="H1433" s="133"/>
      <c r="I1433" s="104"/>
      <c r="J1433" s="134">
        <f t="shared" ref="J1433:K1433" si="1364">SUM(J1435:J1437)</f>
        <v>214250000</v>
      </c>
      <c r="K1433" s="46">
        <f t="shared" si="1364"/>
        <v>0</v>
      </c>
      <c r="L1433" s="105"/>
      <c r="M1433" s="106"/>
      <c r="N1433" s="105"/>
      <c r="O1433" s="46">
        <f t="shared" ref="O1433:P1433" si="1365">SUM(O1435:O1437)</f>
        <v>214250000</v>
      </c>
      <c r="P1433" s="46">
        <f t="shared" si="1365"/>
        <v>214250000</v>
      </c>
      <c r="Q1433" s="46">
        <v>2.1425E8</v>
      </c>
      <c r="R1433" s="101"/>
      <c r="S1433" s="101"/>
      <c r="T1433" s="99"/>
      <c r="U1433" s="99"/>
      <c r="V1433" s="99"/>
      <c r="W1433" s="99"/>
      <c r="X1433" s="99"/>
      <c r="Y1433" s="99"/>
      <c r="Z1433" s="99"/>
      <c r="AA1433" s="99"/>
      <c r="AB1433" s="99"/>
      <c r="AC1433" s="99"/>
      <c r="AD1433" s="99"/>
      <c r="AE1433" s="99"/>
      <c r="AF1433" s="99"/>
      <c r="AG1433" s="99"/>
      <c r="AH1433" s="99"/>
      <c r="AI1433" s="99"/>
      <c r="AJ1433" s="99"/>
      <c r="AK1433" s="99"/>
      <c r="AL1433" s="99"/>
      <c r="AM1433" s="99"/>
    </row>
    <row r="1434" ht="12.75" customHeight="1">
      <c r="A1434" s="104"/>
      <c r="B1434" s="104"/>
      <c r="C1434" s="104"/>
      <c r="D1434" s="110" t="s">
        <v>23</v>
      </c>
      <c r="G1434" s="104"/>
      <c r="H1434" s="104"/>
      <c r="I1434" s="104"/>
      <c r="J1434" s="111"/>
      <c r="K1434" s="111"/>
      <c r="L1434" s="105"/>
      <c r="M1434" s="106"/>
      <c r="N1434" s="105"/>
      <c r="O1434" s="111"/>
      <c r="P1434" s="111"/>
      <c r="Q1434" s="111"/>
      <c r="R1434" s="101"/>
      <c r="S1434" s="101"/>
      <c r="T1434" s="99"/>
      <c r="U1434" s="99"/>
      <c r="V1434" s="99"/>
      <c r="W1434" s="99"/>
      <c r="X1434" s="99"/>
      <c r="Y1434" s="99"/>
      <c r="Z1434" s="99"/>
      <c r="AA1434" s="99"/>
      <c r="AB1434" s="99"/>
      <c r="AC1434" s="99"/>
      <c r="AD1434" s="99"/>
      <c r="AE1434" s="99"/>
      <c r="AF1434" s="99"/>
      <c r="AG1434" s="99"/>
      <c r="AH1434" s="99"/>
      <c r="AI1434" s="99"/>
      <c r="AJ1434" s="99"/>
      <c r="AK1434" s="99"/>
      <c r="AL1434" s="99"/>
      <c r="AM1434" s="99"/>
    </row>
    <row r="1435" ht="15.75" customHeight="1">
      <c r="A1435" s="104"/>
      <c r="B1435" s="104"/>
      <c r="C1435" s="104"/>
      <c r="D1435" s="110" t="s">
        <v>24</v>
      </c>
      <c r="E1435" s="110" t="s">
        <v>278</v>
      </c>
      <c r="G1435" s="136">
        <v>75.0</v>
      </c>
      <c r="H1435" s="136" t="s">
        <v>95</v>
      </c>
      <c r="I1435" s="137">
        <v>2000000.0</v>
      </c>
      <c r="J1435" s="46">
        <f t="shared" ref="J1435:J1437" si="1366">G1435*I1435</f>
        <v>150000000</v>
      </c>
      <c r="K1435" s="46"/>
      <c r="L1435" s="105"/>
      <c r="M1435" s="106"/>
      <c r="N1435" s="105"/>
      <c r="O1435" s="46">
        <f t="shared" ref="O1435:O1437" si="1367">J1435-K1435</f>
        <v>150000000</v>
      </c>
      <c r="P1435" s="46">
        <f t="shared" ref="P1435:P1437" si="1368">J1435-M1435</f>
        <v>150000000</v>
      </c>
      <c r="Q1435" s="46">
        <v>1.5E8</v>
      </c>
      <c r="R1435" s="101"/>
      <c r="S1435" s="101"/>
      <c r="T1435" s="99"/>
      <c r="U1435" s="99"/>
      <c r="V1435" s="99"/>
      <c r="W1435" s="99"/>
      <c r="X1435" s="99"/>
      <c r="Y1435" s="99"/>
      <c r="Z1435" s="99"/>
      <c r="AA1435" s="99"/>
      <c r="AB1435" s="99"/>
      <c r="AC1435" s="99"/>
      <c r="AD1435" s="99"/>
      <c r="AE1435" s="99"/>
      <c r="AF1435" s="99"/>
      <c r="AG1435" s="99"/>
      <c r="AH1435" s="99"/>
      <c r="AI1435" s="99"/>
      <c r="AJ1435" s="99"/>
      <c r="AK1435" s="99"/>
      <c r="AL1435" s="99"/>
      <c r="AM1435" s="99"/>
    </row>
    <row r="1436" ht="15.75" customHeight="1">
      <c r="A1436" s="104"/>
      <c r="B1436" s="104"/>
      <c r="C1436" s="104"/>
      <c r="D1436" s="110" t="s">
        <v>24</v>
      </c>
      <c r="E1436" s="110" t="s">
        <v>279</v>
      </c>
      <c r="G1436" s="136">
        <v>75.0</v>
      </c>
      <c r="H1436" s="136" t="s">
        <v>95</v>
      </c>
      <c r="I1436" s="137">
        <v>750000.0</v>
      </c>
      <c r="J1436" s="46">
        <f t="shared" si="1366"/>
        <v>56250000</v>
      </c>
      <c r="K1436" s="46"/>
      <c r="L1436" s="105"/>
      <c r="M1436" s="106"/>
      <c r="N1436" s="105"/>
      <c r="O1436" s="46">
        <f t="shared" si="1367"/>
        <v>56250000</v>
      </c>
      <c r="P1436" s="46">
        <f t="shared" si="1368"/>
        <v>56250000</v>
      </c>
      <c r="Q1436" s="46">
        <v>5.625E7</v>
      </c>
      <c r="R1436" s="101"/>
      <c r="S1436" s="101"/>
      <c r="T1436" s="99"/>
      <c r="U1436" s="99"/>
      <c r="V1436" s="99"/>
      <c r="W1436" s="99"/>
      <c r="X1436" s="99"/>
      <c r="Y1436" s="99"/>
      <c r="Z1436" s="99"/>
      <c r="AA1436" s="99"/>
      <c r="AB1436" s="99"/>
      <c r="AC1436" s="99"/>
      <c r="AD1436" s="99"/>
      <c r="AE1436" s="99"/>
      <c r="AF1436" s="99"/>
      <c r="AG1436" s="99"/>
      <c r="AH1436" s="99"/>
      <c r="AI1436" s="99"/>
      <c r="AJ1436" s="99"/>
      <c r="AK1436" s="99"/>
      <c r="AL1436" s="99"/>
      <c r="AM1436" s="99"/>
    </row>
    <row r="1437" ht="15.75" customHeight="1">
      <c r="A1437" s="104"/>
      <c r="B1437" s="104"/>
      <c r="C1437" s="104"/>
      <c r="D1437" s="110" t="s">
        <v>24</v>
      </c>
      <c r="E1437" s="110" t="s">
        <v>145</v>
      </c>
      <c r="G1437" s="136">
        <v>4.0</v>
      </c>
      <c r="H1437" s="136" t="s">
        <v>95</v>
      </c>
      <c r="I1437" s="137">
        <v>2000000.0</v>
      </c>
      <c r="J1437" s="46">
        <f t="shared" si="1366"/>
        <v>8000000</v>
      </c>
      <c r="K1437" s="46"/>
      <c r="L1437" s="105"/>
      <c r="M1437" s="106"/>
      <c r="N1437" s="105"/>
      <c r="O1437" s="46">
        <f t="shared" si="1367"/>
        <v>8000000</v>
      </c>
      <c r="P1437" s="46">
        <f t="shared" si="1368"/>
        <v>8000000</v>
      </c>
      <c r="Q1437" s="46">
        <v>8000000.0</v>
      </c>
      <c r="R1437" s="101"/>
      <c r="S1437" s="101"/>
      <c r="T1437" s="99"/>
      <c r="U1437" s="99"/>
      <c r="V1437" s="99"/>
      <c r="W1437" s="99"/>
      <c r="X1437" s="99"/>
      <c r="Y1437" s="99"/>
      <c r="Z1437" s="99"/>
      <c r="AA1437" s="99"/>
      <c r="AB1437" s="99"/>
      <c r="AC1437" s="99"/>
      <c r="AD1437" s="99"/>
      <c r="AE1437" s="99"/>
      <c r="AF1437" s="99"/>
      <c r="AG1437" s="99"/>
      <c r="AH1437" s="99"/>
      <c r="AI1437" s="99"/>
      <c r="AJ1437" s="99"/>
      <c r="AK1437" s="99"/>
      <c r="AL1437" s="99"/>
      <c r="AM1437" s="99"/>
    </row>
    <row r="1438" ht="12.75" customHeight="1">
      <c r="A1438" s="144" t="s">
        <v>146</v>
      </c>
      <c r="D1438" s="144" t="s">
        <v>147</v>
      </c>
      <c r="G1438" s="104"/>
      <c r="H1438" s="128"/>
      <c r="I1438" s="104"/>
      <c r="J1438" s="129">
        <f t="shared" ref="J1438:K1438" si="1369">J1439+J1446</f>
        <v>257280000</v>
      </c>
      <c r="K1438" s="43">
        <f t="shared" si="1369"/>
        <v>0</v>
      </c>
      <c r="L1438" s="105"/>
      <c r="M1438" s="106"/>
      <c r="N1438" s="105"/>
      <c r="O1438" s="43">
        <f t="shared" ref="O1438:P1438" si="1370">O1439+O1446</f>
        <v>257280000</v>
      </c>
      <c r="P1438" s="43">
        <f t="shared" si="1370"/>
        <v>257280000</v>
      </c>
      <c r="Q1438" s="43">
        <v>2.5728E8</v>
      </c>
      <c r="R1438" s="101"/>
      <c r="S1438" s="101"/>
      <c r="T1438" s="99"/>
      <c r="U1438" s="99"/>
      <c r="V1438" s="99"/>
      <c r="W1438" s="99"/>
      <c r="X1438" s="99"/>
      <c r="Y1438" s="99"/>
      <c r="Z1438" s="99"/>
      <c r="AA1438" s="99"/>
      <c r="AB1438" s="99"/>
      <c r="AC1438" s="99"/>
      <c r="AD1438" s="99"/>
      <c r="AE1438" s="99"/>
      <c r="AF1438" s="99"/>
      <c r="AG1438" s="99"/>
      <c r="AH1438" s="99"/>
      <c r="AI1438" s="99"/>
      <c r="AJ1438" s="99"/>
      <c r="AK1438" s="99"/>
      <c r="AL1438" s="99"/>
      <c r="AM1438" s="99"/>
    </row>
    <row r="1439" ht="12.75" customHeight="1">
      <c r="A1439" s="110" t="s">
        <v>74</v>
      </c>
      <c r="D1439" s="145" t="s">
        <v>75</v>
      </c>
      <c r="G1439" s="104"/>
      <c r="H1439" s="133"/>
      <c r="I1439" s="104"/>
      <c r="J1439" s="134">
        <f t="shared" ref="J1439:K1439" si="1371">SUM(J1441:J1445)</f>
        <v>233280000</v>
      </c>
      <c r="K1439" s="46">
        <f t="shared" si="1371"/>
        <v>0</v>
      </c>
      <c r="L1439" s="105"/>
      <c r="M1439" s="106"/>
      <c r="N1439" s="105"/>
      <c r="O1439" s="46">
        <f t="shared" ref="O1439:P1439" si="1372">SUM(O1441:O1445)</f>
        <v>233280000</v>
      </c>
      <c r="P1439" s="46">
        <f t="shared" si="1372"/>
        <v>233280000</v>
      </c>
      <c r="Q1439" s="46">
        <v>2.3328E8</v>
      </c>
      <c r="R1439" s="101"/>
      <c r="S1439" s="101"/>
      <c r="T1439" s="99"/>
      <c r="U1439" s="99"/>
      <c r="V1439" s="99"/>
      <c r="W1439" s="99"/>
      <c r="X1439" s="99"/>
      <c r="Y1439" s="99"/>
      <c r="Z1439" s="99"/>
      <c r="AA1439" s="99"/>
      <c r="AB1439" s="99"/>
      <c r="AC1439" s="99"/>
      <c r="AD1439" s="99"/>
      <c r="AE1439" s="99"/>
      <c r="AF1439" s="99"/>
      <c r="AG1439" s="99"/>
      <c r="AH1439" s="99"/>
      <c r="AI1439" s="99"/>
      <c r="AJ1439" s="99"/>
      <c r="AK1439" s="99"/>
      <c r="AL1439" s="99"/>
      <c r="AM1439" s="99"/>
    </row>
    <row r="1440" ht="12.75" customHeight="1">
      <c r="A1440" s="104"/>
      <c r="B1440" s="104"/>
      <c r="C1440" s="104"/>
      <c r="D1440" s="110" t="s">
        <v>23</v>
      </c>
      <c r="G1440" s="104"/>
      <c r="H1440" s="104"/>
      <c r="I1440" s="104"/>
      <c r="J1440" s="111"/>
      <c r="K1440" s="111"/>
      <c r="L1440" s="105"/>
      <c r="M1440" s="106"/>
      <c r="N1440" s="105"/>
      <c r="O1440" s="111"/>
      <c r="P1440" s="111"/>
      <c r="Q1440" s="111"/>
      <c r="R1440" s="101"/>
      <c r="S1440" s="101"/>
      <c r="T1440" s="99"/>
      <c r="U1440" s="99"/>
      <c r="V1440" s="99"/>
      <c r="W1440" s="99"/>
      <c r="X1440" s="99"/>
      <c r="Y1440" s="99"/>
      <c r="Z1440" s="99"/>
      <c r="AA1440" s="99"/>
      <c r="AB1440" s="99"/>
      <c r="AC1440" s="99"/>
      <c r="AD1440" s="99"/>
      <c r="AE1440" s="99"/>
      <c r="AF1440" s="99"/>
      <c r="AG1440" s="99"/>
      <c r="AH1440" s="99"/>
      <c r="AI1440" s="99"/>
      <c r="AJ1440" s="99"/>
      <c r="AK1440" s="99"/>
      <c r="AL1440" s="99"/>
      <c r="AM1440" s="99"/>
    </row>
    <row r="1441" ht="12.75" customHeight="1">
      <c r="A1441" s="104"/>
      <c r="B1441" s="104"/>
      <c r="C1441" s="104"/>
      <c r="D1441" s="110" t="s">
        <v>24</v>
      </c>
      <c r="E1441" s="110" t="s">
        <v>291</v>
      </c>
      <c r="G1441" s="136">
        <v>75.0</v>
      </c>
      <c r="H1441" s="136" t="s">
        <v>95</v>
      </c>
      <c r="I1441" s="137">
        <v>430000.0</v>
      </c>
      <c r="J1441" s="46">
        <f t="shared" ref="J1441:J1445" si="1373">G1441*I1441</f>
        <v>32250000</v>
      </c>
      <c r="K1441" s="46"/>
      <c r="L1441" s="105"/>
      <c r="M1441" s="106"/>
      <c r="N1441" s="105"/>
      <c r="O1441" s="46">
        <f t="shared" ref="O1441:O1445" si="1374">J1441-K1441</f>
        <v>32250000</v>
      </c>
      <c r="P1441" s="46">
        <f t="shared" ref="P1441:P1445" si="1375">J1441-M1441</f>
        <v>32250000</v>
      </c>
      <c r="Q1441" s="46">
        <v>3.225E7</v>
      </c>
      <c r="R1441" s="101"/>
      <c r="S1441" s="101"/>
      <c r="T1441" s="99"/>
      <c r="U1441" s="99"/>
      <c r="V1441" s="99"/>
      <c r="W1441" s="99"/>
      <c r="X1441" s="99"/>
      <c r="Y1441" s="99"/>
      <c r="Z1441" s="99"/>
      <c r="AA1441" s="99"/>
      <c r="AB1441" s="99"/>
      <c r="AC1441" s="99"/>
      <c r="AD1441" s="99"/>
      <c r="AE1441" s="99"/>
      <c r="AF1441" s="99"/>
      <c r="AG1441" s="99"/>
      <c r="AH1441" s="99"/>
      <c r="AI1441" s="99"/>
      <c r="AJ1441" s="99"/>
      <c r="AK1441" s="99"/>
      <c r="AL1441" s="99"/>
      <c r="AM1441" s="99"/>
    </row>
    <row r="1442" ht="15.75" customHeight="1">
      <c r="A1442" s="104"/>
      <c r="B1442" s="104"/>
      <c r="C1442" s="104"/>
      <c r="D1442" s="110" t="s">
        <v>24</v>
      </c>
      <c r="E1442" s="110" t="s">
        <v>292</v>
      </c>
      <c r="G1442" s="136">
        <v>50.0</v>
      </c>
      <c r="H1442" s="136" t="s">
        <v>95</v>
      </c>
      <c r="I1442" s="137">
        <v>670000.0</v>
      </c>
      <c r="J1442" s="46">
        <f t="shared" si="1373"/>
        <v>33500000</v>
      </c>
      <c r="K1442" s="46"/>
      <c r="L1442" s="105"/>
      <c r="M1442" s="106"/>
      <c r="N1442" s="105"/>
      <c r="O1442" s="46">
        <f t="shared" si="1374"/>
        <v>33500000</v>
      </c>
      <c r="P1442" s="46">
        <f t="shared" si="1375"/>
        <v>33500000</v>
      </c>
      <c r="Q1442" s="46">
        <v>3.35E7</v>
      </c>
      <c r="R1442" s="101"/>
      <c r="S1442" s="101"/>
      <c r="T1442" s="99"/>
      <c r="U1442" s="99"/>
      <c r="V1442" s="99"/>
      <c r="W1442" s="99"/>
      <c r="X1442" s="99"/>
      <c r="Y1442" s="99"/>
      <c r="Z1442" s="99"/>
      <c r="AA1442" s="99"/>
      <c r="AB1442" s="99"/>
      <c r="AC1442" s="99"/>
      <c r="AD1442" s="99"/>
      <c r="AE1442" s="99"/>
      <c r="AF1442" s="99"/>
      <c r="AG1442" s="99"/>
      <c r="AH1442" s="99"/>
      <c r="AI1442" s="99"/>
      <c r="AJ1442" s="99"/>
      <c r="AK1442" s="99"/>
      <c r="AL1442" s="99"/>
      <c r="AM1442" s="99"/>
    </row>
    <row r="1443" ht="12.75" customHeight="1">
      <c r="A1443" s="104"/>
      <c r="B1443" s="104"/>
      <c r="C1443" s="104"/>
      <c r="D1443" s="110" t="s">
        <v>24</v>
      </c>
      <c r="E1443" s="110" t="s">
        <v>293</v>
      </c>
      <c r="G1443" s="136">
        <v>25.0</v>
      </c>
      <c r="H1443" s="136" t="s">
        <v>95</v>
      </c>
      <c r="I1443" s="137">
        <v>821200.0</v>
      </c>
      <c r="J1443" s="46">
        <f t="shared" si="1373"/>
        <v>20530000</v>
      </c>
      <c r="K1443" s="46"/>
      <c r="L1443" s="105"/>
      <c r="M1443" s="106"/>
      <c r="N1443" s="105"/>
      <c r="O1443" s="46">
        <f t="shared" si="1374"/>
        <v>20530000</v>
      </c>
      <c r="P1443" s="46">
        <f t="shared" si="1375"/>
        <v>20530000</v>
      </c>
      <c r="Q1443" s="46">
        <v>2.053E7</v>
      </c>
      <c r="R1443" s="101"/>
      <c r="S1443" s="101"/>
      <c r="T1443" s="99"/>
      <c r="U1443" s="99"/>
      <c r="V1443" s="99"/>
      <c r="W1443" s="99"/>
      <c r="X1443" s="99"/>
      <c r="Y1443" s="99"/>
      <c r="Z1443" s="99"/>
      <c r="AA1443" s="99"/>
      <c r="AB1443" s="99"/>
      <c r="AC1443" s="99"/>
      <c r="AD1443" s="99"/>
      <c r="AE1443" s="99"/>
      <c r="AF1443" s="99"/>
      <c r="AG1443" s="99"/>
      <c r="AH1443" s="99"/>
      <c r="AI1443" s="99"/>
      <c r="AJ1443" s="99"/>
      <c r="AK1443" s="99"/>
      <c r="AL1443" s="99"/>
      <c r="AM1443" s="99"/>
    </row>
    <row r="1444" ht="15.75" customHeight="1">
      <c r="A1444" s="104"/>
      <c r="B1444" s="104"/>
      <c r="C1444" s="104"/>
      <c r="D1444" s="110" t="s">
        <v>24</v>
      </c>
      <c r="E1444" s="110" t="s">
        <v>350</v>
      </c>
      <c r="G1444" s="136">
        <v>150.0</v>
      </c>
      <c r="H1444" s="136" t="s">
        <v>95</v>
      </c>
      <c r="I1444" s="137">
        <v>500000.0</v>
      </c>
      <c r="J1444" s="46">
        <f t="shared" si="1373"/>
        <v>75000000</v>
      </c>
      <c r="K1444" s="46"/>
      <c r="L1444" s="105"/>
      <c r="M1444" s="106"/>
      <c r="N1444" s="105"/>
      <c r="O1444" s="46">
        <f t="shared" si="1374"/>
        <v>75000000</v>
      </c>
      <c r="P1444" s="46">
        <f t="shared" si="1375"/>
        <v>75000000</v>
      </c>
      <c r="Q1444" s="46">
        <v>7.5E7</v>
      </c>
      <c r="R1444" s="101"/>
      <c r="S1444" s="101"/>
      <c r="T1444" s="99"/>
      <c r="U1444" s="99"/>
      <c r="V1444" s="99"/>
      <c r="W1444" s="99"/>
      <c r="X1444" s="99"/>
      <c r="Y1444" s="99"/>
      <c r="Z1444" s="99"/>
      <c r="AA1444" s="99"/>
      <c r="AB1444" s="99"/>
      <c r="AC1444" s="99"/>
      <c r="AD1444" s="99"/>
      <c r="AE1444" s="99"/>
      <c r="AF1444" s="99"/>
      <c r="AG1444" s="99"/>
      <c r="AH1444" s="99"/>
      <c r="AI1444" s="99"/>
      <c r="AJ1444" s="99"/>
      <c r="AK1444" s="99"/>
      <c r="AL1444" s="99"/>
      <c r="AM1444" s="99"/>
    </row>
    <row r="1445" ht="15.75" customHeight="1">
      <c r="A1445" s="104"/>
      <c r="B1445" s="104"/>
      <c r="C1445" s="104"/>
      <c r="D1445" s="110" t="s">
        <v>24</v>
      </c>
      <c r="E1445" s="110" t="s">
        <v>351</v>
      </c>
      <c r="G1445" s="136">
        <v>225.0</v>
      </c>
      <c r="H1445" s="136" t="s">
        <v>95</v>
      </c>
      <c r="I1445" s="137">
        <v>320000.0</v>
      </c>
      <c r="J1445" s="46">
        <f t="shared" si="1373"/>
        <v>72000000</v>
      </c>
      <c r="K1445" s="46"/>
      <c r="L1445" s="105"/>
      <c r="M1445" s="106"/>
      <c r="N1445" s="105"/>
      <c r="O1445" s="46">
        <f t="shared" si="1374"/>
        <v>72000000</v>
      </c>
      <c r="P1445" s="46">
        <f t="shared" si="1375"/>
        <v>72000000</v>
      </c>
      <c r="Q1445" s="46">
        <v>7.2E7</v>
      </c>
      <c r="R1445" s="101"/>
      <c r="S1445" s="101"/>
      <c r="T1445" s="99"/>
      <c r="U1445" s="99"/>
      <c r="V1445" s="99"/>
      <c r="W1445" s="99"/>
      <c r="X1445" s="99"/>
      <c r="Y1445" s="99"/>
      <c r="Z1445" s="99"/>
      <c r="AA1445" s="99"/>
      <c r="AB1445" s="99"/>
      <c r="AC1445" s="99"/>
      <c r="AD1445" s="99"/>
      <c r="AE1445" s="99"/>
      <c r="AF1445" s="99"/>
      <c r="AG1445" s="99"/>
      <c r="AH1445" s="99"/>
      <c r="AI1445" s="99"/>
      <c r="AJ1445" s="99"/>
      <c r="AK1445" s="99"/>
      <c r="AL1445" s="99"/>
      <c r="AM1445" s="99"/>
    </row>
    <row r="1446" ht="12.75" customHeight="1">
      <c r="A1446" s="110" t="s">
        <v>79</v>
      </c>
      <c r="D1446" s="145" t="s">
        <v>80</v>
      </c>
      <c r="G1446" s="104"/>
      <c r="H1446" s="133"/>
      <c r="I1446" s="104"/>
      <c r="J1446" s="134">
        <f t="shared" ref="J1446:K1446" si="1376">J1448</f>
        <v>24000000</v>
      </c>
      <c r="K1446" s="46" t="str">
        <f t="shared" si="1376"/>
        <v/>
      </c>
      <c r="L1446" s="105"/>
      <c r="M1446" s="106"/>
      <c r="N1446" s="105"/>
      <c r="O1446" s="46">
        <f t="shared" ref="O1446:P1446" si="1377">O1448</f>
        <v>24000000</v>
      </c>
      <c r="P1446" s="46">
        <f t="shared" si="1377"/>
        <v>24000000</v>
      </c>
      <c r="Q1446" s="46">
        <v>2.4E7</v>
      </c>
      <c r="R1446" s="101"/>
      <c r="S1446" s="101"/>
      <c r="T1446" s="99"/>
      <c r="U1446" s="99"/>
      <c r="V1446" s="99"/>
      <c r="W1446" s="99"/>
      <c r="X1446" s="99"/>
      <c r="Y1446" s="99"/>
      <c r="Z1446" s="99"/>
      <c r="AA1446" s="99"/>
      <c r="AB1446" s="99"/>
      <c r="AC1446" s="99"/>
      <c r="AD1446" s="99"/>
      <c r="AE1446" s="99"/>
      <c r="AF1446" s="99"/>
      <c r="AG1446" s="99"/>
      <c r="AH1446" s="99"/>
      <c r="AI1446" s="99"/>
      <c r="AJ1446" s="99"/>
      <c r="AK1446" s="99"/>
      <c r="AL1446" s="99"/>
      <c r="AM1446" s="99"/>
    </row>
    <row r="1447" ht="12.75" customHeight="1">
      <c r="A1447" s="104"/>
      <c r="B1447" s="104"/>
      <c r="C1447" s="104"/>
      <c r="D1447" s="110" t="s">
        <v>23</v>
      </c>
      <c r="G1447" s="104"/>
      <c r="H1447" s="104"/>
      <c r="I1447" s="104"/>
      <c r="J1447" s="111"/>
      <c r="K1447" s="111"/>
      <c r="L1447" s="105"/>
      <c r="M1447" s="106"/>
      <c r="N1447" s="105"/>
      <c r="O1447" s="111"/>
      <c r="P1447" s="111"/>
      <c r="Q1447" s="111"/>
      <c r="R1447" s="101"/>
      <c r="S1447" s="101"/>
      <c r="T1447" s="99"/>
      <c r="U1447" s="99"/>
      <c r="V1447" s="99"/>
      <c r="W1447" s="99"/>
      <c r="X1447" s="99"/>
      <c r="Y1447" s="99"/>
      <c r="Z1447" s="99"/>
      <c r="AA1447" s="99"/>
      <c r="AB1447" s="99"/>
      <c r="AC1447" s="99"/>
      <c r="AD1447" s="99"/>
      <c r="AE1447" s="99"/>
      <c r="AF1447" s="99"/>
      <c r="AG1447" s="99"/>
      <c r="AH1447" s="99"/>
      <c r="AI1447" s="99"/>
      <c r="AJ1447" s="99"/>
      <c r="AK1447" s="99"/>
      <c r="AL1447" s="99"/>
      <c r="AM1447" s="99"/>
    </row>
    <row r="1448" ht="12.75" customHeight="1">
      <c r="A1448" s="104"/>
      <c r="B1448" s="104"/>
      <c r="C1448" s="104"/>
      <c r="D1448" s="110" t="s">
        <v>24</v>
      </c>
      <c r="E1448" s="110" t="s">
        <v>296</v>
      </c>
      <c r="G1448" s="136">
        <v>160.0</v>
      </c>
      <c r="H1448" s="136" t="s">
        <v>95</v>
      </c>
      <c r="I1448" s="137">
        <v>150000.0</v>
      </c>
      <c r="J1448" s="46">
        <f>G1448*I1448</f>
        <v>24000000</v>
      </c>
      <c r="K1448" s="46"/>
      <c r="L1448" s="105"/>
      <c r="M1448" s="106"/>
      <c r="N1448" s="105"/>
      <c r="O1448" s="46">
        <f>J1448-K1448</f>
        <v>24000000</v>
      </c>
      <c r="P1448" s="46">
        <f>J1448-M1448</f>
        <v>24000000</v>
      </c>
      <c r="Q1448" s="46">
        <v>2.4E7</v>
      </c>
      <c r="R1448" s="101"/>
      <c r="S1448" s="101"/>
      <c r="T1448" s="99"/>
      <c r="U1448" s="99"/>
      <c r="V1448" s="99"/>
      <c r="W1448" s="99"/>
      <c r="X1448" s="99"/>
      <c r="Y1448" s="99"/>
      <c r="Z1448" s="99"/>
      <c r="AA1448" s="99"/>
      <c r="AB1448" s="99"/>
      <c r="AC1448" s="99"/>
      <c r="AD1448" s="99"/>
      <c r="AE1448" s="99"/>
      <c r="AF1448" s="99"/>
      <c r="AG1448" s="99"/>
      <c r="AH1448" s="99"/>
      <c r="AI1448" s="99"/>
      <c r="AJ1448" s="99"/>
      <c r="AK1448" s="99"/>
      <c r="AL1448" s="99"/>
      <c r="AM1448" s="99"/>
    </row>
    <row r="1449" ht="21.75" customHeight="1">
      <c r="A1449" s="140" t="s">
        <v>366</v>
      </c>
      <c r="B1449" s="121"/>
      <c r="C1449" s="122"/>
      <c r="D1449" s="140" t="s">
        <v>367</v>
      </c>
      <c r="E1449" s="121"/>
      <c r="F1449" s="122"/>
      <c r="G1449" s="141" t="s">
        <v>306</v>
      </c>
      <c r="H1449" s="141" t="s">
        <v>306</v>
      </c>
      <c r="I1449" s="142"/>
      <c r="J1449" s="125">
        <f t="shared" ref="J1449:K1449" si="1378">J1450+J1464+J1476+J1489+J1506+J1515+J1525+J1530+J1546+J1560+J1568+J1576+J1582</f>
        <v>5073246000</v>
      </c>
      <c r="K1449" s="84">
        <f t="shared" si="1378"/>
        <v>150682310</v>
      </c>
      <c r="L1449" s="105"/>
      <c r="M1449" s="106"/>
      <c r="N1449" s="105"/>
      <c r="O1449" s="84">
        <f t="shared" ref="O1449:P1449" si="1379">O1450+O1464+O1476+O1489+O1506+O1515+O1525+O1530+O1546+O1560+O1568+O1576+O1582</f>
        <v>4922563690</v>
      </c>
      <c r="P1449" s="84">
        <f t="shared" si="1379"/>
        <v>5073246000</v>
      </c>
      <c r="Q1449" s="143">
        <v>5.073246E9</v>
      </c>
      <c r="R1449" s="101">
        <v>2.259644E8</v>
      </c>
      <c r="S1449" s="101" t="s">
        <v>368</v>
      </c>
      <c r="T1449" s="99"/>
      <c r="U1449" s="99"/>
      <c r="V1449" s="99"/>
      <c r="W1449" s="99"/>
      <c r="X1449" s="99"/>
      <c r="Y1449" s="99"/>
      <c r="Z1449" s="99"/>
      <c r="AA1449" s="99"/>
      <c r="AB1449" s="99"/>
      <c r="AC1449" s="99"/>
      <c r="AD1449" s="99"/>
      <c r="AE1449" s="99"/>
      <c r="AF1449" s="99"/>
      <c r="AG1449" s="99"/>
      <c r="AH1449" s="99"/>
      <c r="AI1449" s="99"/>
      <c r="AJ1449" s="99"/>
      <c r="AK1449" s="99"/>
      <c r="AL1449" s="99"/>
      <c r="AM1449" s="99"/>
    </row>
    <row r="1450" ht="12.75" customHeight="1">
      <c r="A1450" s="144" t="s">
        <v>20</v>
      </c>
      <c r="D1450" s="144" t="s">
        <v>21</v>
      </c>
      <c r="G1450" s="104"/>
      <c r="H1450" s="104"/>
      <c r="I1450" s="104"/>
      <c r="J1450" s="129">
        <f t="shared" ref="J1450:K1450" si="1380">J1451+J1460</f>
        <v>247640000</v>
      </c>
      <c r="K1450" s="43">
        <f t="shared" si="1380"/>
        <v>61155030</v>
      </c>
      <c r="L1450" s="105"/>
      <c r="M1450" s="106"/>
      <c r="N1450" s="105"/>
      <c r="O1450" s="43">
        <f t="shared" ref="O1450:P1450" si="1381">O1451+O1460</f>
        <v>186484970</v>
      </c>
      <c r="P1450" s="43">
        <f t="shared" si="1381"/>
        <v>247640000</v>
      </c>
      <c r="Q1450" s="43">
        <v>2.4764E8</v>
      </c>
      <c r="R1450" s="101"/>
      <c r="S1450" s="101"/>
      <c r="T1450" s="99"/>
      <c r="U1450" s="99"/>
      <c r="V1450" s="99"/>
      <c r="W1450" s="99"/>
      <c r="X1450" s="99"/>
      <c r="Y1450" s="99"/>
      <c r="Z1450" s="99"/>
      <c r="AA1450" s="99"/>
      <c r="AB1450" s="99"/>
      <c r="AC1450" s="99"/>
      <c r="AD1450" s="99"/>
      <c r="AE1450" s="99"/>
      <c r="AF1450" s="99"/>
      <c r="AG1450" s="99"/>
      <c r="AH1450" s="99"/>
      <c r="AI1450" s="99"/>
      <c r="AJ1450" s="99"/>
      <c r="AK1450" s="99"/>
      <c r="AL1450" s="99"/>
      <c r="AM1450" s="99"/>
    </row>
    <row r="1451" ht="12.75" customHeight="1">
      <c r="A1451" s="110" t="s">
        <v>40</v>
      </c>
      <c r="D1451" s="145" t="s">
        <v>22</v>
      </c>
      <c r="G1451" s="104"/>
      <c r="H1451" s="104"/>
      <c r="I1451" s="104"/>
      <c r="J1451" s="134">
        <f t="shared" ref="J1451:K1451" si="1382">SUM(J1453:J1459)</f>
        <v>227640000</v>
      </c>
      <c r="K1451" s="46">
        <f t="shared" si="1382"/>
        <v>57120030</v>
      </c>
      <c r="L1451" s="105"/>
      <c r="M1451" s="106"/>
      <c r="N1451" s="105"/>
      <c r="O1451" s="46">
        <f t="shared" ref="O1451:P1451" si="1383">SUM(O1453:O1459)</f>
        <v>170519970</v>
      </c>
      <c r="P1451" s="46">
        <f t="shared" si="1383"/>
        <v>227640000</v>
      </c>
      <c r="Q1451" s="46">
        <v>2.2764E8</v>
      </c>
      <c r="R1451" s="101"/>
      <c r="S1451" s="101"/>
      <c r="T1451" s="99"/>
      <c r="U1451" s="99"/>
      <c r="V1451" s="99"/>
      <c r="W1451" s="99"/>
      <c r="X1451" s="99"/>
      <c r="Y1451" s="99"/>
      <c r="Z1451" s="99"/>
      <c r="AA1451" s="99"/>
      <c r="AB1451" s="99"/>
      <c r="AC1451" s="99"/>
      <c r="AD1451" s="99"/>
      <c r="AE1451" s="99"/>
      <c r="AF1451" s="99"/>
      <c r="AG1451" s="99"/>
      <c r="AH1451" s="99"/>
      <c r="AI1451" s="99"/>
      <c r="AJ1451" s="99"/>
      <c r="AK1451" s="99"/>
      <c r="AL1451" s="99"/>
      <c r="AM1451" s="99"/>
    </row>
    <row r="1452" ht="12.75" customHeight="1">
      <c r="A1452" s="104"/>
      <c r="B1452" s="104"/>
      <c r="C1452" s="104"/>
      <c r="D1452" s="110" t="s">
        <v>23</v>
      </c>
      <c r="G1452" s="104"/>
      <c r="H1452" s="104"/>
      <c r="I1452" s="104"/>
      <c r="J1452" s="111"/>
      <c r="K1452" s="111"/>
      <c r="L1452" s="105"/>
      <c r="M1452" s="106"/>
      <c r="N1452" s="105"/>
      <c r="O1452" s="111"/>
      <c r="P1452" s="111"/>
      <c r="Q1452" s="111"/>
      <c r="R1452" s="101"/>
      <c r="S1452" s="101"/>
      <c r="T1452" s="99"/>
      <c r="U1452" s="99"/>
      <c r="V1452" s="99"/>
      <c r="W1452" s="99"/>
      <c r="X1452" s="99"/>
      <c r="Y1452" s="99"/>
      <c r="Z1452" s="99"/>
      <c r="AA1452" s="99"/>
      <c r="AB1452" s="99"/>
      <c r="AC1452" s="99"/>
      <c r="AD1452" s="99"/>
      <c r="AE1452" s="99"/>
      <c r="AF1452" s="99"/>
      <c r="AG1452" s="99"/>
      <c r="AH1452" s="99"/>
      <c r="AI1452" s="99"/>
      <c r="AJ1452" s="99"/>
      <c r="AK1452" s="99"/>
      <c r="AL1452" s="99"/>
      <c r="AM1452" s="99"/>
    </row>
    <row r="1453" ht="12.75" customHeight="1">
      <c r="A1453" s="104"/>
      <c r="B1453" s="104"/>
      <c r="C1453" s="104"/>
      <c r="D1453" s="110" t="s">
        <v>24</v>
      </c>
      <c r="E1453" s="110" t="s">
        <v>308</v>
      </c>
      <c r="G1453" s="136">
        <v>48.0</v>
      </c>
      <c r="H1453" s="136" t="s">
        <v>26</v>
      </c>
      <c r="I1453" s="137">
        <v>500000.0</v>
      </c>
      <c r="J1453" s="46">
        <f t="shared" ref="J1453:J1459" si="1384">G1453*I1453</f>
        <v>24000000</v>
      </c>
      <c r="K1453" s="53">
        <v>3713500.0</v>
      </c>
      <c r="L1453" s="105"/>
      <c r="M1453" s="106"/>
      <c r="N1453" s="105"/>
      <c r="O1453" s="46">
        <f t="shared" ref="O1453:O1459" si="1385">J1453-K1453</f>
        <v>20286500</v>
      </c>
      <c r="P1453" s="46">
        <f t="shared" ref="P1453:P1459" si="1386">J1453-M1453</f>
        <v>24000000</v>
      </c>
      <c r="Q1453" s="46">
        <v>2.4E7</v>
      </c>
      <c r="R1453" s="101"/>
      <c r="S1453" s="101"/>
      <c r="T1453" s="99"/>
      <c r="U1453" s="99"/>
      <c r="V1453" s="99"/>
      <c r="W1453" s="99"/>
      <c r="X1453" s="99"/>
      <c r="Y1453" s="99"/>
      <c r="Z1453" s="99"/>
      <c r="AA1453" s="99"/>
      <c r="AB1453" s="99"/>
      <c r="AC1453" s="99"/>
      <c r="AD1453" s="99"/>
      <c r="AE1453" s="99"/>
      <c r="AF1453" s="99"/>
      <c r="AG1453" s="99"/>
      <c r="AH1453" s="99"/>
      <c r="AI1453" s="99"/>
      <c r="AJ1453" s="99"/>
      <c r="AK1453" s="99"/>
      <c r="AL1453" s="99"/>
      <c r="AM1453" s="99"/>
    </row>
    <row r="1454" ht="12.75" customHeight="1">
      <c r="A1454" s="104"/>
      <c r="B1454" s="104"/>
      <c r="C1454" s="104"/>
      <c r="D1454" s="110" t="s">
        <v>24</v>
      </c>
      <c r="E1454" s="110" t="s">
        <v>27</v>
      </c>
      <c r="G1454" s="136">
        <v>2.0</v>
      </c>
      <c r="H1454" s="136" t="s">
        <v>26</v>
      </c>
      <c r="I1454" s="137">
        <v>2000000.0</v>
      </c>
      <c r="J1454" s="46">
        <f t="shared" si="1384"/>
        <v>4000000</v>
      </c>
      <c r="K1454" s="46"/>
      <c r="L1454" s="105"/>
      <c r="M1454" s="106"/>
      <c r="N1454" s="105"/>
      <c r="O1454" s="46">
        <f t="shared" si="1385"/>
        <v>4000000</v>
      </c>
      <c r="P1454" s="46">
        <f t="shared" si="1386"/>
        <v>4000000</v>
      </c>
      <c r="Q1454" s="46">
        <v>4000000.0</v>
      </c>
      <c r="R1454" s="101"/>
      <c r="S1454" s="101"/>
      <c r="T1454" s="99"/>
      <c r="U1454" s="99"/>
      <c r="V1454" s="99"/>
      <c r="W1454" s="99"/>
      <c r="X1454" s="99"/>
      <c r="Y1454" s="99"/>
      <c r="Z1454" s="99"/>
      <c r="AA1454" s="99"/>
      <c r="AB1454" s="99"/>
      <c r="AC1454" s="99"/>
      <c r="AD1454" s="99"/>
      <c r="AE1454" s="99"/>
      <c r="AF1454" s="99"/>
      <c r="AG1454" s="99"/>
      <c r="AH1454" s="99"/>
      <c r="AI1454" s="99"/>
      <c r="AJ1454" s="99"/>
      <c r="AK1454" s="99"/>
      <c r="AL1454" s="99"/>
      <c r="AM1454" s="99"/>
    </row>
    <row r="1455" ht="15.75" customHeight="1">
      <c r="A1455" s="104"/>
      <c r="B1455" s="104"/>
      <c r="C1455" s="104"/>
      <c r="D1455" s="110" t="s">
        <v>24</v>
      </c>
      <c r="E1455" s="110" t="s">
        <v>28</v>
      </c>
      <c r="G1455" s="136">
        <v>10.0</v>
      </c>
      <c r="H1455" s="136" t="s">
        <v>26</v>
      </c>
      <c r="I1455" s="137">
        <v>500000.0</v>
      </c>
      <c r="J1455" s="46">
        <f t="shared" si="1384"/>
        <v>5000000</v>
      </c>
      <c r="K1455" s="46"/>
      <c r="L1455" s="105"/>
      <c r="M1455" s="106"/>
      <c r="N1455" s="105"/>
      <c r="O1455" s="46">
        <f t="shared" si="1385"/>
        <v>5000000</v>
      </c>
      <c r="P1455" s="46">
        <f t="shared" si="1386"/>
        <v>5000000</v>
      </c>
      <c r="Q1455" s="46">
        <v>5000000.0</v>
      </c>
      <c r="R1455" s="101"/>
      <c r="S1455" s="101"/>
      <c r="T1455" s="99"/>
      <c r="U1455" s="99"/>
      <c r="V1455" s="99"/>
      <c r="W1455" s="99"/>
      <c r="X1455" s="99"/>
      <c r="Y1455" s="99"/>
      <c r="Z1455" s="99"/>
      <c r="AA1455" s="99"/>
      <c r="AB1455" s="99"/>
      <c r="AC1455" s="99"/>
      <c r="AD1455" s="99"/>
      <c r="AE1455" s="99"/>
      <c r="AF1455" s="99"/>
      <c r="AG1455" s="99"/>
      <c r="AH1455" s="99"/>
      <c r="AI1455" s="99"/>
      <c r="AJ1455" s="99"/>
      <c r="AK1455" s="99"/>
      <c r="AL1455" s="99"/>
      <c r="AM1455" s="99"/>
    </row>
    <row r="1456" ht="12.75" customHeight="1">
      <c r="A1456" s="104"/>
      <c r="B1456" s="104"/>
      <c r="C1456" s="104"/>
      <c r="D1456" s="110" t="s">
        <v>24</v>
      </c>
      <c r="E1456" s="110" t="s">
        <v>309</v>
      </c>
      <c r="G1456" s="136">
        <v>400.0</v>
      </c>
      <c r="H1456" s="136" t="s">
        <v>26</v>
      </c>
      <c r="I1456" s="137">
        <v>25000.0</v>
      </c>
      <c r="J1456" s="46">
        <f t="shared" si="1384"/>
        <v>10000000</v>
      </c>
      <c r="K1456" s="46"/>
      <c r="L1456" s="105"/>
      <c r="M1456" s="106"/>
      <c r="N1456" s="105"/>
      <c r="O1456" s="46">
        <f t="shared" si="1385"/>
        <v>10000000</v>
      </c>
      <c r="P1456" s="46">
        <f t="shared" si="1386"/>
        <v>10000000</v>
      </c>
      <c r="Q1456" s="46">
        <v>1.0E7</v>
      </c>
      <c r="R1456" s="101"/>
      <c r="S1456" s="101"/>
      <c r="T1456" s="99"/>
      <c r="U1456" s="99"/>
      <c r="V1456" s="99"/>
      <c r="W1456" s="99"/>
      <c r="X1456" s="99"/>
      <c r="Y1456" s="99"/>
      <c r="Z1456" s="99"/>
      <c r="AA1456" s="99"/>
      <c r="AB1456" s="99"/>
      <c r="AC1456" s="99"/>
      <c r="AD1456" s="99"/>
      <c r="AE1456" s="99"/>
      <c r="AF1456" s="99"/>
      <c r="AG1456" s="99"/>
      <c r="AH1456" s="99"/>
      <c r="AI1456" s="99"/>
      <c r="AJ1456" s="99"/>
      <c r="AK1456" s="99"/>
      <c r="AL1456" s="99"/>
      <c r="AM1456" s="99"/>
    </row>
    <row r="1457" ht="15.75" customHeight="1">
      <c r="A1457" s="104"/>
      <c r="B1457" s="104"/>
      <c r="C1457" s="104"/>
      <c r="D1457" s="110" t="s">
        <v>24</v>
      </c>
      <c r="E1457" s="110" t="s">
        <v>31</v>
      </c>
      <c r="G1457" s="136">
        <v>320.0</v>
      </c>
      <c r="H1457" s="136" t="s">
        <v>26</v>
      </c>
      <c r="I1457" s="137">
        <v>53000.0</v>
      </c>
      <c r="J1457" s="46">
        <f t="shared" si="1384"/>
        <v>16960000</v>
      </c>
      <c r="K1457" s="53">
        <v>9775000.0</v>
      </c>
      <c r="L1457" s="105"/>
      <c r="M1457" s="106"/>
      <c r="N1457" s="105"/>
      <c r="O1457" s="46">
        <f t="shared" si="1385"/>
        <v>7185000</v>
      </c>
      <c r="P1457" s="46">
        <f t="shared" si="1386"/>
        <v>16960000</v>
      </c>
      <c r="Q1457" s="46">
        <v>1.696E7</v>
      </c>
      <c r="R1457" s="101"/>
      <c r="S1457" s="101"/>
      <c r="T1457" s="99"/>
      <c r="U1457" s="99"/>
      <c r="V1457" s="99"/>
      <c r="W1457" s="99"/>
      <c r="X1457" s="99"/>
      <c r="Y1457" s="99"/>
      <c r="Z1457" s="99"/>
      <c r="AA1457" s="99"/>
      <c r="AB1457" s="99"/>
      <c r="AC1457" s="99"/>
      <c r="AD1457" s="99"/>
      <c r="AE1457" s="99"/>
      <c r="AF1457" s="99"/>
      <c r="AG1457" s="99"/>
      <c r="AH1457" s="99"/>
      <c r="AI1457" s="99"/>
      <c r="AJ1457" s="99"/>
      <c r="AK1457" s="99"/>
      <c r="AL1457" s="99"/>
      <c r="AM1457" s="99"/>
    </row>
    <row r="1458" ht="15.75" customHeight="1">
      <c r="A1458" s="104"/>
      <c r="B1458" s="104"/>
      <c r="C1458" s="104"/>
      <c r="D1458" s="110" t="s">
        <v>24</v>
      </c>
      <c r="E1458" s="110" t="s">
        <v>32</v>
      </c>
      <c r="G1458" s="136">
        <v>320.0</v>
      </c>
      <c r="H1458" s="136" t="s">
        <v>26</v>
      </c>
      <c r="I1458" s="137">
        <v>24000.0</v>
      </c>
      <c r="J1458" s="46">
        <f t="shared" si="1384"/>
        <v>7680000</v>
      </c>
      <c r="K1458" s="46"/>
      <c r="L1458" s="105"/>
      <c r="M1458" s="106"/>
      <c r="N1458" s="105"/>
      <c r="O1458" s="46">
        <f t="shared" si="1385"/>
        <v>7680000</v>
      </c>
      <c r="P1458" s="46">
        <f t="shared" si="1386"/>
        <v>7680000</v>
      </c>
      <c r="Q1458" s="46">
        <v>7680000.0</v>
      </c>
      <c r="R1458" s="101"/>
      <c r="S1458" s="101"/>
      <c r="T1458" s="99"/>
      <c r="U1458" s="99"/>
      <c r="V1458" s="99"/>
      <c r="W1458" s="99"/>
      <c r="X1458" s="99"/>
      <c r="Y1458" s="99"/>
      <c r="Z1458" s="99"/>
      <c r="AA1458" s="99"/>
      <c r="AB1458" s="99"/>
      <c r="AC1458" s="99"/>
      <c r="AD1458" s="99"/>
      <c r="AE1458" s="99"/>
      <c r="AF1458" s="99"/>
      <c r="AG1458" s="99"/>
      <c r="AH1458" s="99"/>
      <c r="AI1458" s="99"/>
      <c r="AJ1458" s="99"/>
      <c r="AK1458" s="99"/>
      <c r="AL1458" s="99"/>
      <c r="AM1458" s="99"/>
    </row>
    <row r="1459" ht="15.75" customHeight="1">
      <c r="A1459" s="104"/>
      <c r="B1459" s="104"/>
      <c r="C1459" s="104"/>
      <c r="D1459" s="110" t="s">
        <v>24</v>
      </c>
      <c r="E1459" s="110" t="s">
        <v>310</v>
      </c>
      <c r="G1459" s="136">
        <v>200.0</v>
      </c>
      <c r="H1459" s="136" t="s">
        <v>26</v>
      </c>
      <c r="I1459" s="137">
        <v>800000.0</v>
      </c>
      <c r="J1459" s="46">
        <f t="shared" si="1384"/>
        <v>160000000</v>
      </c>
      <c r="K1459" s="53">
        <v>4.363153E7</v>
      </c>
      <c r="L1459" s="105"/>
      <c r="M1459" s="106"/>
      <c r="N1459" s="105"/>
      <c r="O1459" s="46">
        <f t="shared" si="1385"/>
        <v>116368470</v>
      </c>
      <c r="P1459" s="46">
        <f t="shared" si="1386"/>
        <v>160000000</v>
      </c>
      <c r="Q1459" s="46">
        <v>1.6E8</v>
      </c>
      <c r="R1459" s="101"/>
      <c r="S1459" s="101"/>
      <c r="T1459" s="99"/>
      <c r="U1459" s="99"/>
      <c r="V1459" s="99"/>
      <c r="W1459" s="99"/>
      <c r="X1459" s="99"/>
      <c r="Y1459" s="99"/>
      <c r="Z1459" s="99"/>
      <c r="AA1459" s="99"/>
      <c r="AB1459" s="99"/>
      <c r="AC1459" s="99"/>
      <c r="AD1459" s="99"/>
      <c r="AE1459" s="99"/>
      <c r="AF1459" s="99"/>
      <c r="AG1459" s="99"/>
      <c r="AH1459" s="99"/>
      <c r="AI1459" s="99"/>
      <c r="AJ1459" s="99"/>
      <c r="AK1459" s="99"/>
      <c r="AL1459" s="99"/>
      <c r="AM1459" s="99"/>
    </row>
    <row r="1460" ht="12.75" customHeight="1">
      <c r="A1460" s="110" t="s">
        <v>58</v>
      </c>
      <c r="D1460" s="145" t="s">
        <v>34</v>
      </c>
      <c r="G1460" s="104"/>
      <c r="H1460" s="133"/>
      <c r="I1460" s="104"/>
      <c r="J1460" s="134">
        <f t="shared" ref="J1460:K1460" si="1387">SUM(J1462:J1463)</f>
        <v>20000000</v>
      </c>
      <c r="K1460" s="46">
        <f t="shared" si="1387"/>
        <v>4035000</v>
      </c>
      <c r="L1460" s="105"/>
      <c r="M1460" s="106"/>
      <c r="N1460" s="105"/>
      <c r="O1460" s="46">
        <f t="shared" ref="O1460:P1460" si="1388">SUM(O1462:O1463)</f>
        <v>15965000</v>
      </c>
      <c r="P1460" s="46">
        <f t="shared" si="1388"/>
        <v>20000000</v>
      </c>
      <c r="Q1460" s="46">
        <v>2.0E7</v>
      </c>
      <c r="R1460" s="101"/>
      <c r="S1460" s="101"/>
      <c r="T1460" s="99"/>
      <c r="U1460" s="99"/>
      <c r="V1460" s="99"/>
      <c r="W1460" s="99"/>
      <c r="X1460" s="99"/>
      <c r="Y1460" s="99"/>
      <c r="Z1460" s="99"/>
      <c r="AA1460" s="99"/>
      <c r="AB1460" s="99"/>
      <c r="AC1460" s="99"/>
      <c r="AD1460" s="99"/>
      <c r="AE1460" s="99"/>
      <c r="AF1460" s="99"/>
      <c r="AG1460" s="99"/>
      <c r="AH1460" s="99"/>
      <c r="AI1460" s="99"/>
      <c r="AJ1460" s="99"/>
      <c r="AK1460" s="99"/>
      <c r="AL1460" s="99"/>
      <c r="AM1460" s="99"/>
    </row>
    <row r="1461" ht="12.75" customHeight="1">
      <c r="A1461" s="104"/>
      <c r="B1461" s="104"/>
      <c r="C1461" s="104"/>
      <c r="D1461" s="110" t="s">
        <v>23</v>
      </c>
      <c r="G1461" s="104"/>
      <c r="H1461" s="104"/>
      <c r="I1461" s="104"/>
      <c r="J1461" s="111"/>
      <c r="K1461" s="111"/>
      <c r="L1461" s="105"/>
      <c r="M1461" s="106"/>
      <c r="N1461" s="105"/>
      <c r="O1461" s="111"/>
      <c r="P1461" s="111"/>
      <c r="Q1461" s="111"/>
      <c r="R1461" s="101"/>
      <c r="S1461" s="101"/>
      <c r="T1461" s="99"/>
      <c r="U1461" s="99"/>
      <c r="V1461" s="99"/>
      <c r="W1461" s="99"/>
      <c r="X1461" s="99"/>
      <c r="Y1461" s="99"/>
      <c r="Z1461" s="99"/>
      <c r="AA1461" s="99"/>
      <c r="AB1461" s="99"/>
      <c r="AC1461" s="99"/>
      <c r="AD1461" s="99"/>
      <c r="AE1461" s="99"/>
      <c r="AF1461" s="99"/>
      <c r="AG1461" s="99"/>
      <c r="AH1461" s="99"/>
      <c r="AI1461" s="99"/>
      <c r="AJ1461" s="99"/>
      <c r="AK1461" s="99"/>
      <c r="AL1461" s="99"/>
      <c r="AM1461" s="99"/>
    </row>
    <row r="1462" ht="12.75" customHeight="1">
      <c r="A1462" s="104"/>
      <c r="B1462" s="104"/>
      <c r="C1462" s="104"/>
      <c r="D1462" s="110" t="s">
        <v>24</v>
      </c>
      <c r="E1462" s="110" t="s">
        <v>311</v>
      </c>
      <c r="G1462" s="136">
        <v>32.0</v>
      </c>
      <c r="H1462" s="136" t="s">
        <v>26</v>
      </c>
      <c r="I1462" s="137">
        <v>500000.0</v>
      </c>
      <c r="J1462" s="46">
        <f t="shared" ref="J1462:J1463" si="1389">G1462*I1462</f>
        <v>16000000</v>
      </c>
      <c r="K1462" s="53">
        <v>4035000.0</v>
      </c>
      <c r="L1462" s="105"/>
      <c r="M1462" s="106"/>
      <c r="N1462" s="105"/>
      <c r="O1462" s="46">
        <f t="shared" ref="O1462:O1463" si="1390">J1462-K1462</f>
        <v>11965000</v>
      </c>
      <c r="P1462" s="46">
        <f t="shared" ref="P1462:P1463" si="1391">J1462-M1462</f>
        <v>16000000</v>
      </c>
      <c r="Q1462" s="46">
        <v>1.6E7</v>
      </c>
      <c r="R1462" s="101"/>
      <c r="S1462" s="101"/>
      <c r="T1462" s="99"/>
      <c r="U1462" s="99"/>
      <c r="V1462" s="99"/>
      <c r="W1462" s="99"/>
      <c r="X1462" s="99"/>
      <c r="Y1462" s="99"/>
      <c r="Z1462" s="99"/>
      <c r="AA1462" s="99"/>
      <c r="AB1462" s="99"/>
      <c r="AC1462" s="99"/>
      <c r="AD1462" s="99"/>
      <c r="AE1462" s="99"/>
      <c r="AF1462" s="99"/>
      <c r="AG1462" s="99"/>
      <c r="AH1462" s="99"/>
      <c r="AI1462" s="99"/>
      <c r="AJ1462" s="99"/>
      <c r="AK1462" s="99"/>
      <c r="AL1462" s="99"/>
      <c r="AM1462" s="99"/>
    </row>
    <row r="1463" ht="12.75" customHeight="1">
      <c r="A1463" s="104"/>
      <c r="B1463" s="104"/>
      <c r="C1463" s="104"/>
      <c r="D1463" s="110" t="s">
        <v>24</v>
      </c>
      <c r="E1463" s="110" t="s">
        <v>312</v>
      </c>
      <c r="G1463" s="136">
        <v>8.0</v>
      </c>
      <c r="H1463" s="136" t="s">
        <v>26</v>
      </c>
      <c r="I1463" s="137">
        <v>500000.0</v>
      </c>
      <c r="J1463" s="46">
        <f t="shared" si="1389"/>
        <v>4000000</v>
      </c>
      <c r="K1463" s="46"/>
      <c r="L1463" s="105"/>
      <c r="M1463" s="106"/>
      <c r="N1463" s="105"/>
      <c r="O1463" s="46">
        <f t="shared" si="1390"/>
        <v>4000000</v>
      </c>
      <c r="P1463" s="46">
        <f t="shared" si="1391"/>
        <v>4000000</v>
      </c>
      <c r="Q1463" s="46">
        <v>4000000.0</v>
      </c>
      <c r="R1463" s="101"/>
      <c r="S1463" s="101"/>
      <c r="T1463" s="99"/>
      <c r="U1463" s="99"/>
      <c r="V1463" s="99"/>
      <c r="W1463" s="99"/>
      <c r="X1463" s="99"/>
      <c r="Y1463" s="99"/>
      <c r="Z1463" s="99"/>
      <c r="AA1463" s="99"/>
      <c r="AB1463" s="99"/>
      <c r="AC1463" s="99"/>
      <c r="AD1463" s="99"/>
      <c r="AE1463" s="99"/>
      <c r="AF1463" s="99"/>
      <c r="AG1463" s="99"/>
      <c r="AH1463" s="99"/>
      <c r="AI1463" s="99"/>
      <c r="AJ1463" s="99"/>
      <c r="AK1463" s="99"/>
      <c r="AL1463" s="99"/>
      <c r="AM1463" s="99"/>
    </row>
    <row r="1464" ht="12.75" customHeight="1">
      <c r="A1464" s="144" t="s">
        <v>37</v>
      </c>
      <c r="D1464" s="144" t="s">
        <v>38</v>
      </c>
      <c r="G1464" s="104"/>
      <c r="H1464" s="128"/>
      <c r="I1464" s="104"/>
      <c r="J1464" s="129">
        <f t="shared" ref="J1464:K1464" si="1392">J1465+J1470+J1473</f>
        <v>45700000</v>
      </c>
      <c r="K1464" s="43">
        <f t="shared" si="1392"/>
        <v>14100000</v>
      </c>
      <c r="L1464" s="105"/>
      <c r="M1464" s="106"/>
      <c r="N1464" s="105"/>
      <c r="O1464" s="43">
        <f t="shared" ref="O1464:P1464" si="1393">O1465+O1470+O1473</f>
        <v>31600000</v>
      </c>
      <c r="P1464" s="43">
        <f t="shared" si="1393"/>
        <v>45700000</v>
      </c>
      <c r="Q1464" s="43">
        <v>4.57E7</v>
      </c>
      <c r="R1464" s="101"/>
      <c r="S1464" s="101"/>
      <c r="T1464" s="99"/>
      <c r="U1464" s="99"/>
      <c r="V1464" s="99"/>
      <c r="W1464" s="99"/>
      <c r="X1464" s="99"/>
      <c r="Y1464" s="99"/>
      <c r="Z1464" s="99"/>
      <c r="AA1464" s="99"/>
      <c r="AB1464" s="99"/>
      <c r="AC1464" s="99"/>
      <c r="AD1464" s="99"/>
      <c r="AE1464" s="99"/>
      <c r="AF1464" s="99"/>
      <c r="AG1464" s="99"/>
      <c r="AH1464" s="99"/>
      <c r="AI1464" s="99"/>
      <c r="AJ1464" s="99"/>
      <c r="AK1464" s="99"/>
      <c r="AL1464" s="99"/>
      <c r="AM1464" s="99"/>
    </row>
    <row r="1465" ht="12.75" customHeight="1">
      <c r="A1465" s="110" t="s">
        <v>40</v>
      </c>
      <c r="D1465" s="145" t="s">
        <v>22</v>
      </c>
      <c r="G1465" s="104"/>
      <c r="H1465" s="133"/>
      <c r="I1465" s="104"/>
      <c r="J1465" s="134">
        <f t="shared" ref="J1465:K1465" si="1394">SUM(J1467:J1469)</f>
        <v>11700000</v>
      </c>
      <c r="K1465" s="46">
        <f t="shared" si="1394"/>
        <v>3600000</v>
      </c>
      <c r="L1465" s="105"/>
      <c r="M1465" s="106"/>
      <c r="N1465" s="105"/>
      <c r="O1465" s="46">
        <f t="shared" ref="O1465:P1465" si="1395">SUM(O1467:O1469)</f>
        <v>8100000</v>
      </c>
      <c r="P1465" s="46">
        <f t="shared" si="1395"/>
        <v>11700000</v>
      </c>
      <c r="Q1465" s="46">
        <v>1.17E7</v>
      </c>
      <c r="R1465" s="101"/>
      <c r="S1465" s="101"/>
      <c r="T1465" s="99"/>
      <c r="U1465" s="99"/>
      <c r="V1465" s="99"/>
      <c r="W1465" s="99"/>
      <c r="X1465" s="99"/>
      <c r="Y1465" s="99"/>
      <c r="Z1465" s="99"/>
      <c r="AA1465" s="99"/>
      <c r="AB1465" s="99"/>
      <c r="AC1465" s="99"/>
      <c r="AD1465" s="99"/>
      <c r="AE1465" s="99"/>
      <c r="AF1465" s="99"/>
      <c r="AG1465" s="99"/>
      <c r="AH1465" s="99"/>
      <c r="AI1465" s="99"/>
      <c r="AJ1465" s="99"/>
      <c r="AK1465" s="99"/>
      <c r="AL1465" s="99"/>
      <c r="AM1465" s="99"/>
    </row>
    <row r="1466" ht="12.75" customHeight="1">
      <c r="A1466" s="104"/>
      <c r="B1466" s="104"/>
      <c r="C1466" s="104"/>
      <c r="D1466" s="110" t="s">
        <v>23</v>
      </c>
      <c r="G1466" s="104"/>
      <c r="H1466" s="104"/>
      <c r="I1466" s="104"/>
      <c r="J1466" s="111"/>
      <c r="K1466" s="111"/>
      <c r="L1466" s="105"/>
      <c r="M1466" s="106"/>
      <c r="N1466" s="105"/>
      <c r="O1466" s="111"/>
      <c r="P1466" s="111"/>
      <c r="Q1466" s="111"/>
      <c r="R1466" s="101"/>
      <c r="S1466" s="101"/>
      <c r="T1466" s="99"/>
      <c r="U1466" s="99"/>
      <c r="V1466" s="99"/>
      <c r="W1466" s="99"/>
      <c r="X1466" s="99"/>
      <c r="Y1466" s="99"/>
      <c r="Z1466" s="99"/>
      <c r="AA1466" s="99"/>
      <c r="AB1466" s="99"/>
      <c r="AC1466" s="99"/>
      <c r="AD1466" s="99"/>
      <c r="AE1466" s="99"/>
      <c r="AF1466" s="99"/>
      <c r="AG1466" s="99"/>
      <c r="AH1466" s="99"/>
      <c r="AI1466" s="99"/>
      <c r="AJ1466" s="99"/>
      <c r="AK1466" s="99"/>
      <c r="AL1466" s="99"/>
      <c r="AM1466" s="99"/>
    </row>
    <row r="1467" ht="12.75" customHeight="1">
      <c r="A1467" s="104"/>
      <c r="B1467" s="104"/>
      <c r="C1467" s="104"/>
      <c r="D1467" s="110" t="s">
        <v>24</v>
      </c>
      <c r="E1467" s="110" t="s">
        <v>313</v>
      </c>
      <c r="G1467" s="136">
        <v>200.0</v>
      </c>
      <c r="H1467" s="136" t="s">
        <v>26</v>
      </c>
      <c r="I1467" s="137">
        <v>53000.0</v>
      </c>
      <c r="J1467" s="46">
        <f t="shared" ref="J1467:J1469" si="1396">G1467*I1467</f>
        <v>10600000</v>
      </c>
      <c r="K1467" s="53">
        <v>3600000.0</v>
      </c>
      <c r="L1467" s="105"/>
      <c r="M1467" s="106"/>
      <c r="N1467" s="105"/>
      <c r="O1467" s="46">
        <f t="shared" ref="O1467:O1469" si="1397">J1467-K1467</f>
        <v>7000000</v>
      </c>
      <c r="P1467" s="46">
        <f t="shared" ref="P1467:P1469" si="1398">J1467-M1467</f>
        <v>10600000</v>
      </c>
      <c r="Q1467" s="46">
        <v>1.06E7</v>
      </c>
      <c r="R1467" s="101"/>
      <c r="S1467" s="101"/>
      <c r="T1467" s="99"/>
      <c r="U1467" s="99"/>
      <c r="V1467" s="99"/>
      <c r="W1467" s="99"/>
      <c r="X1467" s="99"/>
      <c r="Y1467" s="99"/>
      <c r="Z1467" s="99"/>
      <c r="AA1467" s="99"/>
      <c r="AB1467" s="99"/>
      <c r="AC1467" s="99"/>
      <c r="AD1467" s="99"/>
      <c r="AE1467" s="99"/>
      <c r="AF1467" s="99"/>
      <c r="AG1467" s="99"/>
      <c r="AH1467" s="99"/>
      <c r="AI1467" s="99"/>
      <c r="AJ1467" s="99"/>
      <c r="AK1467" s="99"/>
      <c r="AL1467" s="99"/>
      <c r="AM1467" s="99"/>
    </row>
    <row r="1468" ht="12.75" customHeight="1">
      <c r="A1468" s="104"/>
      <c r="B1468" s="104"/>
      <c r="C1468" s="104"/>
      <c r="D1468" s="110" t="s">
        <v>24</v>
      </c>
      <c r="E1468" s="110" t="s">
        <v>42</v>
      </c>
      <c r="G1468" s="136">
        <v>2.0</v>
      </c>
      <c r="H1468" s="136" t="s">
        <v>26</v>
      </c>
      <c r="I1468" s="137">
        <v>250000.0</v>
      </c>
      <c r="J1468" s="46">
        <f t="shared" si="1396"/>
        <v>500000</v>
      </c>
      <c r="K1468" s="46"/>
      <c r="L1468" s="105"/>
      <c r="M1468" s="106"/>
      <c r="N1468" s="105"/>
      <c r="O1468" s="46">
        <f t="shared" si="1397"/>
        <v>500000</v>
      </c>
      <c r="P1468" s="46">
        <f t="shared" si="1398"/>
        <v>500000</v>
      </c>
      <c r="Q1468" s="46">
        <v>500000.0</v>
      </c>
      <c r="R1468" s="101"/>
      <c r="S1468" s="101"/>
      <c r="T1468" s="99"/>
      <c r="U1468" s="99"/>
      <c r="V1468" s="99"/>
      <c r="W1468" s="99"/>
      <c r="X1468" s="99"/>
      <c r="Y1468" s="99"/>
      <c r="Z1468" s="99"/>
      <c r="AA1468" s="99"/>
      <c r="AB1468" s="99"/>
      <c r="AC1468" s="99"/>
      <c r="AD1468" s="99"/>
      <c r="AE1468" s="99"/>
      <c r="AF1468" s="99"/>
      <c r="AG1468" s="99"/>
      <c r="AH1468" s="99"/>
      <c r="AI1468" s="99"/>
      <c r="AJ1468" s="99"/>
      <c r="AK1468" s="99"/>
      <c r="AL1468" s="99"/>
      <c r="AM1468" s="99"/>
    </row>
    <row r="1469" ht="12.75" customHeight="1">
      <c r="A1469" s="104"/>
      <c r="B1469" s="104"/>
      <c r="C1469" s="104"/>
      <c r="D1469" s="110" t="s">
        <v>24</v>
      </c>
      <c r="E1469" s="110" t="s">
        <v>43</v>
      </c>
      <c r="G1469" s="136">
        <v>2.0</v>
      </c>
      <c r="H1469" s="136" t="s">
        <v>26</v>
      </c>
      <c r="I1469" s="137">
        <v>300000.0</v>
      </c>
      <c r="J1469" s="46">
        <f t="shared" si="1396"/>
        <v>600000</v>
      </c>
      <c r="K1469" s="46"/>
      <c r="L1469" s="105"/>
      <c r="M1469" s="106"/>
      <c r="N1469" s="105"/>
      <c r="O1469" s="46">
        <f t="shared" si="1397"/>
        <v>600000</v>
      </c>
      <c r="P1469" s="46">
        <f t="shared" si="1398"/>
        <v>600000</v>
      </c>
      <c r="Q1469" s="46">
        <v>600000.0</v>
      </c>
      <c r="R1469" s="101"/>
      <c r="S1469" s="101"/>
      <c r="T1469" s="99"/>
      <c r="U1469" s="99"/>
      <c r="V1469" s="99"/>
      <c r="W1469" s="99"/>
      <c r="X1469" s="99"/>
      <c r="Y1469" s="99"/>
      <c r="Z1469" s="99"/>
      <c r="AA1469" s="99"/>
      <c r="AB1469" s="99"/>
      <c r="AC1469" s="99"/>
      <c r="AD1469" s="99"/>
      <c r="AE1469" s="99"/>
      <c r="AF1469" s="99"/>
      <c r="AG1469" s="99"/>
      <c r="AH1469" s="99"/>
      <c r="AI1469" s="99"/>
      <c r="AJ1469" s="99"/>
      <c r="AK1469" s="99"/>
      <c r="AL1469" s="99"/>
      <c r="AM1469" s="99"/>
    </row>
    <row r="1470" ht="12.75" customHeight="1">
      <c r="A1470" s="110" t="s">
        <v>44</v>
      </c>
      <c r="D1470" s="145" t="s">
        <v>45</v>
      </c>
      <c r="G1470" s="104"/>
      <c r="H1470" s="133"/>
      <c r="I1470" s="104"/>
      <c r="J1470" s="134">
        <f t="shared" ref="J1470:K1470" si="1399">J1472</f>
        <v>2000000</v>
      </c>
      <c r="K1470" s="46" t="str">
        <f t="shared" si="1399"/>
        <v/>
      </c>
      <c r="L1470" s="105"/>
      <c r="M1470" s="106"/>
      <c r="N1470" s="105"/>
      <c r="O1470" s="46">
        <f t="shared" ref="O1470:P1470" si="1400">O1472</f>
        <v>2000000</v>
      </c>
      <c r="P1470" s="46">
        <f t="shared" si="1400"/>
        <v>2000000</v>
      </c>
      <c r="Q1470" s="46">
        <v>2000000.0</v>
      </c>
      <c r="R1470" s="101"/>
      <c r="S1470" s="101"/>
      <c r="T1470" s="99"/>
      <c r="U1470" s="99"/>
      <c r="V1470" s="99"/>
      <c r="W1470" s="99"/>
      <c r="X1470" s="99"/>
      <c r="Y1470" s="99"/>
      <c r="Z1470" s="99"/>
      <c r="AA1470" s="99"/>
      <c r="AB1470" s="99"/>
      <c r="AC1470" s="99"/>
      <c r="AD1470" s="99"/>
      <c r="AE1470" s="99"/>
      <c r="AF1470" s="99"/>
      <c r="AG1470" s="99"/>
      <c r="AH1470" s="99"/>
      <c r="AI1470" s="99"/>
      <c r="AJ1470" s="99"/>
      <c r="AK1470" s="99"/>
      <c r="AL1470" s="99"/>
      <c r="AM1470" s="99"/>
    </row>
    <row r="1471" ht="12.75" customHeight="1">
      <c r="A1471" s="104"/>
      <c r="B1471" s="104"/>
      <c r="C1471" s="104"/>
      <c r="D1471" s="110" t="s">
        <v>23</v>
      </c>
      <c r="G1471" s="104"/>
      <c r="H1471" s="104"/>
      <c r="I1471" s="104"/>
      <c r="J1471" s="111"/>
      <c r="K1471" s="111"/>
      <c r="L1471" s="105"/>
      <c r="M1471" s="106"/>
      <c r="N1471" s="105"/>
      <c r="O1471" s="111"/>
      <c r="P1471" s="111"/>
      <c r="Q1471" s="111"/>
      <c r="R1471" s="101"/>
      <c r="S1471" s="101"/>
      <c r="T1471" s="99"/>
      <c r="U1471" s="99"/>
      <c r="V1471" s="99"/>
      <c r="W1471" s="99"/>
      <c r="X1471" s="99"/>
      <c r="Y1471" s="99"/>
      <c r="Z1471" s="99"/>
      <c r="AA1471" s="99"/>
      <c r="AB1471" s="99"/>
      <c r="AC1471" s="99"/>
      <c r="AD1471" s="99"/>
      <c r="AE1471" s="99"/>
      <c r="AF1471" s="99"/>
      <c r="AG1471" s="99"/>
      <c r="AH1471" s="99"/>
      <c r="AI1471" s="99"/>
      <c r="AJ1471" s="99"/>
      <c r="AK1471" s="99"/>
      <c r="AL1471" s="99"/>
      <c r="AM1471" s="99"/>
    </row>
    <row r="1472" ht="12.75" customHeight="1">
      <c r="A1472" s="104"/>
      <c r="B1472" s="104"/>
      <c r="C1472" s="104"/>
      <c r="D1472" s="110" t="s">
        <v>24</v>
      </c>
      <c r="E1472" s="110" t="s">
        <v>161</v>
      </c>
      <c r="G1472" s="136">
        <v>4.0</v>
      </c>
      <c r="H1472" s="136" t="s">
        <v>26</v>
      </c>
      <c r="I1472" s="137">
        <v>500000.0</v>
      </c>
      <c r="J1472" s="46">
        <f>G1472*I1472</f>
        <v>2000000</v>
      </c>
      <c r="K1472" s="46"/>
      <c r="L1472" s="105"/>
      <c r="M1472" s="106"/>
      <c r="N1472" s="105"/>
      <c r="O1472" s="46">
        <f>J1472-K1472</f>
        <v>2000000</v>
      </c>
      <c r="P1472" s="46">
        <f>J1472-M1472</f>
        <v>2000000</v>
      </c>
      <c r="Q1472" s="46">
        <v>2000000.0</v>
      </c>
      <c r="R1472" s="101"/>
      <c r="S1472" s="101"/>
      <c r="T1472" s="99"/>
      <c r="U1472" s="99"/>
      <c r="V1472" s="99"/>
      <c r="W1472" s="99"/>
      <c r="X1472" s="99"/>
      <c r="Y1472" s="99"/>
      <c r="Z1472" s="99"/>
      <c r="AA1472" s="99"/>
      <c r="AB1472" s="99"/>
      <c r="AC1472" s="99"/>
      <c r="AD1472" s="99"/>
      <c r="AE1472" s="99"/>
      <c r="AF1472" s="99"/>
      <c r="AG1472" s="99"/>
      <c r="AH1472" s="99"/>
      <c r="AI1472" s="99"/>
      <c r="AJ1472" s="99"/>
      <c r="AK1472" s="99"/>
      <c r="AL1472" s="99"/>
      <c r="AM1472" s="99"/>
    </row>
    <row r="1473" ht="12.75" customHeight="1">
      <c r="A1473" s="110" t="s">
        <v>47</v>
      </c>
      <c r="D1473" s="145" t="s">
        <v>48</v>
      </c>
      <c r="G1473" s="104"/>
      <c r="H1473" s="133"/>
      <c r="I1473" s="104"/>
      <c r="J1473" s="134">
        <f t="shared" ref="J1473:K1473" si="1401">J1475</f>
        <v>32000000</v>
      </c>
      <c r="K1473" s="46">
        <f t="shared" si="1401"/>
        <v>10500000</v>
      </c>
      <c r="L1473" s="105"/>
      <c r="M1473" s="106"/>
      <c r="N1473" s="105"/>
      <c r="O1473" s="46">
        <f t="shared" ref="O1473:P1473" si="1402">O1475</f>
        <v>21500000</v>
      </c>
      <c r="P1473" s="46">
        <f t="shared" si="1402"/>
        <v>32000000</v>
      </c>
      <c r="Q1473" s="46">
        <v>3.2E7</v>
      </c>
      <c r="R1473" s="101"/>
      <c r="S1473" s="101"/>
      <c r="T1473" s="99"/>
      <c r="U1473" s="99"/>
      <c r="V1473" s="99"/>
      <c r="W1473" s="99"/>
      <c r="X1473" s="99"/>
      <c r="Y1473" s="99"/>
      <c r="Z1473" s="99"/>
      <c r="AA1473" s="99"/>
      <c r="AB1473" s="99"/>
      <c r="AC1473" s="99"/>
      <c r="AD1473" s="99"/>
      <c r="AE1473" s="99"/>
      <c r="AF1473" s="99"/>
      <c r="AG1473" s="99"/>
      <c r="AH1473" s="99"/>
      <c r="AI1473" s="99"/>
      <c r="AJ1473" s="99"/>
      <c r="AK1473" s="99"/>
      <c r="AL1473" s="99"/>
      <c r="AM1473" s="99"/>
    </row>
    <row r="1474" ht="12.75" customHeight="1">
      <c r="A1474" s="104"/>
      <c r="B1474" s="104"/>
      <c r="C1474" s="104"/>
      <c r="D1474" s="110" t="s">
        <v>23</v>
      </c>
      <c r="G1474" s="104"/>
      <c r="H1474" s="104"/>
      <c r="I1474" s="104"/>
      <c r="J1474" s="111"/>
      <c r="K1474" s="111"/>
      <c r="L1474" s="105"/>
      <c r="M1474" s="106"/>
      <c r="N1474" s="105"/>
      <c r="O1474" s="111"/>
      <c r="P1474" s="111"/>
      <c r="Q1474" s="111"/>
      <c r="R1474" s="101"/>
      <c r="S1474" s="101"/>
      <c r="T1474" s="99"/>
      <c r="U1474" s="99"/>
      <c r="V1474" s="99"/>
      <c r="W1474" s="99"/>
      <c r="X1474" s="99"/>
      <c r="Y1474" s="99"/>
      <c r="Z1474" s="99"/>
      <c r="AA1474" s="99"/>
      <c r="AB1474" s="99"/>
      <c r="AC1474" s="99"/>
      <c r="AD1474" s="99"/>
      <c r="AE1474" s="99"/>
      <c r="AF1474" s="99"/>
      <c r="AG1474" s="99"/>
      <c r="AH1474" s="99"/>
      <c r="AI1474" s="99"/>
      <c r="AJ1474" s="99"/>
      <c r="AK1474" s="99"/>
      <c r="AL1474" s="99"/>
      <c r="AM1474" s="99"/>
    </row>
    <row r="1475" ht="12.75" customHeight="1">
      <c r="A1475" s="104"/>
      <c r="B1475" s="104"/>
      <c r="C1475" s="104"/>
      <c r="D1475" s="110" t="s">
        <v>24</v>
      </c>
      <c r="E1475" s="110" t="s">
        <v>314</v>
      </c>
      <c r="G1475" s="136">
        <v>8.0</v>
      </c>
      <c r="H1475" s="136" t="s">
        <v>26</v>
      </c>
      <c r="I1475" s="137">
        <v>4000000.0</v>
      </c>
      <c r="J1475" s="46">
        <f>G1475*I1475</f>
        <v>32000000</v>
      </c>
      <c r="K1475" s="53">
        <v>1.05E7</v>
      </c>
      <c r="L1475" s="105"/>
      <c r="M1475" s="106"/>
      <c r="N1475" s="105"/>
      <c r="O1475" s="46">
        <f>J1475-K1475</f>
        <v>21500000</v>
      </c>
      <c r="P1475" s="46">
        <f>J1475-M1475</f>
        <v>32000000</v>
      </c>
      <c r="Q1475" s="46">
        <v>3.2E7</v>
      </c>
      <c r="R1475" s="101"/>
      <c r="S1475" s="101"/>
      <c r="T1475" s="99"/>
      <c r="U1475" s="99"/>
      <c r="V1475" s="99"/>
      <c r="W1475" s="99"/>
      <c r="X1475" s="99"/>
      <c r="Y1475" s="99"/>
      <c r="Z1475" s="99"/>
      <c r="AA1475" s="99"/>
      <c r="AB1475" s="99"/>
      <c r="AC1475" s="99"/>
      <c r="AD1475" s="99"/>
      <c r="AE1475" s="99"/>
      <c r="AF1475" s="99"/>
      <c r="AG1475" s="99"/>
      <c r="AH1475" s="99"/>
      <c r="AI1475" s="99"/>
      <c r="AJ1475" s="99"/>
      <c r="AK1475" s="99"/>
      <c r="AL1475" s="99"/>
      <c r="AM1475" s="99"/>
    </row>
    <row r="1476" ht="12.75" customHeight="1">
      <c r="A1476" s="144" t="s">
        <v>50</v>
      </c>
      <c r="D1476" s="144" t="s">
        <v>51</v>
      </c>
      <c r="G1476" s="104"/>
      <c r="H1476" s="128"/>
      <c r="I1476" s="104"/>
      <c r="J1476" s="129">
        <f t="shared" ref="J1476:K1476" si="1403">J1477+J1483+J1486</f>
        <v>107350000</v>
      </c>
      <c r="K1476" s="43">
        <f t="shared" si="1403"/>
        <v>6222000</v>
      </c>
      <c r="L1476" s="105"/>
      <c r="M1476" s="106"/>
      <c r="N1476" s="105"/>
      <c r="O1476" s="43">
        <f t="shared" ref="O1476:P1476" si="1404">O1477+O1483+O1486</f>
        <v>101128000</v>
      </c>
      <c r="P1476" s="43">
        <f t="shared" si="1404"/>
        <v>107350000</v>
      </c>
      <c r="Q1476" s="43">
        <v>1.0735E8</v>
      </c>
      <c r="R1476" s="101"/>
      <c r="S1476" s="101"/>
      <c r="T1476" s="99"/>
      <c r="U1476" s="99"/>
      <c r="V1476" s="99"/>
      <c r="W1476" s="99"/>
      <c r="X1476" s="99"/>
      <c r="Y1476" s="99"/>
      <c r="Z1476" s="99"/>
      <c r="AA1476" s="99"/>
      <c r="AB1476" s="99"/>
      <c r="AC1476" s="99"/>
      <c r="AD1476" s="99"/>
      <c r="AE1476" s="99"/>
      <c r="AF1476" s="99"/>
      <c r="AG1476" s="99"/>
      <c r="AH1476" s="99"/>
      <c r="AI1476" s="99"/>
      <c r="AJ1476" s="99"/>
      <c r="AK1476" s="99"/>
      <c r="AL1476" s="99"/>
      <c r="AM1476" s="99"/>
    </row>
    <row r="1477" ht="12.75" customHeight="1">
      <c r="A1477" s="110" t="s">
        <v>40</v>
      </c>
      <c r="D1477" s="145" t="s">
        <v>22</v>
      </c>
      <c r="G1477" s="104"/>
      <c r="H1477" s="133"/>
      <c r="I1477" s="104"/>
      <c r="J1477" s="134">
        <f t="shared" ref="J1477:K1477" si="1405">SUM(J1479:J1482)</f>
        <v>73350000</v>
      </c>
      <c r="K1477" s="46">
        <f t="shared" si="1405"/>
        <v>4622000</v>
      </c>
      <c r="L1477" s="105"/>
      <c r="M1477" s="106"/>
      <c r="N1477" s="105"/>
      <c r="O1477" s="46">
        <f t="shared" ref="O1477:P1477" si="1406">SUM(O1479:O1482)</f>
        <v>68728000</v>
      </c>
      <c r="P1477" s="46">
        <f t="shared" si="1406"/>
        <v>73350000</v>
      </c>
      <c r="Q1477" s="46">
        <v>7.335E7</v>
      </c>
      <c r="R1477" s="101"/>
      <c r="S1477" s="101"/>
      <c r="T1477" s="99"/>
      <c r="U1477" s="99"/>
      <c r="V1477" s="99"/>
      <c r="W1477" s="99"/>
      <c r="X1477" s="99"/>
      <c r="Y1477" s="99"/>
      <c r="Z1477" s="99"/>
      <c r="AA1477" s="99"/>
      <c r="AB1477" s="99"/>
      <c r="AC1477" s="99"/>
      <c r="AD1477" s="99"/>
      <c r="AE1477" s="99"/>
      <c r="AF1477" s="99"/>
      <c r="AG1477" s="99"/>
      <c r="AH1477" s="99"/>
      <c r="AI1477" s="99"/>
      <c r="AJ1477" s="99"/>
      <c r="AK1477" s="99"/>
      <c r="AL1477" s="99"/>
      <c r="AM1477" s="99"/>
    </row>
    <row r="1478" ht="12.75" customHeight="1">
      <c r="A1478" s="104"/>
      <c r="B1478" s="104"/>
      <c r="C1478" s="104"/>
      <c r="D1478" s="110" t="s">
        <v>23</v>
      </c>
      <c r="G1478" s="104"/>
      <c r="H1478" s="104"/>
      <c r="I1478" s="104"/>
      <c r="J1478" s="111"/>
      <c r="K1478" s="111"/>
      <c r="L1478" s="105"/>
      <c r="M1478" s="106"/>
      <c r="N1478" s="105"/>
      <c r="O1478" s="111"/>
      <c r="P1478" s="111"/>
      <c r="Q1478" s="111"/>
      <c r="R1478" s="101"/>
      <c r="S1478" s="101"/>
      <c r="T1478" s="99"/>
      <c r="U1478" s="99"/>
      <c r="V1478" s="99"/>
      <c r="W1478" s="99"/>
      <c r="X1478" s="99"/>
      <c r="Y1478" s="99"/>
      <c r="Z1478" s="99"/>
      <c r="AA1478" s="99"/>
      <c r="AB1478" s="99"/>
      <c r="AC1478" s="99"/>
      <c r="AD1478" s="99"/>
      <c r="AE1478" s="99"/>
      <c r="AF1478" s="99"/>
      <c r="AG1478" s="99"/>
      <c r="AH1478" s="99"/>
      <c r="AI1478" s="99"/>
      <c r="AJ1478" s="99"/>
      <c r="AK1478" s="99"/>
      <c r="AL1478" s="99"/>
      <c r="AM1478" s="99"/>
    </row>
    <row r="1479" ht="12.75" customHeight="1">
      <c r="A1479" s="104"/>
      <c r="B1479" s="104"/>
      <c r="C1479" s="104"/>
      <c r="D1479" s="110" t="s">
        <v>24</v>
      </c>
      <c r="E1479" s="110" t="s">
        <v>315</v>
      </c>
      <c r="G1479" s="136">
        <v>200.0</v>
      </c>
      <c r="H1479" s="136" t="s">
        <v>26</v>
      </c>
      <c r="I1479" s="137">
        <v>53000.0</v>
      </c>
      <c r="J1479" s="46">
        <f t="shared" ref="J1479:J1482" si="1407">G1479*I1479</f>
        <v>10600000</v>
      </c>
      <c r="K1479" s="53">
        <v>500000.0</v>
      </c>
      <c r="L1479" s="105"/>
      <c r="M1479" s="106"/>
      <c r="N1479" s="105"/>
      <c r="O1479" s="46">
        <f t="shared" ref="O1479:O1482" si="1408">J1479-K1479</f>
        <v>10100000</v>
      </c>
      <c r="P1479" s="46">
        <f t="shared" ref="P1479:P1482" si="1409">J1479-M1479</f>
        <v>10600000</v>
      </c>
      <c r="Q1479" s="46">
        <v>1.06E7</v>
      </c>
      <c r="R1479" s="101"/>
      <c r="S1479" s="101"/>
      <c r="T1479" s="99"/>
      <c r="U1479" s="99"/>
      <c r="V1479" s="99"/>
      <c r="W1479" s="99"/>
      <c r="X1479" s="99"/>
      <c r="Y1479" s="99"/>
      <c r="Z1479" s="99"/>
      <c r="AA1479" s="99"/>
      <c r="AB1479" s="99"/>
      <c r="AC1479" s="99"/>
      <c r="AD1479" s="99"/>
      <c r="AE1479" s="99"/>
      <c r="AF1479" s="99"/>
      <c r="AG1479" s="99"/>
      <c r="AH1479" s="99"/>
      <c r="AI1479" s="99"/>
      <c r="AJ1479" s="99"/>
      <c r="AK1479" s="99"/>
      <c r="AL1479" s="99"/>
      <c r="AM1479" s="99"/>
    </row>
    <row r="1480" ht="12.75" customHeight="1">
      <c r="A1480" s="104"/>
      <c r="B1480" s="104"/>
      <c r="C1480" s="104"/>
      <c r="D1480" s="110" t="s">
        <v>24</v>
      </c>
      <c r="E1480" s="110" t="s">
        <v>53</v>
      </c>
      <c r="G1480" s="136">
        <v>5.0</v>
      </c>
      <c r="H1480" s="136" t="s">
        <v>26</v>
      </c>
      <c r="I1480" s="137">
        <v>500000.0</v>
      </c>
      <c r="J1480" s="46">
        <f t="shared" si="1407"/>
        <v>2500000</v>
      </c>
      <c r="K1480" s="46"/>
      <c r="L1480" s="105"/>
      <c r="M1480" s="106"/>
      <c r="N1480" s="105"/>
      <c r="O1480" s="46">
        <f t="shared" si="1408"/>
        <v>2500000</v>
      </c>
      <c r="P1480" s="46">
        <f t="shared" si="1409"/>
        <v>2500000</v>
      </c>
      <c r="Q1480" s="46">
        <v>2500000.0</v>
      </c>
      <c r="R1480" s="101"/>
      <c r="S1480" s="101"/>
      <c r="T1480" s="99"/>
      <c r="U1480" s="99"/>
      <c r="V1480" s="99"/>
      <c r="W1480" s="99"/>
      <c r="X1480" s="99"/>
      <c r="Y1480" s="99"/>
      <c r="Z1480" s="99"/>
      <c r="AA1480" s="99"/>
      <c r="AB1480" s="99"/>
      <c r="AC1480" s="99"/>
      <c r="AD1480" s="99"/>
      <c r="AE1480" s="99"/>
      <c r="AF1480" s="99"/>
      <c r="AG1480" s="99"/>
      <c r="AH1480" s="99"/>
      <c r="AI1480" s="99"/>
      <c r="AJ1480" s="99"/>
      <c r="AK1480" s="99"/>
      <c r="AL1480" s="99"/>
      <c r="AM1480" s="99"/>
    </row>
    <row r="1481" ht="12.75" customHeight="1">
      <c r="A1481" s="104"/>
      <c r="B1481" s="104"/>
      <c r="C1481" s="104"/>
      <c r="D1481" s="110" t="s">
        <v>24</v>
      </c>
      <c r="E1481" s="110" t="s">
        <v>54</v>
      </c>
      <c r="G1481" s="136">
        <v>1.0</v>
      </c>
      <c r="H1481" s="136" t="s">
        <v>55</v>
      </c>
      <c r="I1481" s="137">
        <v>250000.0</v>
      </c>
      <c r="J1481" s="46">
        <f t="shared" si="1407"/>
        <v>250000</v>
      </c>
      <c r="K1481" s="53">
        <v>132000.0</v>
      </c>
      <c r="L1481" s="105"/>
      <c r="M1481" s="106"/>
      <c r="N1481" s="105"/>
      <c r="O1481" s="46">
        <f t="shared" si="1408"/>
        <v>118000</v>
      </c>
      <c r="P1481" s="46">
        <f t="shared" si="1409"/>
        <v>250000</v>
      </c>
      <c r="Q1481" s="46">
        <v>250000.0</v>
      </c>
      <c r="R1481" s="101"/>
      <c r="S1481" s="101"/>
      <c r="T1481" s="99"/>
      <c r="U1481" s="99"/>
      <c r="V1481" s="99"/>
      <c r="W1481" s="99"/>
      <c r="X1481" s="99"/>
      <c r="Y1481" s="99"/>
      <c r="Z1481" s="99"/>
      <c r="AA1481" s="99"/>
      <c r="AB1481" s="99"/>
      <c r="AC1481" s="99"/>
      <c r="AD1481" s="99"/>
      <c r="AE1481" s="99"/>
      <c r="AF1481" s="99"/>
      <c r="AG1481" s="99"/>
      <c r="AH1481" s="99"/>
      <c r="AI1481" s="99"/>
      <c r="AJ1481" s="99"/>
      <c r="AK1481" s="99"/>
      <c r="AL1481" s="99"/>
      <c r="AM1481" s="99"/>
    </row>
    <row r="1482" ht="12.75" customHeight="1">
      <c r="A1482" s="104"/>
      <c r="B1482" s="104"/>
      <c r="C1482" s="104"/>
      <c r="D1482" s="110" t="s">
        <v>24</v>
      </c>
      <c r="E1482" s="110" t="s">
        <v>316</v>
      </c>
      <c r="G1482" s="136">
        <v>200.0</v>
      </c>
      <c r="H1482" s="136" t="s">
        <v>26</v>
      </c>
      <c r="I1482" s="137">
        <v>300000.0</v>
      </c>
      <c r="J1482" s="46">
        <f t="shared" si="1407"/>
        <v>60000000</v>
      </c>
      <c r="K1482" s="53">
        <v>3990000.0</v>
      </c>
      <c r="L1482" s="105"/>
      <c r="M1482" s="106"/>
      <c r="N1482" s="105"/>
      <c r="O1482" s="46">
        <f t="shared" si="1408"/>
        <v>56010000</v>
      </c>
      <c r="P1482" s="46">
        <f t="shared" si="1409"/>
        <v>60000000</v>
      </c>
      <c r="Q1482" s="46">
        <v>6.0E7</v>
      </c>
      <c r="R1482" s="101"/>
      <c r="S1482" s="101"/>
      <c r="T1482" s="99"/>
      <c r="U1482" s="99"/>
      <c r="V1482" s="99"/>
      <c r="W1482" s="99"/>
      <c r="X1482" s="99"/>
      <c r="Y1482" s="99"/>
      <c r="Z1482" s="99"/>
      <c r="AA1482" s="99"/>
      <c r="AB1482" s="99"/>
      <c r="AC1482" s="99"/>
      <c r="AD1482" s="99"/>
      <c r="AE1482" s="99"/>
      <c r="AF1482" s="99"/>
      <c r="AG1482" s="99"/>
      <c r="AH1482" s="99"/>
      <c r="AI1482" s="99"/>
      <c r="AJ1482" s="99"/>
      <c r="AK1482" s="99"/>
      <c r="AL1482" s="99"/>
      <c r="AM1482" s="99"/>
    </row>
    <row r="1483" ht="12.75" customHeight="1">
      <c r="A1483" s="110" t="s">
        <v>47</v>
      </c>
      <c r="D1483" s="145" t="s">
        <v>48</v>
      </c>
      <c r="G1483" s="104"/>
      <c r="H1483" s="133"/>
      <c r="I1483" s="104"/>
      <c r="J1483" s="134">
        <f t="shared" ref="J1483:K1483" si="1410">J1485</f>
        <v>32000000</v>
      </c>
      <c r="K1483" s="46" t="str">
        <f t="shared" si="1410"/>
        <v/>
      </c>
      <c r="L1483" s="105"/>
      <c r="M1483" s="106"/>
      <c r="N1483" s="105"/>
      <c r="O1483" s="46">
        <f t="shared" ref="O1483:P1483" si="1411">O1485</f>
        <v>32000000</v>
      </c>
      <c r="P1483" s="46">
        <f t="shared" si="1411"/>
        <v>32000000</v>
      </c>
      <c r="Q1483" s="46">
        <v>3.2E7</v>
      </c>
      <c r="R1483" s="101"/>
      <c r="S1483" s="101"/>
      <c r="T1483" s="99"/>
      <c r="U1483" s="99"/>
      <c r="V1483" s="99"/>
      <c r="W1483" s="99"/>
      <c r="X1483" s="99"/>
      <c r="Y1483" s="99"/>
      <c r="Z1483" s="99"/>
      <c r="AA1483" s="99"/>
      <c r="AB1483" s="99"/>
      <c r="AC1483" s="99"/>
      <c r="AD1483" s="99"/>
      <c r="AE1483" s="99"/>
      <c r="AF1483" s="99"/>
      <c r="AG1483" s="99"/>
      <c r="AH1483" s="99"/>
      <c r="AI1483" s="99"/>
      <c r="AJ1483" s="99"/>
      <c r="AK1483" s="99"/>
      <c r="AL1483" s="99"/>
      <c r="AM1483" s="99"/>
    </row>
    <row r="1484" ht="12.75" customHeight="1">
      <c r="A1484" s="104"/>
      <c r="B1484" s="104"/>
      <c r="C1484" s="104"/>
      <c r="D1484" s="110" t="s">
        <v>23</v>
      </c>
      <c r="G1484" s="104"/>
      <c r="H1484" s="104"/>
      <c r="I1484" s="104"/>
      <c r="J1484" s="111"/>
      <c r="K1484" s="111"/>
      <c r="L1484" s="105"/>
      <c r="M1484" s="106"/>
      <c r="N1484" s="105"/>
      <c r="O1484" s="111"/>
      <c r="P1484" s="111"/>
      <c r="Q1484" s="111"/>
      <c r="R1484" s="101"/>
      <c r="S1484" s="101"/>
      <c r="T1484" s="99"/>
      <c r="U1484" s="99"/>
      <c r="V1484" s="99"/>
      <c r="W1484" s="99"/>
      <c r="X1484" s="99"/>
      <c r="Y1484" s="99"/>
      <c r="Z1484" s="99"/>
      <c r="AA1484" s="99"/>
      <c r="AB1484" s="99"/>
      <c r="AC1484" s="99"/>
      <c r="AD1484" s="99"/>
      <c r="AE1484" s="99"/>
      <c r="AF1484" s="99"/>
      <c r="AG1484" s="99"/>
      <c r="AH1484" s="99"/>
      <c r="AI1484" s="99"/>
      <c r="AJ1484" s="99"/>
      <c r="AK1484" s="99"/>
      <c r="AL1484" s="99"/>
      <c r="AM1484" s="99"/>
    </row>
    <row r="1485" ht="12.75" customHeight="1">
      <c r="A1485" s="104"/>
      <c r="B1485" s="104"/>
      <c r="C1485" s="104"/>
      <c r="D1485" s="110" t="s">
        <v>24</v>
      </c>
      <c r="E1485" s="110" t="s">
        <v>317</v>
      </c>
      <c r="G1485" s="136">
        <v>8.0</v>
      </c>
      <c r="H1485" s="136" t="s">
        <v>26</v>
      </c>
      <c r="I1485" s="137">
        <v>4000000.0</v>
      </c>
      <c r="J1485" s="46">
        <f>G1485*I1485</f>
        <v>32000000</v>
      </c>
      <c r="K1485" s="46"/>
      <c r="L1485" s="105"/>
      <c r="M1485" s="106"/>
      <c r="N1485" s="105"/>
      <c r="O1485" s="46">
        <f>J1485-K1485</f>
        <v>32000000</v>
      </c>
      <c r="P1485" s="46">
        <f>J1485-M1485</f>
        <v>32000000</v>
      </c>
      <c r="Q1485" s="46">
        <v>3.2E7</v>
      </c>
      <c r="R1485" s="101"/>
      <c r="S1485" s="101"/>
      <c r="T1485" s="99"/>
      <c r="U1485" s="99"/>
      <c r="V1485" s="99"/>
      <c r="W1485" s="99"/>
      <c r="X1485" s="99"/>
      <c r="Y1485" s="99"/>
      <c r="Z1485" s="99"/>
      <c r="AA1485" s="99"/>
      <c r="AB1485" s="99"/>
      <c r="AC1485" s="99"/>
      <c r="AD1485" s="99"/>
      <c r="AE1485" s="99"/>
      <c r="AF1485" s="99"/>
      <c r="AG1485" s="99"/>
      <c r="AH1485" s="99"/>
      <c r="AI1485" s="99"/>
      <c r="AJ1485" s="99"/>
      <c r="AK1485" s="99"/>
      <c r="AL1485" s="99"/>
      <c r="AM1485" s="99"/>
    </row>
    <row r="1486" ht="12.75" customHeight="1">
      <c r="A1486" s="110" t="s">
        <v>58</v>
      </c>
      <c r="D1486" s="145" t="s">
        <v>34</v>
      </c>
      <c r="G1486" s="104"/>
      <c r="H1486" s="133"/>
      <c r="I1486" s="104"/>
      <c r="J1486" s="134">
        <f t="shared" ref="J1486:K1486" si="1412">J1488</f>
        <v>2000000</v>
      </c>
      <c r="K1486" s="46">
        <f t="shared" si="1412"/>
        <v>1600000</v>
      </c>
      <c r="L1486" s="105"/>
      <c r="M1486" s="106"/>
      <c r="N1486" s="105"/>
      <c r="O1486" s="46">
        <f t="shared" ref="O1486:P1486" si="1413">O1488</f>
        <v>400000</v>
      </c>
      <c r="P1486" s="46">
        <f t="shared" si="1413"/>
        <v>2000000</v>
      </c>
      <c r="Q1486" s="46">
        <v>2000000.0</v>
      </c>
      <c r="R1486" s="101"/>
      <c r="S1486" s="101"/>
      <c r="T1486" s="99"/>
      <c r="U1486" s="99"/>
      <c r="V1486" s="99"/>
      <c r="W1486" s="99"/>
      <c r="X1486" s="99"/>
      <c r="Y1486" s="99"/>
      <c r="Z1486" s="99"/>
      <c r="AA1486" s="99"/>
      <c r="AB1486" s="99"/>
      <c r="AC1486" s="99"/>
      <c r="AD1486" s="99"/>
      <c r="AE1486" s="99"/>
      <c r="AF1486" s="99"/>
      <c r="AG1486" s="99"/>
      <c r="AH1486" s="99"/>
      <c r="AI1486" s="99"/>
      <c r="AJ1486" s="99"/>
      <c r="AK1486" s="99"/>
      <c r="AL1486" s="99"/>
      <c r="AM1486" s="99"/>
    </row>
    <row r="1487" ht="12.75" customHeight="1">
      <c r="A1487" s="104"/>
      <c r="B1487" s="104"/>
      <c r="C1487" s="104"/>
      <c r="D1487" s="110" t="s">
        <v>23</v>
      </c>
      <c r="G1487" s="104"/>
      <c r="H1487" s="104"/>
      <c r="I1487" s="104"/>
      <c r="J1487" s="111"/>
      <c r="K1487" s="111"/>
      <c r="L1487" s="105"/>
      <c r="M1487" s="106"/>
      <c r="N1487" s="105"/>
      <c r="O1487" s="111"/>
      <c r="P1487" s="111"/>
      <c r="Q1487" s="111"/>
      <c r="R1487" s="101"/>
      <c r="S1487" s="101"/>
      <c r="T1487" s="99"/>
      <c r="U1487" s="99"/>
      <c r="V1487" s="99"/>
      <c r="W1487" s="99"/>
      <c r="X1487" s="99"/>
      <c r="Y1487" s="99"/>
      <c r="Z1487" s="99"/>
      <c r="AA1487" s="99"/>
      <c r="AB1487" s="99"/>
      <c r="AC1487" s="99"/>
      <c r="AD1487" s="99"/>
      <c r="AE1487" s="99"/>
      <c r="AF1487" s="99"/>
      <c r="AG1487" s="99"/>
      <c r="AH1487" s="99"/>
      <c r="AI1487" s="99"/>
      <c r="AJ1487" s="99"/>
      <c r="AK1487" s="99"/>
      <c r="AL1487" s="99"/>
      <c r="AM1487" s="99"/>
    </row>
    <row r="1488" ht="12.75" customHeight="1">
      <c r="A1488" s="104"/>
      <c r="B1488" s="104"/>
      <c r="C1488" s="104"/>
      <c r="D1488" s="110" t="s">
        <v>24</v>
      </c>
      <c r="E1488" s="110" t="s">
        <v>59</v>
      </c>
      <c r="G1488" s="136">
        <v>4.0</v>
      </c>
      <c r="H1488" s="136" t="s">
        <v>26</v>
      </c>
      <c r="I1488" s="137">
        <v>500000.0</v>
      </c>
      <c r="J1488" s="46">
        <f>G1488*I1488</f>
        <v>2000000</v>
      </c>
      <c r="K1488" s="53">
        <v>1600000.0</v>
      </c>
      <c r="L1488" s="105"/>
      <c r="M1488" s="106"/>
      <c r="N1488" s="105"/>
      <c r="O1488" s="46">
        <f>J1488-K1488</f>
        <v>400000</v>
      </c>
      <c r="P1488" s="46">
        <f>J1488-M1488</f>
        <v>2000000</v>
      </c>
      <c r="Q1488" s="46">
        <v>2000000.0</v>
      </c>
      <c r="R1488" s="101"/>
      <c r="S1488" s="101"/>
      <c r="T1488" s="99"/>
      <c r="U1488" s="99"/>
      <c r="V1488" s="99"/>
      <c r="W1488" s="99"/>
      <c r="X1488" s="99"/>
      <c r="Y1488" s="99"/>
      <c r="Z1488" s="99"/>
      <c r="AA1488" s="99"/>
      <c r="AB1488" s="99"/>
      <c r="AC1488" s="99"/>
      <c r="AD1488" s="99"/>
      <c r="AE1488" s="99"/>
      <c r="AF1488" s="99"/>
      <c r="AG1488" s="99"/>
      <c r="AH1488" s="99"/>
      <c r="AI1488" s="99"/>
      <c r="AJ1488" s="99"/>
      <c r="AK1488" s="99"/>
      <c r="AL1488" s="99"/>
      <c r="AM1488" s="99"/>
    </row>
    <row r="1489" ht="12.75" customHeight="1">
      <c r="A1489" s="144" t="s">
        <v>60</v>
      </c>
      <c r="D1489" s="144" t="s">
        <v>61</v>
      </c>
      <c r="G1489" s="104"/>
      <c r="H1489" s="128"/>
      <c r="I1489" s="104"/>
      <c r="J1489" s="129">
        <f t="shared" ref="J1489:K1489" si="1414">J1490+J1493+J1497+J1500+J1503</f>
        <v>288600000</v>
      </c>
      <c r="K1489" s="43">
        <f t="shared" si="1414"/>
        <v>22207000</v>
      </c>
      <c r="L1489" s="105"/>
      <c r="M1489" s="106"/>
      <c r="N1489" s="105"/>
      <c r="O1489" s="43">
        <f t="shared" ref="O1489:P1489" si="1415">O1490+O1493+O1497+O1500+O1503</f>
        <v>266393000</v>
      </c>
      <c r="P1489" s="43">
        <f t="shared" si="1415"/>
        <v>288600000</v>
      </c>
      <c r="Q1489" s="43">
        <v>2.886E8</v>
      </c>
      <c r="R1489" s="101"/>
      <c r="S1489" s="101"/>
      <c r="T1489" s="99"/>
      <c r="U1489" s="99"/>
      <c r="V1489" s="99"/>
      <c r="W1489" s="99"/>
      <c r="X1489" s="99"/>
      <c r="Y1489" s="99"/>
      <c r="Z1489" s="99"/>
      <c r="AA1489" s="99"/>
      <c r="AB1489" s="99"/>
      <c r="AC1489" s="99"/>
      <c r="AD1489" s="99"/>
      <c r="AE1489" s="99"/>
      <c r="AF1489" s="99"/>
      <c r="AG1489" s="99"/>
      <c r="AH1489" s="99"/>
      <c r="AI1489" s="99"/>
      <c r="AJ1489" s="99"/>
      <c r="AK1489" s="99"/>
      <c r="AL1489" s="99"/>
      <c r="AM1489" s="99"/>
    </row>
    <row r="1490" ht="12.75" customHeight="1">
      <c r="A1490" s="110" t="s">
        <v>40</v>
      </c>
      <c r="D1490" s="145" t="s">
        <v>22</v>
      </c>
      <c r="G1490" s="104"/>
      <c r="H1490" s="133"/>
      <c r="I1490" s="104"/>
      <c r="J1490" s="134">
        <f t="shared" ref="J1490:K1490" si="1416">J1492</f>
        <v>63600000</v>
      </c>
      <c r="K1490" s="46">
        <f t="shared" si="1416"/>
        <v>640000</v>
      </c>
      <c r="L1490" s="105"/>
      <c r="M1490" s="106"/>
      <c r="N1490" s="105"/>
      <c r="O1490" s="46">
        <f t="shared" ref="O1490:P1490" si="1417">O1492</f>
        <v>62960000</v>
      </c>
      <c r="P1490" s="46">
        <f t="shared" si="1417"/>
        <v>63600000</v>
      </c>
      <c r="Q1490" s="46">
        <v>6.36E7</v>
      </c>
      <c r="R1490" s="101"/>
      <c r="S1490" s="101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  <c r="AG1490" s="99"/>
      <c r="AH1490" s="99"/>
      <c r="AI1490" s="99"/>
      <c r="AJ1490" s="99"/>
      <c r="AK1490" s="99"/>
      <c r="AL1490" s="99"/>
      <c r="AM1490" s="99"/>
    </row>
    <row r="1491" ht="12.75" customHeight="1">
      <c r="A1491" s="104"/>
      <c r="B1491" s="104"/>
      <c r="C1491" s="104"/>
      <c r="D1491" s="110" t="s">
        <v>23</v>
      </c>
      <c r="G1491" s="104"/>
      <c r="H1491" s="104"/>
      <c r="I1491" s="104"/>
      <c r="J1491" s="111"/>
      <c r="K1491" s="111"/>
      <c r="L1491" s="105"/>
      <c r="M1491" s="106"/>
      <c r="N1491" s="105"/>
      <c r="O1491" s="111"/>
      <c r="P1491" s="111"/>
      <c r="Q1491" s="111"/>
      <c r="R1491" s="101"/>
      <c r="S1491" s="101"/>
      <c r="T1491" s="99"/>
      <c r="U1491" s="99"/>
      <c r="V1491" s="99"/>
      <c r="W1491" s="99"/>
      <c r="X1491" s="99"/>
      <c r="Y1491" s="99"/>
      <c r="Z1491" s="99"/>
      <c r="AA1491" s="99"/>
      <c r="AB1491" s="99"/>
      <c r="AC1491" s="99"/>
      <c r="AD1491" s="99"/>
      <c r="AE1491" s="99"/>
      <c r="AF1491" s="99"/>
      <c r="AG1491" s="99"/>
      <c r="AH1491" s="99"/>
      <c r="AI1491" s="99"/>
      <c r="AJ1491" s="99"/>
      <c r="AK1491" s="99"/>
      <c r="AL1491" s="99"/>
      <c r="AM1491" s="99"/>
    </row>
    <row r="1492" ht="15.75" customHeight="1">
      <c r="A1492" s="104"/>
      <c r="B1492" s="104"/>
      <c r="C1492" s="104"/>
      <c r="D1492" s="110" t="s">
        <v>24</v>
      </c>
      <c r="E1492" s="110" t="s">
        <v>318</v>
      </c>
      <c r="G1492" s="136">
        <v>1200.0</v>
      </c>
      <c r="H1492" s="136" t="s">
        <v>26</v>
      </c>
      <c r="I1492" s="137">
        <v>53000.0</v>
      </c>
      <c r="J1492" s="46">
        <f>G1492*I1492</f>
        <v>63600000</v>
      </c>
      <c r="K1492" s="53">
        <v>640000.0</v>
      </c>
      <c r="L1492" s="105"/>
      <c r="M1492" s="106"/>
      <c r="N1492" s="105"/>
      <c r="O1492" s="46">
        <f>J1492-K1492</f>
        <v>62960000</v>
      </c>
      <c r="P1492" s="46">
        <f>J1492-M1492</f>
        <v>63600000</v>
      </c>
      <c r="Q1492" s="46">
        <v>6.36E7</v>
      </c>
      <c r="R1492" s="101"/>
      <c r="S1492" s="101"/>
      <c r="T1492" s="99"/>
      <c r="U1492" s="99"/>
      <c r="V1492" s="99"/>
      <c r="W1492" s="99"/>
      <c r="X1492" s="99"/>
      <c r="Y1492" s="99"/>
      <c r="Z1492" s="99"/>
      <c r="AA1492" s="99"/>
      <c r="AB1492" s="99"/>
      <c r="AC1492" s="99"/>
      <c r="AD1492" s="99"/>
      <c r="AE1492" s="99"/>
      <c r="AF1492" s="99"/>
      <c r="AG1492" s="99"/>
      <c r="AH1492" s="99"/>
      <c r="AI1492" s="99"/>
      <c r="AJ1492" s="99"/>
      <c r="AK1492" s="99"/>
      <c r="AL1492" s="99"/>
      <c r="AM1492" s="99"/>
    </row>
    <row r="1493" ht="12.75" customHeight="1">
      <c r="A1493" s="110" t="s">
        <v>63</v>
      </c>
      <c r="D1493" s="145" t="s">
        <v>64</v>
      </c>
      <c r="G1493" s="104"/>
      <c r="H1493" s="133"/>
      <c r="I1493" s="104"/>
      <c r="J1493" s="134">
        <f t="shared" ref="J1493:K1493" si="1418">SUM(J1495:J1496)</f>
        <v>135000000</v>
      </c>
      <c r="K1493" s="46">
        <f t="shared" si="1418"/>
        <v>19967000</v>
      </c>
      <c r="L1493" s="105"/>
      <c r="M1493" s="106"/>
      <c r="N1493" s="105"/>
      <c r="O1493" s="46">
        <f t="shared" ref="O1493:P1493" si="1419">SUM(O1495:O1496)</f>
        <v>115033000</v>
      </c>
      <c r="P1493" s="46">
        <f t="shared" si="1419"/>
        <v>135000000</v>
      </c>
      <c r="Q1493" s="46">
        <v>1.35E8</v>
      </c>
      <c r="R1493" s="101"/>
      <c r="S1493" s="101"/>
      <c r="T1493" s="99"/>
      <c r="U1493" s="99"/>
      <c r="V1493" s="99"/>
      <c r="W1493" s="99"/>
      <c r="X1493" s="99"/>
      <c r="Y1493" s="99"/>
      <c r="Z1493" s="99"/>
      <c r="AA1493" s="99"/>
      <c r="AB1493" s="99"/>
      <c r="AC1493" s="99"/>
      <c r="AD1493" s="99"/>
      <c r="AE1493" s="99"/>
      <c r="AF1493" s="99"/>
      <c r="AG1493" s="99"/>
      <c r="AH1493" s="99"/>
      <c r="AI1493" s="99"/>
      <c r="AJ1493" s="99"/>
      <c r="AK1493" s="99"/>
      <c r="AL1493" s="99"/>
      <c r="AM1493" s="99"/>
    </row>
    <row r="1494" ht="12.75" customHeight="1">
      <c r="A1494" s="104"/>
      <c r="B1494" s="104"/>
      <c r="C1494" s="104"/>
      <c r="D1494" s="110" t="s">
        <v>23</v>
      </c>
      <c r="G1494" s="104"/>
      <c r="H1494" s="104"/>
      <c r="I1494" s="104"/>
      <c r="J1494" s="111"/>
      <c r="K1494" s="111"/>
      <c r="L1494" s="105"/>
      <c r="M1494" s="106"/>
      <c r="N1494" s="105"/>
      <c r="O1494" s="111"/>
      <c r="P1494" s="111"/>
      <c r="Q1494" s="111"/>
      <c r="R1494" s="101"/>
      <c r="S1494" s="101"/>
      <c r="T1494" s="99"/>
      <c r="U1494" s="99"/>
      <c r="V1494" s="99"/>
      <c r="W1494" s="99"/>
      <c r="X1494" s="99"/>
      <c r="Y1494" s="99"/>
      <c r="Z1494" s="99"/>
      <c r="AA1494" s="99"/>
      <c r="AB1494" s="99"/>
      <c r="AC1494" s="99"/>
      <c r="AD1494" s="99"/>
      <c r="AE1494" s="99"/>
      <c r="AF1494" s="99"/>
      <c r="AG1494" s="99"/>
      <c r="AH1494" s="99"/>
      <c r="AI1494" s="99"/>
      <c r="AJ1494" s="99"/>
      <c r="AK1494" s="99"/>
      <c r="AL1494" s="99"/>
      <c r="AM1494" s="99"/>
    </row>
    <row r="1495" ht="15.75" customHeight="1">
      <c r="A1495" s="104"/>
      <c r="B1495" s="104"/>
      <c r="C1495" s="104"/>
      <c r="D1495" s="110" t="s">
        <v>24</v>
      </c>
      <c r="E1495" s="110" t="s">
        <v>289</v>
      </c>
      <c r="G1495" s="136">
        <v>1.0</v>
      </c>
      <c r="H1495" s="136" t="s">
        <v>97</v>
      </c>
      <c r="I1495" s="137">
        <v>9.5E7</v>
      </c>
      <c r="J1495" s="46">
        <f t="shared" ref="J1495:J1496" si="1420">G1495*I1495</f>
        <v>95000000</v>
      </c>
      <c r="K1495" s="53">
        <v>3552000.0</v>
      </c>
      <c r="L1495" s="105"/>
      <c r="M1495" s="106"/>
      <c r="N1495" s="105"/>
      <c r="O1495" s="46">
        <f t="shared" ref="O1495:O1496" si="1421">J1495-K1495</f>
        <v>91448000</v>
      </c>
      <c r="P1495" s="46">
        <f t="shared" ref="P1495:P1496" si="1422">J1495-M1495</f>
        <v>95000000</v>
      </c>
      <c r="Q1495" s="46">
        <v>9.5E7</v>
      </c>
      <c r="R1495" s="101"/>
      <c r="S1495" s="101"/>
      <c r="T1495" s="99"/>
      <c r="U1495" s="99"/>
      <c r="V1495" s="99"/>
      <c r="W1495" s="99"/>
      <c r="X1495" s="99"/>
      <c r="Y1495" s="99"/>
      <c r="Z1495" s="99"/>
      <c r="AA1495" s="99"/>
      <c r="AB1495" s="99"/>
      <c r="AC1495" s="99"/>
      <c r="AD1495" s="99"/>
      <c r="AE1495" s="99"/>
      <c r="AF1495" s="99"/>
      <c r="AG1495" s="99"/>
      <c r="AH1495" s="99"/>
      <c r="AI1495" s="99"/>
      <c r="AJ1495" s="99"/>
      <c r="AK1495" s="99"/>
      <c r="AL1495" s="99"/>
      <c r="AM1495" s="99"/>
    </row>
    <row r="1496" ht="12.75" customHeight="1">
      <c r="A1496" s="104"/>
      <c r="B1496" s="104"/>
      <c r="C1496" s="104"/>
      <c r="D1496" s="110" t="s">
        <v>24</v>
      </c>
      <c r="E1496" s="110" t="s">
        <v>369</v>
      </c>
      <c r="G1496" s="136">
        <v>200.0</v>
      </c>
      <c r="H1496" s="136" t="s">
        <v>26</v>
      </c>
      <c r="I1496" s="137">
        <v>200000.0</v>
      </c>
      <c r="J1496" s="46">
        <f t="shared" si="1420"/>
        <v>40000000</v>
      </c>
      <c r="K1496" s="53">
        <v>1.6415E7</v>
      </c>
      <c r="L1496" s="105"/>
      <c r="M1496" s="106"/>
      <c r="N1496" s="105"/>
      <c r="O1496" s="46">
        <f t="shared" si="1421"/>
        <v>23585000</v>
      </c>
      <c r="P1496" s="46">
        <f t="shared" si="1422"/>
        <v>40000000</v>
      </c>
      <c r="Q1496" s="46">
        <v>4.0E7</v>
      </c>
      <c r="R1496" s="101"/>
      <c r="S1496" s="101"/>
      <c r="T1496" s="99"/>
      <c r="U1496" s="99"/>
      <c r="V1496" s="99"/>
      <c r="W1496" s="99"/>
      <c r="X1496" s="99"/>
      <c r="Y1496" s="99"/>
      <c r="Z1496" s="99"/>
      <c r="AA1496" s="99"/>
      <c r="AB1496" s="99"/>
      <c r="AC1496" s="99"/>
      <c r="AD1496" s="99"/>
      <c r="AE1496" s="99"/>
      <c r="AF1496" s="99"/>
      <c r="AG1496" s="99"/>
      <c r="AH1496" s="99"/>
      <c r="AI1496" s="99"/>
      <c r="AJ1496" s="99"/>
      <c r="AK1496" s="99"/>
      <c r="AL1496" s="99"/>
      <c r="AM1496" s="99"/>
    </row>
    <row r="1497" ht="12.75" customHeight="1">
      <c r="A1497" s="110" t="s">
        <v>68</v>
      </c>
      <c r="D1497" s="145" t="s">
        <v>69</v>
      </c>
      <c r="G1497" s="104"/>
      <c r="H1497" s="133"/>
      <c r="I1497" s="104"/>
      <c r="J1497" s="134">
        <f t="shared" ref="J1497:K1497" si="1423">J1499</f>
        <v>10000000</v>
      </c>
      <c r="K1497" s="46" t="str">
        <f t="shared" si="1423"/>
        <v/>
      </c>
      <c r="L1497" s="105"/>
      <c r="M1497" s="106"/>
      <c r="N1497" s="105"/>
      <c r="O1497" s="46">
        <f t="shared" ref="O1497:P1497" si="1424">O1499</f>
        <v>10000000</v>
      </c>
      <c r="P1497" s="46">
        <f t="shared" si="1424"/>
        <v>10000000</v>
      </c>
      <c r="Q1497" s="46">
        <v>1.0E7</v>
      </c>
      <c r="R1497" s="101"/>
      <c r="S1497" s="101"/>
      <c r="T1497" s="99"/>
      <c r="U1497" s="99"/>
      <c r="V1497" s="99"/>
      <c r="W1497" s="99"/>
      <c r="X1497" s="99"/>
      <c r="Y1497" s="99"/>
      <c r="Z1497" s="99"/>
      <c r="AA1497" s="99"/>
      <c r="AB1497" s="99"/>
      <c r="AC1497" s="99"/>
      <c r="AD1497" s="99"/>
      <c r="AE1497" s="99"/>
      <c r="AF1497" s="99"/>
      <c r="AG1497" s="99"/>
      <c r="AH1497" s="99"/>
      <c r="AI1497" s="99"/>
      <c r="AJ1497" s="99"/>
      <c r="AK1497" s="99"/>
      <c r="AL1497" s="99"/>
      <c r="AM1497" s="99"/>
    </row>
    <row r="1498" ht="12.75" customHeight="1">
      <c r="A1498" s="104"/>
      <c r="B1498" s="104"/>
      <c r="C1498" s="104"/>
      <c r="D1498" s="110" t="s">
        <v>23</v>
      </c>
      <c r="G1498" s="104"/>
      <c r="H1498" s="104"/>
      <c r="I1498" s="104"/>
      <c r="J1498" s="111"/>
      <c r="K1498" s="111"/>
      <c r="L1498" s="105"/>
      <c r="M1498" s="106"/>
      <c r="N1498" s="105"/>
      <c r="O1498" s="111"/>
      <c r="P1498" s="111"/>
      <c r="Q1498" s="111"/>
      <c r="R1498" s="101"/>
      <c r="S1498" s="101"/>
      <c r="T1498" s="99"/>
      <c r="U1498" s="99"/>
      <c r="V1498" s="99"/>
      <c r="W1498" s="99"/>
      <c r="X1498" s="99"/>
      <c r="Y1498" s="99"/>
      <c r="Z1498" s="99"/>
      <c r="AA1498" s="99"/>
      <c r="AB1498" s="99"/>
      <c r="AC1498" s="99"/>
      <c r="AD1498" s="99"/>
      <c r="AE1498" s="99"/>
      <c r="AF1498" s="99"/>
      <c r="AG1498" s="99"/>
      <c r="AH1498" s="99"/>
      <c r="AI1498" s="99"/>
      <c r="AJ1498" s="99"/>
      <c r="AK1498" s="99"/>
      <c r="AL1498" s="99"/>
      <c r="AM1498" s="99"/>
    </row>
    <row r="1499" ht="12.75" customHeight="1">
      <c r="A1499" s="104"/>
      <c r="B1499" s="104"/>
      <c r="C1499" s="104"/>
      <c r="D1499" s="110" t="s">
        <v>24</v>
      </c>
      <c r="E1499" s="110" t="s">
        <v>70</v>
      </c>
      <c r="G1499" s="136">
        <v>20.0</v>
      </c>
      <c r="H1499" s="136" t="s">
        <v>26</v>
      </c>
      <c r="I1499" s="137">
        <v>500000.0</v>
      </c>
      <c r="J1499" s="46">
        <f>G1499*I1499</f>
        <v>10000000</v>
      </c>
      <c r="K1499" s="46"/>
      <c r="L1499" s="105"/>
      <c r="M1499" s="106"/>
      <c r="N1499" s="105"/>
      <c r="O1499" s="46">
        <f>J1499-K1499</f>
        <v>10000000</v>
      </c>
      <c r="P1499" s="46">
        <f>J1499-M1499</f>
        <v>10000000</v>
      </c>
      <c r="Q1499" s="46">
        <v>1.0E7</v>
      </c>
      <c r="R1499" s="101"/>
      <c r="S1499" s="101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  <c r="AG1499" s="99"/>
      <c r="AH1499" s="99"/>
      <c r="AI1499" s="99"/>
      <c r="AJ1499" s="99"/>
      <c r="AK1499" s="99"/>
      <c r="AL1499" s="99"/>
      <c r="AM1499" s="99"/>
    </row>
    <row r="1500" ht="12.75" customHeight="1">
      <c r="A1500" s="110" t="s">
        <v>47</v>
      </c>
      <c r="D1500" s="145" t="s">
        <v>48</v>
      </c>
      <c r="G1500" s="104"/>
      <c r="H1500" s="133"/>
      <c r="I1500" s="104"/>
      <c r="J1500" s="134">
        <f t="shared" ref="J1500:K1500" si="1425">J1502</f>
        <v>32000000</v>
      </c>
      <c r="K1500" s="46" t="str">
        <f t="shared" si="1425"/>
        <v/>
      </c>
      <c r="L1500" s="105"/>
      <c r="M1500" s="106"/>
      <c r="N1500" s="105"/>
      <c r="O1500" s="46">
        <f t="shared" ref="O1500:P1500" si="1426">O1502</f>
        <v>32000000</v>
      </c>
      <c r="P1500" s="46">
        <f t="shared" si="1426"/>
        <v>32000000</v>
      </c>
      <c r="Q1500" s="46">
        <v>3.2E7</v>
      </c>
      <c r="R1500" s="101"/>
      <c r="S1500" s="101"/>
      <c r="T1500" s="99"/>
      <c r="U1500" s="99"/>
      <c r="V1500" s="99"/>
      <c r="W1500" s="99"/>
      <c r="X1500" s="99"/>
      <c r="Y1500" s="99"/>
      <c r="Z1500" s="99"/>
      <c r="AA1500" s="99"/>
      <c r="AB1500" s="99"/>
      <c r="AC1500" s="99"/>
      <c r="AD1500" s="99"/>
      <c r="AE1500" s="99"/>
      <c r="AF1500" s="99"/>
      <c r="AG1500" s="99"/>
      <c r="AH1500" s="99"/>
      <c r="AI1500" s="99"/>
      <c r="AJ1500" s="99"/>
      <c r="AK1500" s="99"/>
      <c r="AL1500" s="99"/>
      <c r="AM1500" s="99"/>
    </row>
    <row r="1501" ht="12.75" customHeight="1">
      <c r="A1501" s="104"/>
      <c r="B1501" s="104"/>
      <c r="C1501" s="104"/>
      <c r="D1501" s="110" t="s">
        <v>23</v>
      </c>
      <c r="G1501" s="104"/>
      <c r="H1501" s="104"/>
      <c r="I1501" s="104"/>
      <c r="J1501" s="111"/>
      <c r="K1501" s="111"/>
      <c r="L1501" s="105"/>
      <c r="M1501" s="106"/>
      <c r="N1501" s="105"/>
      <c r="O1501" s="111"/>
      <c r="P1501" s="111"/>
      <c r="Q1501" s="111"/>
      <c r="R1501" s="101"/>
      <c r="S1501" s="101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  <c r="AG1501" s="99"/>
      <c r="AH1501" s="99"/>
      <c r="AI1501" s="99"/>
      <c r="AJ1501" s="99"/>
      <c r="AK1501" s="99"/>
      <c r="AL1501" s="99"/>
      <c r="AM1501" s="99"/>
    </row>
    <row r="1502" ht="12.75" customHeight="1">
      <c r="A1502" s="104"/>
      <c r="B1502" s="104"/>
      <c r="C1502" s="104"/>
      <c r="D1502" s="110" t="s">
        <v>24</v>
      </c>
      <c r="E1502" s="110" t="s">
        <v>317</v>
      </c>
      <c r="G1502" s="136">
        <v>8.0</v>
      </c>
      <c r="H1502" s="136" t="s">
        <v>26</v>
      </c>
      <c r="I1502" s="137">
        <v>4000000.0</v>
      </c>
      <c r="J1502" s="46">
        <f>G1502*I1502</f>
        <v>32000000</v>
      </c>
      <c r="K1502" s="46"/>
      <c r="L1502" s="105"/>
      <c r="M1502" s="106"/>
      <c r="N1502" s="105"/>
      <c r="O1502" s="46">
        <f>J1502-K1502</f>
        <v>32000000</v>
      </c>
      <c r="P1502" s="46">
        <f>J1502-M1502</f>
        <v>32000000</v>
      </c>
      <c r="Q1502" s="46">
        <v>3.2E7</v>
      </c>
      <c r="R1502" s="101"/>
      <c r="S1502" s="101"/>
      <c r="T1502" s="99"/>
      <c r="U1502" s="99"/>
      <c r="V1502" s="99"/>
      <c r="W1502" s="99"/>
      <c r="X1502" s="99"/>
      <c r="Y1502" s="99"/>
      <c r="Z1502" s="99"/>
      <c r="AA1502" s="99"/>
      <c r="AB1502" s="99"/>
      <c r="AC1502" s="99"/>
      <c r="AD1502" s="99"/>
      <c r="AE1502" s="99"/>
      <c r="AF1502" s="99"/>
      <c r="AG1502" s="99"/>
      <c r="AH1502" s="99"/>
      <c r="AI1502" s="99"/>
      <c r="AJ1502" s="99"/>
      <c r="AK1502" s="99"/>
      <c r="AL1502" s="99"/>
      <c r="AM1502" s="99"/>
    </row>
    <row r="1503" ht="12.75" customHeight="1">
      <c r="A1503" s="110" t="s">
        <v>58</v>
      </c>
      <c r="D1503" s="145" t="s">
        <v>34</v>
      </c>
      <c r="G1503" s="104"/>
      <c r="H1503" s="133"/>
      <c r="I1503" s="104"/>
      <c r="J1503" s="134">
        <f t="shared" ref="J1503:K1503" si="1427">J1505</f>
        <v>48000000</v>
      </c>
      <c r="K1503" s="46">
        <f t="shared" si="1427"/>
        <v>1600000</v>
      </c>
      <c r="L1503" s="105"/>
      <c r="M1503" s="106"/>
      <c r="N1503" s="105"/>
      <c r="O1503" s="46">
        <f t="shared" ref="O1503:P1503" si="1428">O1505</f>
        <v>46400000</v>
      </c>
      <c r="P1503" s="46">
        <f t="shared" si="1428"/>
        <v>48000000</v>
      </c>
      <c r="Q1503" s="46">
        <v>4.8E7</v>
      </c>
      <c r="R1503" s="101"/>
      <c r="S1503" s="101"/>
      <c r="T1503" s="99"/>
      <c r="U1503" s="99"/>
      <c r="V1503" s="99"/>
      <c r="W1503" s="99"/>
      <c r="X1503" s="99"/>
      <c r="Y1503" s="99"/>
      <c r="Z1503" s="99"/>
      <c r="AA1503" s="99"/>
      <c r="AB1503" s="99"/>
      <c r="AC1503" s="99"/>
      <c r="AD1503" s="99"/>
      <c r="AE1503" s="99"/>
      <c r="AF1503" s="99"/>
      <c r="AG1503" s="99"/>
      <c r="AH1503" s="99"/>
      <c r="AI1503" s="99"/>
      <c r="AJ1503" s="99"/>
      <c r="AK1503" s="99"/>
      <c r="AL1503" s="99"/>
      <c r="AM1503" s="99"/>
    </row>
    <row r="1504" ht="12.75" customHeight="1">
      <c r="A1504" s="104"/>
      <c r="B1504" s="104"/>
      <c r="C1504" s="104"/>
      <c r="D1504" s="110" t="s">
        <v>23</v>
      </c>
      <c r="G1504" s="104"/>
      <c r="H1504" s="104"/>
      <c r="I1504" s="104"/>
      <c r="J1504" s="111"/>
      <c r="K1504" s="111"/>
      <c r="L1504" s="105"/>
      <c r="M1504" s="106"/>
      <c r="N1504" s="105"/>
      <c r="O1504" s="111"/>
      <c r="P1504" s="111"/>
      <c r="Q1504" s="111"/>
      <c r="R1504" s="101"/>
      <c r="S1504" s="101"/>
      <c r="T1504" s="99"/>
      <c r="U1504" s="99"/>
      <c r="V1504" s="99"/>
      <c r="W1504" s="99"/>
      <c r="X1504" s="99"/>
      <c r="Y1504" s="99"/>
      <c r="Z1504" s="99"/>
      <c r="AA1504" s="99"/>
      <c r="AB1504" s="99"/>
      <c r="AC1504" s="99"/>
      <c r="AD1504" s="99"/>
      <c r="AE1504" s="99"/>
      <c r="AF1504" s="99"/>
      <c r="AG1504" s="99"/>
      <c r="AH1504" s="99"/>
      <c r="AI1504" s="99"/>
      <c r="AJ1504" s="99"/>
      <c r="AK1504" s="99"/>
      <c r="AL1504" s="99"/>
      <c r="AM1504" s="99"/>
    </row>
    <row r="1505" ht="15.75" customHeight="1">
      <c r="A1505" s="104"/>
      <c r="B1505" s="104"/>
      <c r="C1505" s="104"/>
      <c r="D1505" s="110" t="s">
        <v>24</v>
      </c>
      <c r="E1505" s="110" t="s">
        <v>71</v>
      </c>
      <c r="G1505" s="136">
        <v>96.0</v>
      </c>
      <c r="H1505" s="136" t="s">
        <v>26</v>
      </c>
      <c r="I1505" s="137">
        <v>500000.0</v>
      </c>
      <c r="J1505" s="46">
        <f>G1505*I1505</f>
        <v>48000000</v>
      </c>
      <c r="K1505" s="53">
        <v>1600000.0</v>
      </c>
      <c r="L1505" s="105"/>
      <c r="M1505" s="106"/>
      <c r="N1505" s="105"/>
      <c r="O1505" s="46">
        <f>J1505-K1505</f>
        <v>46400000</v>
      </c>
      <c r="P1505" s="46">
        <f>J1505-M1505</f>
        <v>48000000</v>
      </c>
      <c r="Q1505" s="46">
        <v>4.8E7</v>
      </c>
      <c r="R1505" s="101"/>
      <c r="S1505" s="101"/>
      <c r="T1505" s="99"/>
      <c r="U1505" s="99"/>
      <c r="V1505" s="99"/>
      <c r="W1505" s="99"/>
      <c r="X1505" s="99"/>
      <c r="Y1505" s="99"/>
      <c r="Z1505" s="99"/>
      <c r="AA1505" s="99"/>
      <c r="AB1505" s="99"/>
      <c r="AC1505" s="99"/>
      <c r="AD1505" s="99"/>
      <c r="AE1505" s="99"/>
      <c r="AF1505" s="99"/>
      <c r="AG1505" s="99"/>
      <c r="AH1505" s="99"/>
      <c r="AI1505" s="99"/>
      <c r="AJ1505" s="99"/>
      <c r="AK1505" s="99"/>
      <c r="AL1505" s="99"/>
      <c r="AM1505" s="99"/>
    </row>
    <row r="1506" ht="12.75" customHeight="1">
      <c r="A1506" s="144" t="s">
        <v>72</v>
      </c>
      <c r="D1506" s="144" t="s">
        <v>73</v>
      </c>
      <c r="G1506" s="104"/>
      <c r="H1506" s="128"/>
      <c r="I1506" s="104"/>
      <c r="J1506" s="129">
        <f t="shared" ref="J1506:K1506" si="1429">J1507+J1512</f>
        <v>151200000</v>
      </c>
      <c r="K1506" s="43">
        <f t="shared" si="1429"/>
        <v>7290000</v>
      </c>
      <c r="L1506" s="105"/>
      <c r="M1506" s="106"/>
      <c r="N1506" s="105"/>
      <c r="O1506" s="43">
        <f t="shared" ref="O1506:P1506" si="1430">O1507+O1512</f>
        <v>143910000</v>
      </c>
      <c r="P1506" s="43">
        <f t="shared" si="1430"/>
        <v>151200000</v>
      </c>
      <c r="Q1506" s="43">
        <v>1.512E8</v>
      </c>
      <c r="R1506" s="101"/>
      <c r="S1506" s="101"/>
      <c r="T1506" s="99"/>
      <c r="U1506" s="99"/>
      <c r="V1506" s="99"/>
      <c r="W1506" s="99"/>
      <c r="X1506" s="99"/>
      <c r="Y1506" s="99"/>
      <c r="Z1506" s="99"/>
      <c r="AA1506" s="99"/>
      <c r="AB1506" s="99"/>
      <c r="AC1506" s="99"/>
      <c r="AD1506" s="99"/>
      <c r="AE1506" s="99"/>
      <c r="AF1506" s="99"/>
      <c r="AG1506" s="99"/>
      <c r="AH1506" s="99"/>
      <c r="AI1506" s="99"/>
      <c r="AJ1506" s="99"/>
      <c r="AK1506" s="99"/>
      <c r="AL1506" s="99"/>
      <c r="AM1506" s="99"/>
    </row>
    <row r="1507" ht="12.75" customHeight="1">
      <c r="A1507" s="110" t="s">
        <v>74</v>
      </c>
      <c r="D1507" s="145" t="s">
        <v>75</v>
      </c>
      <c r="G1507" s="104"/>
      <c r="H1507" s="133"/>
      <c r="I1507" s="104"/>
      <c r="J1507" s="134">
        <f t="shared" ref="J1507:K1507" si="1431">SUM(J1509:J1511)</f>
        <v>142700000</v>
      </c>
      <c r="K1507" s="46">
        <f t="shared" si="1431"/>
        <v>6950000</v>
      </c>
      <c r="L1507" s="105"/>
      <c r="M1507" s="106"/>
      <c r="N1507" s="105"/>
      <c r="O1507" s="46">
        <f t="shared" ref="O1507:P1507" si="1432">SUM(O1509:O1511)</f>
        <v>135750000</v>
      </c>
      <c r="P1507" s="46">
        <f t="shared" si="1432"/>
        <v>142700000</v>
      </c>
      <c r="Q1507" s="46">
        <v>1.427E8</v>
      </c>
      <c r="R1507" s="101"/>
      <c r="S1507" s="101"/>
      <c r="T1507" s="99"/>
      <c r="U1507" s="99"/>
      <c r="V1507" s="99"/>
      <c r="W1507" s="99"/>
      <c r="X1507" s="99"/>
      <c r="Y1507" s="99"/>
      <c r="Z1507" s="99"/>
      <c r="AA1507" s="99"/>
      <c r="AB1507" s="99"/>
      <c r="AC1507" s="99"/>
      <c r="AD1507" s="99"/>
      <c r="AE1507" s="99"/>
      <c r="AF1507" s="99"/>
      <c r="AG1507" s="99"/>
      <c r="AH1507" s="99"/>
      <c r="AI1507" s="99"/>
      <c r="AJ1507" s="99"/>
      <c r="AK1507" s="99"/>
      <c r="AL1507" s="99"/>
      <c r="AM1507" s="99"/>
    </row>
    <row r="1508" ht="12.75" customHeight="1">
      <c r="A1508" s="104"/>
      <c r="B1508" s="104"/>
      <c r="C1508" s="104"/>
      <c r="D1508" s="110" t="s">
        <v>23</v>
      </c>
      <c r="G1508" s="104"/>
      <c r="H1508" s="104"/>
      <c r="I1508" s="104"/>
      <c r="J1508" s="111"/>
      <c r="K1508" s="111"/>
      <c r="L1508" s="105"/>
      <c r="M1508" s="106"/>
      <c r="N1508" s="105"/>
      <c r="O1508" s="111"/>
      <c r="P1508" s="111"/>
      <c r="Q1508" s="111"/>
      <c r="R1508" s="101"/>
      <c r="S1508" s="101"/>
      <c r="T1508" s="99"/>
      <c r="U1508" s="99"/>
      <c r="V1508" s="99"/>
      <c r="W1508" s="99"/>
      <c r="X1508" s="99"/>
      <c r="Y1508" s="99"/>
      <c r="Z1508" s="99"/>
      <c r="AA1508" s="99"/>
      <c r="AB1508" s="99"/>
      <c r="AC1508" s="99"/>
      <c r="AD1508" s="99"/>
      <c r="AE1508" s="99"/>
      <c r="AF1508" s="99"/>
      <c r="AG1508" s="99"/>
      <c r="AH1508" s="99"/>
      <c r="AI1508" s="99"/>
      <c r="AJ1508" s="99"/>
      <c r="AK1508" s="99"/>
      <c r="AL1508" s="99"/>
      <c r="AM1508" s="99"/>
    </row>
    <row r="1509" ht="12.75" customHeight="1">
      <c r="A1509" s="104"/>
      <c r="B1509" s="104"/>
      <c r="C1509" s="104"/>
      <c r="D1509" s="110" t="s">
        <v>24</v>
      </c>
      <c r="E1509" s="110" t="s">
        <v>76</v>
      </c>
      <c r="G1509" s="136">
        <v>20.0</v>
      </c>
      <c r="H1509" s="136" t="s">
        <v>26</v>
      </c>
      <c r="I1509" s="137">
        <v>5000000.0</v>
      </c>
      <c r="J1509" s="46">
        <f t="shared" ref="J1509:J1511" si="1433">G1509*I1509</f>
        <v>100000000</v>
      </c>
      <c r="K1509" s="46"/>
      <c r="L1509" s="105"/>
      <c r="M1509" s="106"/>
      <c r="N1509" s="105"/>
      <c r="O1509" s="46">
        <f t="shared" ref="O1509:O1511" si="1434">J1509-K1509</f>
        <v>100000000</v>
      </c>
      <c r="P1509" s="46">
        <f t="shared" ref="P1509:P1511" si="1435">J1509-M1509</f>
        <v>100000000</v>
      </c>
      <c r="Q1509" s="46">
        <v>1.0E8</v>
      </c>
      <c r="R1509" s="101"/>
      <c r="S1509" s="101"/>
      <c r="T1509" s="99"/>
      <c r="U1509" s="99"/>
      <c r="V1509" s="99"/>
      <c r="W1509" s="99"/>
      <c r="X1509" s="99"/>
      <c r="Y1509" s="99"/>
      <c r="Z1509" s="99"/>
      <c r="AA1509" s="99"/>
      <c r="AB1509" s="99"/>
      <c r="AC1509" s="99"/>
      <c r="AD1509" s="99"/>
      <c r="AE1509" s="99"/>
      <c r="AF1509" s="99"/>
      <c r="AG1509" s="99"/>
      <c r="AH1509" s="99"/>
      <c r="AI1509" s="99"/>
      <c r="AJ1509" s="99"/>
      <c r="AK1509" s="99"/>
      <c r="AL1509" s="99"/>
      <c r="AM1509" s="99"/>
    </row>
    <row r="1510" ht="15.75" customHeight="1">
      <c r="A1510" s="104"/>
      <c r="B1510" s="104"/>
      <c r="C1510" s="104"/>
      <c r="D1510" s="110" t="s">
        <v>24</v>
      </c>
      <c r="E1510" s="110" t="s">
        <v>77</v>
      </c>
      <c r="G1510" s="136">
        <v>30.0</v>
      </c>
      <c r="H1510" s="136" t="s">
        <v>26</v>
      </c>
      <c r="I1510" s="137">
        <v>850000.0</v>
      </c>
      <c r="J1510" s="46">
        <f t="shared" si="1433"/>
        <v>25500000</v>
      </c>
      <c r="K1510" s="46"/>
      <c r="L1510" s="105"/>
      <c r="M1510" s="106"/>
      <c r="N1510" s="105"/>
      <c r="O1510" s="46">
        <f t="shared" si="1434"/>
        <v>25500000</v>
      </c>
      <c r="P1510" s="46">
        <f t="shared" si="1435"/>
        <v>25500000</v>
      </c>
      <c r="Q1510" s="46">
        <v>2.55E7</v>
      </c>
      <c r="R1510" s="101"/>
      <c r="S1510" s="101"/>
      <c r="T1510" s="99"/>
      <c r="U1510" s="99"/>
      <c r="V1510" s="99"/>
      <c r="W1510" s="99"/>
      <c r="X1510" s="99"/>
      <c r="Y1510" s="99"/>
      <c r="Z1510" s="99"/>
      <c r="AA1510" s="99"/>
      <c r="AB1510" s="99"/>
      <c r="AC1510" s="99"/>
      <c r="AD1510" s="99"/>
      <c r="AE1510" s="99"/>
      <c r="AF1510" s="99"/>
      <c r="AG1510" s="99"/>
      <c r="AH1510" s="99"/>
      <c r="AI1510" s="99"/>
      <c r="AJ1510" s="99"/>
      <c r="AK1510" s="99"/>
      <c r="AL1510" s="99"/>
      <c r="AM1510" s="99"/>
    </row>
    <row r="1511" ht="12.75" customHeight="1">
      <c r="A1511" s="104"/>
      <c r="B1511" s="104"/>
      <c r="C1511" s="104"/>
      <c r="D1511" s="110" t="s">
        <v>24</v>
      </c>
      <c r="E1511" s="110" t="s">
        <v>78</v>
      </c>
      <c r="G1511" s="136">
        <v>40.0</v>
      </c>
      <c r="H1511" s="136" t="s">
        <v>26</v>
      </c>
      <c r="I1511" s="137">
        <v>430000.0</v>
      </c>
      <c r="J1511" s="46">
        <f t="shared" si="1433"/>
        <v>17200000</v>
      </c>
      <c r="K1511" s="53">
        <v>6950000.0</v>
      </c>
      <c r="L1511" s="105"/>
      <c r="M1511" s="106"/>
      <c r="N1511" s="105"/>
      <c r="O1511" s="46">
        <f t="shared" si="1434"/>
        <v>10250000</v>
      </c>
      <c r="P1511" s="46">
        <f t="shared" si="1435"/>
        <v>17200000</v>
      </c>
      <c r="Q1511" s="46">
        <v>1.72E7</v>
      </c>
      <c r="R1511" s="101"/>
      <c r="S1511" s="101"/>
      <c r="T1511" s="99"/>
      <c r="U1511" s="99"/>
      <c r="V1511" s="99"/>
      <c r="W1511" s="99"/>
      <c r="X1511" s="99"/>
      <c r="Y1511" s="99"/>
      <c r="Z1511" s="99"/>
      <c r="AA1511" s="99"/>
      <c r="AB1511" s="99"/>
      <c r="AC1511" s="99"/>
      <c r="AD1511" s="99"/>
      <c r="AE1511" s="99"/>
      <c r="AF1511" s="99"/>
      <c r="AG1511" s="99"/>
      <c r="AH1511" s="99"/>
      <c r="AI1511" s="99"/>
      <c r="AJ1511" s="99"/>
      <c r="AK1511" s="99"/>
      <c r="AL1511" s="99"/>
      <c r="AM1511" s="99"/>
    </row>
    <row r="1512" ht="12.75" customHeight="1">
      <c r="A1512" s="110" t="s">
        <v>79</v>
      </c>
      <c r="D1512" s="145" t="s">
        <v>80</v>
      </c>
      <c r="G1512" s="104"/>
      <c r="H1512" s="133"/>
      <c r="I1512" s="104"/>
      <c r="J1512" s="134">
        <f t="shared" ref="J1512:K1512" si="1436">J1514</f>
        <v>8500000</v>
      </c>
      <c r="K1512" s="46">
        <f t="shared" si="1436"/>
        <v>340000</v>
      </c>
      <c r="L1512" s="105"/>
      <c r="M1512" s="106"/>
      <c r="N1512" s="105"/>
      <c r="O1512" s="46">
        <f t="shared" ref="O1512:P1512" si="1437">O1514</f>
        <v>8160000</v>
      </c>
      <c r="P1512" s="46">
        <f t="shared" si="1437"/>
        <v>8500000</v>
      </c>
      <c r="Q1512" s="46">
        <v>8500000.0</v>
      </c>
      <c r="R1512" s="101"/>
      <c r="S1512" s="101"/>
      <c r="T1512" s="99"/>
      <c r="U1512" s="99"/>
      <c r="V1512" s="99"/>
      <c r="W1512" s="99"/>
      <c r="X1512" s="99"/>
      <c r="Y1512" s="99"/>
      <c r="Z1512" s="99"/>
      <c r="AA1512" s="99"/>
      <c r="AB1512" s="99"/>
      <c r="AC1512" s="99"/>
      <c r="AD1512" s="99"/>
      <c r="AE1512" s="99"/>
      <c r="AF1512" s="99"/>
      <c r="AG1512" s="99"/>
      <c r="AH1512" s="99"/>
      <c r="AI1512" s="99"/>
      <c r="AJ1512" s="99"/>
      <c r="AK1512" s="99"/>
      <c r="AL1512" s="99"/>
      <c r="AM1512" s="99"/>
    </row>
    <row r="1513" ht="12.75" customHeight="1">
      <c r="A1513" s="104"/>
      <c r="B1513" s="104"/>
      <c r="C1513" s="104"/>
      <c r="D1513" s="110" t="s">
        <v>23</v>
      </c>
      <c r="G1513" s="104"/>
      <c r="H1513" s="104"/>
      <c r="I1513" s="104"/>
      <c r="J1513" s="111"/>
      <c r="K1513" s="111"/>
      <c r="L1513" s="105"/>
      <c r="M1513" s="106"/>
      <c r="N1513" s="105"/>
      <c r="O1513" s="111"/>
      <c r="P1513" s="111"/>
      <c r="Q1513" s="111"/>
      <c r="R1513" s="101"/>
      <c r="S1513" s="101"/>
      <c r="T1513" s="99"/>
      <c r="U1513" s="99"/>
      <c r="V1513" s="99"/>
      <c r="W1513" s="99"/>
      <c r="X1513" s="99"/>
      <c r="Y1513" s="99"/>
      <c r="Z1513" s="99"/>
      <c r="AA1513" s="99"/>
      <c r="AB1513" s="99"/>
      <c r="AC1513" s="99"/>
      <c r="AD1513" s="99"/>
      <c r="AE1513" s="99"/>
      <c r="AF1513" s="99"/>
      <c r="AG1513" s="99"/>
      <c r="AH1513" s="99"/>
      <c r="AI1513" s="99"/>
      <c r="AJ1513" s="99"/>
      <c r="AK1513" s="99"/>
      <c r="AL1513" s="99"/>
      <c r="AM1513" s="99"/>
    </row>
    <row r="1514" ht="12.75" customHeight="1">
      <c r="A1514" s="104"/>
      <c r="B1514" s="104"/>
      <c r="C1514" s="104"/>
      <c r="D1514" s="110" t="s">
        <v>24</v>
      </c>
      <c r="E1514" s="110" t="s">
        <v>81</v>
      </c>
      <c r="G1514" s="136">
        <v>50.0</v>
      </c>
      <c r="H1514" s="136" t="s">
        <v>26</v>
      </c>
      <c r="I1514" s="137">
        <v>170000.0</v>
      </c>
      <c r="J1514" s="46">
        <f>G1514*I1514</f>
        <v>8500000</v>
      </c>
      <c r="K1514" s="53">
        <v>340000.0</v>
      </c>
      <c r="L1514" s="105"/>
      <c r="M1514" s="106"/>
      <c r="N1514" s="105"/>
      <c r="O1514" s="46">
        <f>J1514-K1514</f>
        <v>8160000</v>
      </c>
      <c r="P1514" s="46">
        <f>J1514-M1514</f>
        <v>8500000</v>
      </c>
      <c r="Q1514" s="46">
        <v>8500000.0</v>
      </c>
      <c r="R1514" s="101"/>
      <c r="S1514" s="101"/>
      <c r="T1514" s="99"/>
      <c r="U1514" s="99"/>
      <c r="V1514" s="99"/>
      <c r="W1514" s="99"/>
      <c r="X1514" s="99"/>
      <c r="Y1514" s="99"/>
      <c r="Z1514" s="99"/>
      <c r="AA1514" s="99"/>
      <c r="AB1514" s="99"/>
      <c r="AC1514" s="99"/>
      <c r="AD1514" s="99"/>
      <c r="AE1514" s="99"/>
      <c r="AF1514" s="99"/>
      <c r="AG1514" s="99"/>
      <c r="AH1514" s="99"/>
      <c r="AI1514" s="99"/>
      <c r="AJ1514" s="99"/>
      <c r="AK1514" s="99"/>
      <c r="AL1514" s="99"/>
      <c r="AM1514" s="99"/>
    </row>
    <row r="1515" ht="12.75" customHeight="1">
      <c r="A1515" s="144" t="s">
        <v>82</v>
      </c>
      <c r="D1515" s="144" t="s">
        <v>83</v>
      </c>
      <c r="G1515" s="104"/>
      <c r="H1515" s="128"/>
      <c r="I1515" s="104"/>
      <c r="J1515" s="129">
        <f t="shared" ref="J1515:K1515" si="1438">J1516+J1521</f>
        <v>2553000000</v>
      </c>
      <c r="K1515" s="43">
        <f t="shared" si="1438"/>
        <v>14179000</v>
      </c>
      <c r="L1515" s="105"/>
      <c r="M1515" s="106"/>
      <c r="N1515" s="105"/>
      <c r="O1515" s="43">
        <f t="shared" ref="O1515:P1515" si="1439">O1516+O1521</f>
        <v>2538821000</v>
      </c>
      <c r="P1515" s="43">
        <f t="shared" si="1439"/>
        <v>2553000000</v>
      </c>
      <c r="Q1515" s="43">
        <v>2.553E9</v>
      </c>
      <c r="R1515" s="101"/>
      <c r="S1515" s="101"/>
      <c r="T1515" s="99"/>
      <c r="U1515" s="99"/>
      <c r="V1515" s="99"/>
      <c r="W1515" s="99"/>
      <c r="X1515" s="99"/>
      <c r="Y1515" s="99"/>
      <c r="Z1515" s="99"/>
      <c r="AA1515" s="99"/>
      <c r="AB1515" s="99"/>
      <c r="AC1515" s="99"/>
      <c r="AD1515" s="99"/>
      <c r="AE1515" s="99"/>
      <c r="AF1515" s="99"/>
      <c r="AG1515" s="99"/>
      <c r="AH1515" s="99"/>
      <c r="AI1515" s="99"/>
      <c r="AJ1515" s="99"/>
      <c r="AK1515" s="99"/>
      <c r="AL1515" s="99"/>
      <c r="AM1515" s="99"/>
    </row>
    <row r="1516" ht="12.75" customHeight="1">
      <c r="A1516" s="110" t="s">
        <v>84</v>
      </c>
      <c r="D1516" s="145" t="s">
        <v>85</v>
      </c>
      <c r="G1516" s="104"/>
      <c r="H1516" s="133"/>
      <c r="I1516" s="104"/>
      <c r="J1516" s="134">
        <f t="shared" ref="J1516:K1516" si="1440">SUM(J1518:J1520)</f>
        <v>2415000000</v>
      </c>
      <c r="K1516" s="46">
        <f t="shared" si="1440"/>
        <v>10277000</v>
      </c>
      <c r="L1516" s="105"/>
      <c r="M1516" s="106"/>
      <c r="N1516" s="105"/>
      <c r="O1516" s="46">
        <f t="shared" ref="O1516:P1516" si="1441">SUM(O1518:O1520)</f>
        <v>2404723000</v>
      </c>
      <c r="P1516" s="46">
        <f t="shared" si="1441"/>
        <v>2415000000</v>
      </c>
      <c r="Q1516" s="46">
        <v>2.415E9</v>
      </c>
      <c r="R1516" s="101"/>
      <c r="S1516" s="101"/>
      <c r="T1516" s="99"/>
      <c r="U1516" s="99"/>
      <c r="V1516" s="99"/>
      <c r="W1516" s="99"/>
      <c r="X1516" s="99"/>
      <c r="Y1516" s="99"/>
      <c r="Z1516" s="99"/>
      <c r="AA1516" s="99"/>
      <c r="AB1516" s="99"/>
      <c r="AC1516" s="99"/>
      <c r="AD1516" s="99"/>
      <c r="AE1516" s="99"/>
      <c r="AF1516" s="99"/>
      <c r="AG1516" s="99"/>
      <c r="AH1516" s="99"/>
      <c r="AI1516" s="99"/>
      <c r="AJ1516" s="99"/>
      <c r="AK1516" s="99"/>
      <c r="AL1516" s="99"/>
      <c r="AM1516" s="99"/>
    </row>
    <row r="1517" ht="12.75" customHeight="1">
      <c r="A1517" s="104"/>
      <c r="B1517" s="104"/>
      <c r="C1517" s="104"/>
      <c r="D1517" s="110" t="s">
        <v>23</v>
      </c>
      <c r="G1517" s="104"/>
      <c r="H1517" s="104"/>
      <c r="I1517" s="104"/>
      <c r="J1517" s="111"/>
      <c r="K1517" s="111"/>
      <c r="L1517" s="105"/>
      <c r="M1517" s="106"/>
      <c r="N1517" s="105"/>
      <c r="O1517" s="111"/>
      <c r="P1517" s="111"/>
      <c r="Q1517" s="111"/>
      <c r="R1517" s="101"/>
      <c r="S1517" s="101"/>
      <c r="T1517" s="99"/>
      <c r="U1517" s="99"/>
      <c r="V1517" s="99"/>
      <c r="W1517" s="99"/>
      <c r="X1517" s="99"/>
      <c r="Y1517" s="99"/>
      <c r="Z1517" s="99"/>
      <c r="AA1517" s="99"/>
      <c r="AB1517" s="99"/>
      <c r="AC1517" s="99"/>
      <c r="AD1517" s="99"/>
      <c r="AE1517" s="99"/>
      <c r="AF1517" s="99"/>
      <c r="AG1517" s="99"/>
      <c r="AH1517" s="99"/>
      <c r="AI1517" s="99"/>
      <c r="AJ1517" s="99"/>
      <c r="AK1517" s="99"/>
      <c r="AL1517" s="99"/>
      <c r="AM1517" s="99"/>
    </row>
    <row r="1518" ht="12.75" customHeight="1">
      <c r="A1518" s="104"/>
      <c r="B1518" s="104"/>
      <c r="C1518" s="104"/>
      <c r="D1518" s="110" t="s">
        <v>24</v>
      </c>
      <c r="E1518" s="110" t="s">
        <v>320</v>
      </c>
      <c r="G1518" s="136">
        <v>109500.0</v>
      </c>
      <c r="H1518" s="136" t="s">
        <v>87</v>
      </c>
      <c r="I1518" s="137">
        <v>15000.0</v>
      </c>
      <c r="J1518" s="46">
        <f t="shared" ref="J1518:J1520" si="1442">G1518*I1518</f>
        <v>1642500000</v>
      </c>
      <c r="K1518" s="53">
        <v>1530000.0</v>
      </c>
      <c r="L1518" s="105"/>
      <c r="M1518" s="106"/>
      <c r="N1518" s="105"/>
      <c r="O1518" s="46">
        <f t="shared" ref="O1518:O1520" si="1443">J1518-K1518</f>
        <v>1640970000</v>
      </c>
      <c r="P1518" s="46">
        <f t="shared" ref="P1518:P1520" si="1444">J1518-M1518</f>
        <v>1642500000</v>
      </c>
      <c r="Q1518" s="46">
        <v>1.6425E9</v>
      </c>
      <c r="R1518" s="101"/>
      <c r="S1518" s="101"/>
      <c r="T1518" s="99"/>
      <c r="U1518" s="99"/>
      <c r="V1518" s="99"/>
      <c r="W1518" s="99"/>
      <c r="X1518" s="99"/>
      <c r="Y1518" s="99"/>
      <c r="Z1518" s="99"/>
      <c r="AA1518" s="99"/>
      <c r="AB1518" s="99"/>
      <c r="AC1518" s="99"/>
      <c r="AD1518" s="99"/>
      <c r="AE1518" s="99"/>
      <c r="AF1518" s="99"/>
      <c r="AG1518" s="99"/>
      <c r="AH1518" s="99"/>
      <c r="AI1518" s="99"/>
      <c r="AJ1518" s="99"/>
      <c r="AK1518" s="99"/>
      <c r="AL1518" s="99"/>
      <c r="AM1518" s="99"/>
    </row>
    <row r="1519" ht="12.75" customHeight="1">
      <c r="A1519" s="104"/>
      <c r="B1519" s="104"/>
      <c r="C1519" s="104"/>
      <c r="D1519" s="110" t="s">
        <v>24</v>
      </c>
      <c r="E1519" s="110" t="s">
        <v>88</v>
      </c>
      <c r="G1519" s="136">
        <v>9000.0</v>
      </c>
      <c r="H1519" s="136" t="s">
        <v>87</v>
      </c>
      <c r="I1519" s="137">
        <v>25000.0</v>
      </c>
      <c r="J1519" s="46">
        <f t="shared" si="1442"/>
        <v>225000000</v>
      </c>
      <c r="K1519" s="53">
        <v>8747000.0</v>
      </c>
      <c r="L1519" s="105"/>
      <c r="M1519" s="106"/>
      <c r="N1519" s="105"/>
      <c r="O1519" s="46">
        <f t="shared" si="1443"/>
        <v>216253000</v>
      </c>
      <c r="P1519" s="46">
        <f t="shared" si="1444"/>
        <v>225000000</v>
      </c>
      <c r="Q1519" s="46">
        <v>2.25E8</v>
      </c>
      <c r="R1519" s="101"/>
      <c r="S1519" s="101"/>
      <c r="T1519" s="99"/>
      <c r="U1519" s="99"/>
      <c r="V1519" s="99"/>
      <c r="W1519" s="99"/>
      <c r="X1519" s="99"/>
      <c r="Y1519" s="99"/>
      <c r="Z1519" s="99"/>
      <c r="AA1519" s="99"/>
      <c r="AB1519" s="99"/>
      <c r="AC1519" s="99"/>
      <c r="AD1519" s="99"/>
      <c r="AE1519" s="99"/>
      <c r="AF1519" s="99"/>
      <c r="AG1519" s="99"/>
      <c r="AH1519" s="99"/>
      <c r="AI1519" s="99"/>
      <c r="AJ1519" s="99"/>
      <c r="AK1519" s="99"/>
      <c r="AL1519" s="99"/>
      <c r="AM1519" s="99"/>
    </row>
    <row r="1520" ht="12.75" customHeight="1">
      <c r="A1520" s="104"/>
      <c r="B1520" s="104"/>
      <c r="C1520" s="104"/>
      <c r="D1520" s="110" t="s">
        <v>24</v>
      </c>
      <c r="E1520" s="110" t="s">
        <v>321</v>
      </c>
      <c r="G1520" s="136">
        <v>73000.0</v>
      </c>
      <c r="H1520" s="136" t="s">
        <v>87</v>
      </c>
      <c r="I1520" s="137">
        <v>7500.0</v>
      </c>
      <c r="J1520" s="46">
        <f t="shared" si="1442"/>
        <v>547500000</v>
      </c>
      <c r="K1520" s="46"/>
      <c r="L1520" s="105"/>
      <c r="M1520" s="106"/>
      <c r="N1520" s="105"/>
      <c r="O1520" s="46">
        <f t="shared" si="1443"/>
        <v>547500000</v>
      </c>
      <c r="P1520" s="46">
        <f t="shared" si="1444"/>
        <v>547500000</v>
      </c>
      <c r="Q1520" s="46">
        <v>5.475E8</v>
      </c>
      <c r="R1520" s="101"/>
      <c r="S1520" s="101"/>
      <c r="T1520" s="99"/>
      <c r="U1520" s="99"/>
      <c r="V1520" s="99"/>
      <c r="W1520" s="99"/>
      <c r="X1520" s="99"/>
      <c r="Y1520" s="99"/>
      <c r="Z1520" s="99"/>
      <c r="AA1520" s="99"/>
      <c r="AB1520" s="99"/>
      <c r="AC1520" s="99"/>
      <c r="AD1520" s="99"/>
      <c r="AE1520" s="99"/>
      <c r="AF1520" s="99"/>
      <c r="AG1520" s="99"/>
      <c r="AH1520" s="99"/>
      <c r="AI1520" s="99"/>
      <c r="AJ1520" s="99"/>
      <c r="AK1520" s="99"/>
      <c r="AL1520" s="99"/>
      <c r="AM1520" s="99"/>
    </row>
    <row r="1521" ht="12.75" customHeight="1">
      <c r="A1521" s="110" t="s">
        <v>63</v>
      </c>
      <c r="D1521" s="145" t="s">
        <v>64</v>
      </c>
      <c r="G1521" s="104"/>
      <c r="H1521" s="133"/>
      <c r="I1521" s="104"/>
      <c r="J1521" s="134">
        <f>SUM(J1523:J1524)</f>
        <v>138000000</v>
      </c>
      <c r="K1521" s="46">
        <f t="shared" ref="K1521:P1521" si="1445">K1523+K1524</f>
        <v>3902000</v>
      </c>
      <c r="L1521" s="46">
        <f t="shared" si="1445"/>
        <v>0</v>
      </c>
      <c r="M1521" s="146">
        <f t="shared" si="1445"/>
        <v>0</v>
      </c>
      <c r="N1521" s="46">
        <f t="shared" si="1445"/>
        <v>0</v>
      </c>
      <c r="O1521" s="46">
        <f t="shared" si="1445"/>
        <v>134098000</v>
      </c>
      <c r="P1521" s="46">
        <f t="shared" si="1445"/>
        <v>138000000</v>
      </c>
      <c r="Q1521" s="46">
        <v>1.38E8</v>
      </c>
      <c r="R1521" s="101"/>
      <c r="S1521" s="101"/>
      <c r="T1521" s="99"/>
      <c r="U1521" s="99"/>
      <c r="V1521" s="99"/>
      <c r="W1521" s="99"/>
      <c r="X1521" s="99"/>
      <c r="Y1521" s="99"/>
      <c r="Z1521" s="99"/>
      <c r="AA1521" s="99"/>
      <c r="AB1521" s="99"/>
      <c r="AC1521" s="99"/>
      <c r="AD1521" s="99"/>
      <c r="AE1521" s="99"/>
      <c r="AF1521" s="99"/>
      <c r="AG1521" s="99"/>
      <c r="AH1521" s="99"/>
      <c r="AI1521" s="99"/>
      <c r="AJ1521" s="99"/>
      <c r="AK1521" s="99"/>
      <c r="AL1521" s="99"/>
      <c r="AM1521" s="99"/>
    </row>
    <row r="1522" ht="12.75" customHeight="1">
      <c r="A1522" s="104"/>
      <c r="B1522" s="104"/>
      <c r="C1522" s="104"/>
      <c r="D1522" s="110" t="s">
        <v>23</v>
      </c>
      <c r="G1522" s="104"/>
      <c r="H1522" s="104"/>
      <c r="I1522" s="104"/>
      <c r="J1522" s="111"/>
      <c r="K1522" s="111"/>
      <c r="L1522" s="105"/>
      <c r="M1522" s="106"/>
      <c r="N1522" s="105"/>
      <c r="O1522" s="111"/>
      <c r="P1522" s="111"/>
      <c r="Q1522" s="111"/>
      <c r="R1522" s="101"/>
      <c r="S1522" s="101"/>
      <c r="T1522" s="99"/>
      <c r="U1522" s="99"/>
      <c r="V1522" s="99"/>
      <c r="W1522" s="99"/>
      <c r="X1522" s="99"/>
      <c r="Y1522" s="99"/>
      <c r="Z1522" s="99"/>
      <c r="AA1522" s="99"/>
      <c r="AB1522" s="99"/>
      <c r="AC1522" s="99"/>
      <c r="AD1522" s="99"/>
      <c r="AE1522" s="99"/>
      <c r="AF1522" s="99"/>
      <c r="AG1522" s="99"/>
      <c r="AH1522" s="99"/>
      <c r="AI1522" s="99"/>
      <c r="AJ1522" s="99"/>
      <c r="AK1522" s="99"/>
      <c r="AL1522" s="99"/>
      <c r="AM1522" s="99"/>
    </row>
    <row r="1523" ht="12.75" customHeight="1">
      <c r="A1523" s="104"/>
      <c r="B1523" s="104"/>
      <c r="C1523" s="104"/>
      <c r="D1523" s="110" t="s">
        <v>24</v>
      </c>
      <c r="E1523" s="110" t="s">
        <v>90</v>
      </c>
      <c r="G1523" s="136">
        <v>180.0</v>
      </c>
      <c r="H1523" s="136" t="s">
        <v>87</v>
      </c>
      <c r="I1523" s="137">
        <v>500000.0</v>
      </c>
      <c r="J1523" s="46">
        <f t="shared" ref="J1523:J1524" si="1446">G1523*I1523</f>
        <v>90000000</v>
      </c>
      <c r="K1523" s="53">
        <v>1892000.0</v>
      </c>
      <c r="L1523" s="105"/>
      <c r="M1523" s="106"/>
      <c r="N1523" s="105"/>
      <c r="O1523" s="46">
        <f t="shared" ref="O1523:O1524" si="1447">J1523-K1523</f>
        <v>88108000</v>
      </c>
      <c r="P1523" s="46">
        <f t="shared" ref="P1523:P1524" si="1448">J1523-M1523</f>
        <v>90000000</v>
      </c>
      <c r="Q1523" s="46">
        <v>9.0E7</v>
      </c>
      <c r="R1523" s="101"/>
      <c r="S1523" s="101"/>
      <c r="T1523" s="99"/>
      <c r="U1523" s="99"/>
      <c r="V1523" s="99"/>
      <c r="W1523" s="99"/>
      <c r="X1523" s="99"/>
      <c r="Y1523" s="99"/>
      <c r="Z1523" s="99"/>
      <c r="AA1523" s="99"/>
      <c r="AB1523" s="99"/>
      <c r="AC1523" s="99"/>
      <c r="AD1523" s="99"/>
      <c r="AE1523" s="99"/>
      <c r="AF1523" s="99"/>
      <c r="AG1523" s="99"/>
      <c r="AH1523" s="99"/>
      <c r="AI1523" s="99"/>
      <c r="AJ1523" s="99"/>
      <c r="AK1523" s="99"/>
      <c r="AL1523" s="99"/>
      <c r="AM1523" s="99"/>
    </row>
    <row r="1524" ht="12.75" customHeight="1">
      <c r="A1524" s="104"/>
      <c r="B1524" s="104"/>
      <c r="C1524" s="104"/>
      <c r="D1524" s="110" t="s">
        <v>24</v>
      </c>
      <c r="E1524" s="110" t="s">
        <v>370</v>
      </c>
      <c r="G1524" s="136">
        <v>1200.0</v>
      </c>
      <c r="H1524" s="136" t="s">
        <v>87</v>
      </c>
      <c r="I1524" s="137">
        <v>40000.0</v>
      </c>
      <c r="J1524" s="46">
        <f t="shared" si="1446"/>
        <v>48000000</v>
      </c>
      <c r="K1524" s="53">
        <v>2010000.0</v>
      </c>
      <c r="L1524" s="105"/>
      <c r="M1524" s="106"/>
      <c r="N1524" s="105"/>
      <c r="O1524" s="46">
        <f t="shared" si="1447"/>
        <v>45990000</v>
      </c>
      <c r="P1524" s="46">
        <f t="shared" si="1448"/>
        <v>48000000</v>
      </c>
      <c r="Q1524" s="46">
        <v>4.8E7</v>
      </c>
      <c r="R1524" s="101"/>
      <c r="S1524" s="101"/>
      <c r="T1524" s="99"/>
      <c r="U1524" s="99"/>
      <c r="V1524" s="99"/>
      <c r="W1524" s="99"/>
      <c r="X1524" s="99"/>
      <c r="Y1524" s="99"/>
      <c r="Z1524" s="99"/>
      <c r="AA1524" s="99"/>
      <c r="AB1524" s="99"/>
      <c r="AC1524" s="99"/>
      <c r="AD1524" s="99"/>
      <c r="AE1524" s="99"/>
      <c r="AF1524" s="99"/>
      <c r="AG1524" s="99"/>
      <c r="AH1524" s="99"/>
      <c r="AI1524" s="99"/>
      <c r="AJ1524" s="99"/>
      <c r="AK1524" s="99"/>
      <c r="AL1524" s="99"/>
      <c r="AM1524" s="99"/>
    </row>
    <row r="1525" ht="12.75" customHeight="1">
      <c r="A1525" s="144" t="s">
        <v>92</v>
      </c>
      <c r="D1525" s="144" t="s">
        <v>93</v>
      </c>
      <c r="G1525" s="104"/>
      <c r="H1525" s="128"/>
      <c r="I1525" s="104"/>
      <c r="J1525" s="129">
        <f t="shared" ref="J1525:K1525" si="1449">J1526</f>
        <v>43636000</v>
      </c>
      <c r="K1525" s="43">
        <f t="shared" si="1449"/>
        <v>7419280</v>
      </c>
      <c r="L1525" s="105"/>
      <c r="M1525" s="106"/>
      <c r="N1525" s="105"/>
      <c r="O1525" s="43">
        <f t="shared" ref="O1525:P1525" si="1450">O1526</f>
        <v>36216720</v>
      </c>
      <c r="P1525" s="43">
        <f t="shared" si="1450"/>
        <v>43636000</v>
      </c>
      <c r="Q1525" s="43">
        <v>4.3636E7</v>
      </c>
      <c r="R1525" s="101"/>
      <c r="S1525" s="101"/>
      <c r="T1525" s="99"/>
      <c r="U1525" s="99"/>
      <c r="V1525" s="99"/>
      <c r="W1525" s="99"/>
      <c r="X1525" s="99"/>
      <c r="Y1525" s="99"/>
      <c r="Z1525" s="99"/>
      <c r="AA1525" s="99"/>
      <c r="AB1525" s="99"/>
      <c r="AC1525" s="99"/>
      <c r="AD1525" s="99"/>
      <c r="AE1525" s="99"/>
      <c r="AF1525" s="99"/>
      <c r="AG1525" s="99"/>
      <c r="AH1525" s="99"/>
      <c r="AI1525" s="99"/>
      <c r="AJ1525" s="99"/>
      <c r="AK1525" s="99"/>
      <c r="AL1525" s="99"/>
      <c r="AM1525" s="99"/>
    </row>
    <row r="1526" ht="12.75" customHeight="1">
      <c r="A1526" s="110" t="s">
        <v>68</v>
      </c>
      <c r="D1526" s="145" t="s">
        <v>69</v>
      </c>
      <c r="G1526" s="104"/>
      <c r="H1526" s="133"/>
      <c r="I1526" s="104"/>
      <c r="J1526" s="134">
        <f t="shared" ref="J1526:K1526" si="1451">SUM(J1528:J1529)</f>
        <v>43636000</v>
      </c>
      <c r="K1526" s="46">
        <f t="shared" si="1451"/>
        <v>7419280</v>
      </c>
      <c r="L1526" s="105"/>
      <c r="M1526" s="106"/>
      <c r="N1526" s="105"/>
      <c r="O1526" s="46">
        <f t="shared" ref="O1526:P1526" si="1452">SUM(O1528:O1529)</f>
        <v>36216720</v>
      </c>
      <c r="P1526" s="46">
        <f t="shared" si="1452"/>
        <v>43636000</v>
      </c>
      <c r="Q1526" s="46">
        <v>4.3636E7</v>
      </c>
      <c r="R1526" s="101"/>
      <c r="S1526" s="101"/>
      <c r="T1526" s="99"/>
      <c r="U1526" s="99"/>
      <c r="V1526" s="99"/>
      <c r="W1526" s="99"/>
      <c r="X1526" s="99"/>
      <c r="Y1526" s="99"/>
      <c r="Z1526" s="99"/>
      <c r="AA1526" s="99"/>
      <c r="AB1526" s="99"/>
      <c r="AC1526" s="99"/>
      <c r="AD1526" s="99"/>
      <c r="AE1526" s="99"/>
      <c r="AF1526" s="99"/>
      <c r="AG1526" s="99"/>
      <c r="AH1526" s="99"/>
      <c r="AI1526" s="99"/>
      <c r="AJ1526" s="99"/>
      <c r="AK1526" s="99"/>
      <c r="AL1526" s="99"/>
      <c r="AM1526" s="99"/>
    </row>
    <row r="1527" ht="12.75" customHeight="1">
      <c r="A1527" s="104"/>
      <c r="B1527" s="104"/>
      <c r="C1527" s="104"/>
      <c r="D1527" s="110" t="s">
        <v>23</v>
      </c>
      <c r="G1527" s="104"/>
      <c r="H1527" s="104"/>
      <c r="I1527" s="104"/>
      <c r="J1527" s="111"/>
      <c r="K1527" s="111"/>
      <c r="L1527" s="105"/>
      <c r="M1527" s="106"/>
      <c r="N1527" s="105"/>
      <c r="O1527" s="111"/>
      <c r="P1527" s="111"/>
      <c r="Q1527" s="111"/>
      <c r="R1527" s="101"/>
      <c r="S1527" s="101"/>
      <c r="T1527" s="99"/>
      <c r="U1527" s="99"/>
      <c r="V1527" s="99"/>
      <c r="W1527" s="99"/>
      <c r="X1527" s="99"/>
      <c r="Y1527" s="99"/>
      <c r="Z1527" s="99"/>
      <c r="AA1527" s="99"/>
      <c r="AB1527" s="99"/>
      <c r="AC1527" s="99"/>
      <c r="AD1527" s="99"/>
      <c r="AE1527" s="99"/>
      <c r="AF1527" s="99"/>
      <c r="AG1527" s="99"/>
      <c r="AH1527" s="99"/>
      <c r="AI1527" s="99"/>
      <c r="AJ1527" s="99"/>
      <c r="AK1527" s="99"/>
      <c r="AL1527" s="99"/>
      <c r="AM1527" s="99"/>
    </row>
    <row r="1528" ht="12.75" customHeight="1">
      <c r="A1528" s="104"/>
      <c r="B1528" s="104"/>
      <c r="C1528" s="104"/>
      <c r="D1528" s="110" t="s">
        <v>24</v>
      </c>
      <c r="E1528" s="110" t="s">
        <v>94</v>
      </c>
      <c r="G1528" s="136">
        <v>12.0</v>
      </c>
      <c r="H1528" s="136" t="s">
        <v>95</v>
      </c>
      <c r="I1528" s="137">
        <v>2500000.0</v>
      </c>
      <c r="J1528" s="46">
        <f t="shared" ref="J1528:J1529" si="1453">G1528*I1528</f>
        <v>30000000</v>
      </c>
      <c r="K1528" s="53">
        <v>3341000.0</v>
      </c>
      <c r="L1528" s="105"/>
      <c r="M1528" s="106"/>
      <c r="N1528" s="105"/>
      <c r="O1528" s="46">
        <f t="shared" ref="O1528:O1529" si="1454">J1528-K1528</f>
        <v>26659000</v>
      </c>
      <c r="P1528" s="46">
        <f t="shared" ref="P1528:P1529" si="1455">J1528-M1528</f>
        <v>30000000</v>
      </c>
      <c r="Q1528" s="46">
        <v>3.0E7</v>
      </c>
      <c r="R1528" s="101"/>
      <c r="S1528" s="101"/>
      <c r="T1528" s="99"/>
      <c r="U1528" s="99"/>
      <c r="V1528" s="99"/>
      <c r="W1528" s="99"/>
      <c r="X1528" s="99"/>
      <c r="Y1528" s="99"/>
      <c r="Z1528" s="99"/>
      <c r="AA1528" s="99"/>
      <c r="AB1528" s="99"/>
      <c r="AC1528" s="99"/>
      <c r="AD1528" s="99"/>
      <c r="AE1528" s="99"/>
      <c r="AF1528" s="99"/>
      <c r="AG1528" s="99"/>
      <c r="AH1528" s="99"/>
      <c r="AI1528" s="99"/>
      <c r="AJ1528" s="99"/>
      <c r="AK1528" s="99"/>
      <c r="AL1528" s="99"/>
      <c r="AM1528" s="99"/>
    </row>
    <row r="1529" ht="12.75" customHeight="1">
      <c r="A1529" s="104"/>
      <c r="B1529" s="104"/>
      <c r="C1529" s="104"/>
      <c r="D1529" s="110" t="s">
        <v>24</v>
      </c>
      <c r="E1529" s="110" t="s">
        <v>290</v>
      </c>
      <c r="G1529" s="136">
        <v>1.0</v>
      </c>
      <c r="H1529" s="136" t="s">
        <v>97</v>
      </c>
      <c r="I1529" s="137">
        <v>1.3636E7</v>
      </c>
      <c r="J1529" s="46">
        <f t="shared" si="1453"/>
        <v>13636000</v>
      </c>
      <c r="K1529" s="53">
        <v>4078280.0</v>
      </c>
      <c r="L1529" s="105"/>
      <c r="M1529" s="106"/>
      <c r="N1529" s="105"/>
      <c r="O1529" s="46">
        <f t="shared" si="1454"/>
        <v>9557720</v>
      </c>
      <c r="P1529" s="46">
        <f t="shared" si="1455"/>
        <v>13636000</v>
      </c>
      <c r="Q1529" s="46">
        <v>1.3636E7</v>
      </c>
      <c r="R1529" s="101"/>
      <c r="S1529" s="101"/>
      <c r="T1529" s="99"/>
      <c r="U1529" s="99"/>
      <c r="V1529" s="99"/>
      <c r="W1529" s="99"/>
      <c r="X1529" s="99"/>
      <c r="Y1529" s="99"/>
      <c r="Z1529" s="99"/>
      <c r="AA1529" s="99"/>
      <c r="AB1529" s="99"/>
      <c r="AC1529" s="99"/>
      <c r="AD1529" s="99"/>
      <c r="AE1529" s="99"/>
      <c r="AF1529" s="99"/>
      <c r="AG1529" s="99"/>
      <c r="AH1529" s="99"/>
      <c r="AI1529" s="99"/>
      <c r="AJ1529" s="99"/>
      <c r="AK1529" s="99"/>
      <c r="AL1529" s="99"/>
      <c r="AM1529" s="99"/>
    </row>
    <row r="1530" ht="12.75" customHeight="1">
      <c r="A1530" s="144" t="s">
        <v>98</v>
      </c>
      <c r="D1530" s="144" t="s">
        <v>99</v>
      </c>
      <c r="G1530" s="104"/>
      <c r="H1530" s="128"/>
      <c r="I1530" s="104"/>
      <c r="J1530" s="129">
        <f t="shared" ref="J1530:K1530" si="1456">J1531+J1540</f>
        <v>6760000</v>
      </c>
      <c r="K1530" s="43">
        <f t="shared" si="1456"/>
        <v>0</v>
      </c>
      <c r="L1530" s="105"/>
      <c r="M1530" s="106"/>
      <c r="N1530" s="105"/>
      <c r="O1530" s="43">
        <f t="shared" ref="O1530:P1530" si="1457">O1531+O1540</f>
        <v>6760000</v>
      </c>
      <c r="P1530" s="43">
        <f t="shared" si="1457"/>
        <v>6760000</v>
      </c>
      <c r="Q1530" s="43">
        <v>6760000.0</v>
      </c>
      <c r="R1530" s="101"/>
      <c r="S1530" s="101"/>
      <c r="T1530" s="99"/>
      <c r="U1530" s="99"/>
      <c r="V1530" s="99"/>
      <c r="W1530" s="99"/>
      <c r="X1530" s="99"/>
      <c r="Y1530" s="99"/>
      <c r="Z1530" s="99"/>
      <c r="AA1530" s="99"/>
      <c r="AB1530" s="99"/>
      <c r="AC1530" s="99"/>
      <c r="AD1530" s="99"/>
      <c r="AE1530" s="99"/>
      <c r="AF1530" s="99"/>
      <c r="AG1530" s="99"/>
      <c r="AH1530" s="99"/>
      <c r="AI1530" s="99"/>
      <c r="AJ1530" s="99"/>
      <c r="AK1530" s="99"/>
      <c r="AL1530" s="99"/>
      <c r="AM1530" s="99"/>
    </row>
    <row r="1531" ht="12.75" customHeight="1">
      <c r="A1531" s="110" t="s">
        <v>100</v>
      </c>
      <c r="D1531" s="145" t="s">
        <v>101</v>
      </c>
      <c r="G1531" s="104"/>
      <c r="H1531" s="133"/>
      <c r="I1531" s="104"/>
      <c r="J1531" s="134">
        <f t="shared" ref="J1531:K1531" si="1458">SUM(J1533:J1539)</f>
        <v>5600000</v>
      </c>
      <c r="K1531" s="46">
        <f t="shared" si="1458"/>
        <v>0</v>
      </c>
      <c r="L1531" s="105"/>
      <c r="M1531" s="106"/>
      <c r="N1531" s="105"/>
      <c r="O1531" s="46">
        <f t="shared" ref="O1531:P1531" si="1459">SUM(O1533:O1539)</f>
        <v>5600000</v>
      </c>
      <c r="P1531" s="46">
        <f t="shared" si="1459"/>
        <v>5600000</v>
      </c>
      <c r="Q1531" s="46">
        <v>5600000.0</v>
      </c>
      <c r="R1531" s="101"/>
      <c r="S1531" s="101"/>
      <c r="T1531" s="99"/>
      <c r="U1531" s="99"/>
      <c r="V1531" s="99"/>
      <c r="W1531" s="99"/>
      <c r="X1531" s="99"/>
      <c r="Y1531" s="99"/>
      <c r="Z1531" s="99"/>
      <c r="AA1531" s="99"/>
      <c r="AB1531" s="99"/>
      <c r="AC1531" s="99"/>
      <c r="AD1531" s="99"/>
      <c r="AE1531" s="99"/>
      <c r="AF1531" s="99"/>
      <c r="AG1531" s="99"/>
      <c r="AH1531" s="99"/>
      <c r="AI1531" s="99"/>
      <c r="AJ1531" s="99"/>
      <c r="AK1531" s="99"/>
      <c r="AL1531" s="99"/>
      <c r="AM1531" s="99"/>
    </row>
    <row r="1532" ht="12.75" customHeight="1">
      <c r="A1532" s="104"/>
      <c r="B1532" s="104"/>
      <c r="C1532" s="104"/>
      <c r="D1532" s="110" t="s">
        <v>23</v>
      </c>
      <c r="G1532" s="104"/>
      <c r="H1532" s="104"/>
      <c r="I1532" s="104"/>
      <c r="J1532" s="111"/>
      <c r="K1532" s="111"/>
      <c r="L1532" s="105"/>
      <c r="M1532" s="106"/>
      <c r="N1532" s="105"/>
      <c r="O1532" s="111"/>
      <c r="P1532" s="111"/>
      <c r="Q1532" s="111"/>
      <c r="R1532" s="101"/>
      <c r="S1532" s="101"/>
      <c r="T1532" s="99"/>
      <c r="U1532" s="99"/>
      <c r="V1532" s="99"/>
      <c r="W1532" s="99"/>
      <c r="X1532" s="99"/>
      <c r="Y1532" s="99"/>
      <c r="Z1532" s="99"/>
      <c r="AA1532" s="99"/>
      <c r="AB1532" s="99"/>
      <c r="AC1532" s="99"/>
      <c r="AD1532" s="99"/>
      <c r="AE1532" s="99"/>
      <c r="AF1532" s="99"/>
      <c r="AG1532" s="99"/>
      <c r="AH1532" s="99"/>
      <c r="AI1532" s="99"/>
      <c r="AJ1532" s="99"/>
      <c r="AK1532" s="99"/>
      <c r="AL1532" s="99"/>
      <c r="AM1532" s="99"/>
    </row>
    <row r="1533" ht="12.75" customHeight="1">
      <c r="A1533" s="104"/>
      <c r="B1533" s="104"/>
      <c r="C1533" s="104"/>
      <c r="D1533" s="110" t="s">
        <v>24</v>
      </c>
      <c r="E1533" s="110" t="s">
        <v>102</v>
      </c>
      <c r="G1533" s="136">
        <v>2.0</v>
      </c>
      <c r="H1533" s="136" t="s">
        <v>95</v>
      </c>
      <c r="I1533" s="137">
        <v>350000.0</v>
      </c>
      <c r="J1533" s="46">
        <f t="shared" ref="J1533:J1539" si="1460">G1533*I1533</f>
        <v>700000</v>
      </c>
      <c r="K1533" s="46"/>
      <c r="L1533" s="105"/>
      <c r="M1533" s="106"/>
      <c r="N1533" s="105"/>
      <c r="O1533" s="46">
        <f t="shared" ref="O1533:O1539" si="1461">J1533-K1533</f>
        <v>700000</v>
      </c>
      <c r="P1533" s="46">
        <f t="shared" ref="P1533:P1539" si="1462">J1533-M1533</f>
        <v>700000</v>
      </c>
      <c r="Q1533" s="46">
        <v>700000.0</v>
      </c>
      <c r="R1533" s="101"/>
      <c r="S1533" s="101"/>
      <c r="T1533" s="99"/>
      <c r="U1533" s="99"/>
      <c r="V1533" s="99"/>
      <c r="W1533" s="99"/>
      <c r="X1533" s="99"/>
      <c r="Y1533" s="99"/>
      <c r="Z1533" s="99"/>
      <c r="AA1533" s="99"/>
      <c r="AB1533" s="99"/>
      <c r="AC1533" s="99"/>
      <c r="AD1533" s="99"/>
      <c r="AE1533" s="99"/>
      <c r="AF1533" s="99"/>
      <c r="AG1533" s="99"/>
      <c r="AH1533" s="99"/>
      <c r="AI1533" s="99"/>
      <c r="AJ1533" s="99"/>
      <c r="AK1533" s="99"/>
      <c r="AL1533" s="99"/>
      <c r="AM1533" s="99"/>
    </row>
    <row r="1534" ht="12.75" customHeight="1">
      <c r="A1534" s="104"/>
      <c r="B1534" s="104"/>
      <c r="C1534" s="104"/>
      <c r="D1534" s="110" t="s">
        <v>24</v>
      </c>
      <c r="E1534" s="110" t="s">
        <v>103</v>
      </c>
      <c r="G1534" s="136">
        <v>2.0</v>
      </c>
      <c r="H1534" s="136" t="s">
        <v>95</v>
      </c>
      <c r="I1534" s="137">
        <v>225000.0</v>
      </c>
      <c r="J1534" s="46">
        <f t="shared" si="1460"/>
        <v>450000</v>
      </c>
      <c r="K1534" s="46"/>
      <c r="L1534" s="105"/>
      <c r="M1534" s="106"/>
      <c r="N1534" s="105"/>
      <c r="O1534" s="46">
        <f t="shared" si="1461"/>
        <v>450000</v>
      </c>
      <c r="P1534" s="46">
        <f t="shared" si="1462"/>
        <v>450000</v>
      </c>
      <c r="Q1534" s="46">
        <v>450000.0</v>
      </c>
      <c r="R1534" s="101"/>
      <c r="S1534" s="101"/>
      <c r="T1534" s="99"/>
      <c r="U1534" s="99"/>
      <c r="V1534" s="99"/>
      <c r="W1534" s="99"/>
      <c r="X1534" s="99"/>
      <c r="Y1534" s="99"/>
      <c r="Z1534" s="99"/>
      <c r="AA1534" s="99"/>
      <c r="AB1534" s="99"/>
      <c r="AC1534" s="99"/>
      <c r="AD1534" s="99"/>
      <c r="AE1534" s="99"/>
      <c r="AF1534" s="99"/>
      <c r="AG1534" s="99"/>
      <c r="AH1534" s="99"/>
      <c r="AI1534" s="99"/>
      <c r="AJ1534" s="99"/>
      <c r="AK1534" s="99"/>
      <c r="AL1534" s="99"/>
      <c r="AM1534" s="99"/>
    </row>
    <row r="1535" ht="15.75" customHeight="1">
      <c r="A1535" s="104"/>
      <c r="B1535" s="104"/>
      <c r="C1535" s="104"/>
      <c r="D1535" s="110" t="s">
        <v>24</v>
      </c>
      <c r="E1535" s="110" t="s">
        <v>104</v>
      </c>
      <c r="G1535" s="136">
        <v>2.0</v>
      </c>
      <c r="H1535" s="136" t="s">
        <v>95</v>
      </c>
      <c r="I1535" s="137">
        <v>450000.0</v>
      </c>
      <c r="J1535" s="46">
        <f t="shared" si="1460"/>
        <v>900000</v>
      </c>
      <c r="K1535" s="46"/>
      <c r="L1535" s="105"/>
      <c r="M1535" s="106"/>
      <c r="N1535" s="105"/>
      <c r="O1535" s="46">
        <f t="shared" si="1461"/>
        <v>900000</v>
      </c>
      <c r="P1535" s="46">
        <f t="shared" si="1462"/>
        <v>900000</v>
      </c>
      <c r="Q1535" s="46">
        <v>900000.0</v>
      </c>
      <c r="R1535" s="101"/>
      <c r="S1535" s="101"/>
      <c r="T1535" s="99"/>
      <c r="U1535" s="99"/>
      <c r="V1535" s="99"/>
      <c r="W1535" s="99"/>
      <c r="X1535" s="99"/>
      <c r="Y1535" s="99"/>
      <c r="Z1535" s="99"/>
      <c r="AA1535" s="99"/>
      <c r="AB1535" s="99"/>
      <c r="AC1535" s="99"/>
      <c r="AD1535" s="99"/>
      <c r="AE1535" s="99"/>
      <c r="AF1535" s="99"/>
      <c r="AG1535" s="99"/>
      <c r="AH1535" s="99"/>
      <c r="AI1535" s="99"/>
      <c r="AJ1535" s="99"/>
      <c r="AK1535" s="99"/>
      <c r="AL1535" s="99"/>
      <c r="AM1535" s="99"/>
    </row>
    <row r="1536" ht="12.75" customHeight="1">
      <c r="A1536" s="104"/>
      <c r="B1536" s="104"/>
      <c r="C1536" s="104"/>
      <c r="D1536" s="110" t="s">
        <v>24</v>
      </c>
      <c r="E1536" s="110" t="s">
        <v>105</v>
      </c>
      <c r="G1536" s="136">
        <v>2.0</v>
      </c>
      <c r="H1536" s="136" t="s">
        <v>95</v>
      </c>
      <c r="I1536" s="137">
        <v>250000.0</v>
      </c>
      <c r="J1536" s="46">
        <f t="shared" si="1460"/>
        <v>500000</v>
      </c>
      <c r="K1536" s="46"/>
      <c r="L1536" s="105"/>
      <c r="M1536" s="106"/>
      <c r="N1536" s="105"/>
      <c r="O1536" s="46">
        <f t="shared" si="1461"/>
        <v>500000</v>
      </c>
      <c r="P1536" s="46">
        <f t="shared" si="1462"/>
        <v>500000</v>
      </c>
      <c r="Q1536" s="46">
        <v>500000.0</v>
      </c>
      <c r="R1536" s="101"/>
      <c r="S1536" s="101"/>
      <c r="T1536" s="99"/>
      <c r="U1536" s="99"/>
      <c r="V1536" s="99"/>
      <c r="W1536" s="99"/>
      <c r="X1536" s="99"/>
      <c r="Y1536" s="99"/>
      <c r="Z1536" s="99"/>
      <c r="AA1536" s="99"/>
      <c r="AB1536" s="99"/>
      <c r="AC1536" s="99"/>
      <c r="AD1536" s="99"/>
      <c r="AE1536" s="99"/>
      <c r="AF1536" s="99"/>
      <c r="AG1536" s="99"/>
      <c r="AH1536" s="99"/>
      <c r="AI1536" s="99"/>
      <c r="AJ1536" s="99"/>
      <c r="AK1536" s="99"/>
      <c r="AL1536" s="99"/>
      <c r="AM1536" s="99"/>
    </row>
    <row r="1537" ht="12.75" customHeight="1">
      <c r="A1537" s="104"/>
      <c r="B1537" s="104"/>
      <c r="C1537" s="104"/>
      <c r="D1537" s="110" t="s">
        <v>24</v>
      </c>
      <c r="E1537" s="110" t="s">
        <v>106</v>
      </c>
      <c r="G1537" s="136">
        <v>2.0</v>
      </c>
      <c r="H1537" s="136" t="s">
        <v>95</v>
      </c>
      <c r="I1537" s="137">
        <v>100000.0</v>
      </c>
      <c r="J1537" s="46">
        <f t="shared" si="1460"/>
        <v>200000</v>
      </c>
      <c r="K1537" s="46"/>
      <c r="L1537" s="105"/>
      <c r="M1537" s="106"/>
      <c r="N1537" s="105"/>
      <c r="O1537" s="46">
        <f t="shared" si="1461"/>
        <v>200000</v>
      </c>
      <c r="P1537" s="46">
        <f t="shared" si="1462"/>
        <v>200000</v>
      </c>
      <c r="Q1537" s="46">
        <v>200000.0</v>
      </c>
      <c r="R1537" s="101"/>
      <c r="S1537" s="101"/>
      <c r="T1537" s="99"/>
      <c r="U1537" s="99"/>
      <c r="V1537" s="99"/>
      <c r="W1537" s="99"/>
      <c r="X1537" s="99"/>
      <c r="Y1537" s="99"/>
      <c r="Z1537" s="99"/>
      <c r="AA1537" s="99"/>
      <c r="AB1537" s="99"/>
      <c r="AC1537" s="99"/>
      <c r="AD1537" s="99"/>
      <c r="AE1537" s="99"/>
      <c r="AF1537" s="99"/>
      <c r="AG1537" s="99"/>
      <c r="AH1537" s="99"/>
      <c r="AI1537" s="99"/>
      <c r="AJ1537" s="99"/>
      <c r="AK1537" s="99"/>
      <c r="AL1537" s="99"/>
      <c r="AM1537" s="99"/>
    </row>
    <row r="1538" ht="12.75" customHeight="1">
      <c r="A1538" s="104"/>
      <c r="B1538" s="104"/>
      <c r="C1538" s="104"/>
      <c r="D1538" s="110" t="s">
        <v>24</v>
      </c>
      <c r="E1538" s="110" t="s">
        <v>107</v>
      </c>
      <c r="G1538" s="136">
        <v>2.0</v>
      </c>
      <c r="H1538" s="136" t="s">
        <v>95</v>
      </c>
      <c r="I1538" s="137">
        <v>725000.0</v>
      </c>
      <c r="J1538" s="46">
        <f t="shared" si="1460"/>
        <v>1450000</v>
      </c>
      <c r="K1538" s="46"/>
      <c r="L1538" s="105"/>
      <c r="M1538" s="106"/>
      <c r="N1538" s="105"/>
      <c r="O1538" s="46">
        <f t="shared" si="1461"/>
        <v>1450000</v>
      </c>
      <c r="P1538" s="46">
        <f t="shared" si="1462"/>
        <v>1450000</v>
      </c>
      <c r="Q1538" s="46">
        <v>1450000.0</v>
      </c>
      <c r="R1538" s="101"/>
      <c r="S1538" s="101"/>
      <c r="T1538" s="99"/>
      <c r="U1538" s="99"/>
      <c r="V1538" s="99"/>
      <c r="W1538" s="99"/>
      <c r="X1538" s="99"/>
      <c r="Y1538" s="99"/>
      <c r="Z1538" s="99"/>
      <c r="AA1538" s="99"/>
      <c r="AB1538" s="99"/>
      <c r="AC1538" s="99"/>
      <c r="AD1538" s="99"/>
      <c r="AE1538" s="99"/>
      <c r="AF1538" s="99"/>
      <c r="AG1538" s="99"/>
      <c r="AH1538" s="99"/>
      <c r="AI1538" s="99"/>
      <c r="AJ1538" s="99"/>
      <c r="AK1538" s="99"/>
      <c r="AL1538" s="99"/>
      <c r="AM1538" s="99"/>
    </row>
    <row r="1539" ht="15.75" customHeight="1">
      <c r="A1539" s="104"/>
      <c r="B1539" s="104"/>
      <c r="C1539" s="104"/>
      <c r="D1539" s="110" t="s">
        <v>24</v>
      </c>
      <c r="E1539" s="110" t="s">
        <v>108</v>
      </c>
      <c r="G1539" s="136">
        <v>2.0</v>
      </c>
      <c r="H1539" s="136" t="s">
        <v>95</v>
      </c>
      <c r="I1539" s="137">
        <v>700000.0</v>
      </c>
      <c r="J1539" s="46">
        <f t="shared" si="1460"/>
        <v>1400000</v>
      </c>
      <c r="K1539" s="46"/>
      <c r="L1539" s="105"/>
      <c r="M1539" s="106"/>
      <c r="N1539" s="105"/>
      <c r="O1539" s="46">
        <f t="shared" si="1461"/>
        <v>1400000</v>
      </c>
      <c r="P1539" s="46">
        <f t="shared" si="1462"/>
        <v>1400000</v>
      </c>
      <c r="Q1539" s="46">
        <v>1400000.0</v>
      </c>
      <c r="R1539" s="101"/>
      <c r="S1539" s="101"/>
      <c r="T1539" s="99"/>
      <c r="U1539" s="99"/>
      <c r="V1539" s="99"/>
      <c r="W1539" s="99"/>
      <c r="X1539" s="99"/>
      <c r="Y1539" s="99"/>
      <c r="Z1539" s="99"/>
      <c r="AA1539" s="99"/>
      <c r="AB1539" s="99"/>
      <c r="AC1539" s="99"/>
      <c r="AD1539" s="99"/>
      <c r="AE1539" s="99"/>
      <c r="AF1539" s="99"/>
      <c r="AG1539" s="99"/>
      <c r="AH1539" s="99"/>
      <c r="AI1539" s="99"/>
      <c r="AJ1539" s="99"/>
      <c r="AK1539" s="99"/>
      <c r="AL1539" s="99"/>
      <c r="AM1539" s="99"/>
    </row>
    <row r="1540" ht="12.75" customHeight="1">
      <c r="A1540" s="110" t="s">
        <v>68</v>
      </c>
      <c r="D1540" s="145" t="s">
        <v>69</v>
      </c>
      <c r="G1540" s="104"/>
      <c r="H1540" s="133"/>
      <c r="I1540" s="104"/>
      <c r="J1540" s="134">
        <f t="shared" ref="J1540:K1540" si="1463">SUM(J1542:J1545)</f>
        <v>1160000</v>
      </c>
      <c r="K1540" s="46">
        <f t="shared" si="1463"/>
        <v>0</v>
      </c>
      <c r="L1540" s="105"/>
      <c r="M1540" s="106"/>
      <c r="N1540" s="105"/>
      <c r="O1540" s="46">
        <f t="shared" ref="O1540:P1540" si="1464">SUM(O1542:O1545)</f>
        <v>1160000</v>
      </c>
      <c r="P1540" s="46">
        <f t="shared" si="1464"/>
        <v>1160000</v>
      </c>
      <c r="Q1540" s="46">
        <v>1160000.0</v>
      </c>
      <c r="R1540" s="101"/>
      <c r="S1540" s="101"/>
      <c r="T1540" s="99"/>
      <c r="U1540" s="99"/>
      <c r="V1540" s="99"/>
      <c r="W1540" s="99"/>
      <c r="X1540" s="99"/>
      <c r="Y1540" s="99"/>
      <c r="Z1540" s="99"/>
      <c r="AA1540" s="99"/>
      <c r="AB1540" s="99"/>
      <c r="AC1540" s="99"/>
      <c r="AD1540" s="99"/>
      <c r="AE1540" s="99"/>
      <c r="AF1540" s="99"/>
      <c r="AG1540" s="99"/>
      <c r="AH1540" s="99"/>
      <c r="AI1540" s="99"/>
      <c r="AJ1540" s="99"/>
      <c r="AK1540" s="99"/>
      <c r="AL1540" s="99"/>
      <c r="AM1540" s="99"/>
    </row>
    <row r="1541" ht="12.75" customHeight="1">
      <c r="A1541" s="104"/>
      <c r="B1541" s="104"/>
      <c r="C1541" s="104"/>
      <c r="D1541" s="110" t="s">
        <v>23</v>
      </c>
      <c r="G1541" s="104"/>
      <c r="H1541" s="104"/>
      <c r="I1541" s="104"/>
      <c r="J1541" s="111"/>
      <c r="K1541" s="111"/>
      <c r="L1541" s="105"/>
      <c r="M1541" s="106"/>
      <c r="N1541" s="105"/>
      <c r="O1541" s="111"/>
      <c r="P1541" s="111"/>
      <c r="Q1541" s="111"/>
      <c r="R1541" s="101"/>
      <c r="S1541" s="101"/>
      <c r="T1541" s="99"/>
      <c r="U1541" s="99"/>
      <c r="V1541" s="99"/>
      <c r="W1541" s="99"/>
      <c r="X1541" s="99"/>
      <c r="Y1541" s="99"/>
      <c r="Z1541" s="99"/>
      <c r="AA1541" s="99"/>
      <c r="AB1541" s="99"/>
      <c r="AC1541" s="99"/>
      <c r="AD1541" s="99"/>
      <c r="AE1541" s="99"/>
      <c r="AF1541" s="99"/>
      <c r="AG1541" s="99"/>
      <c r="AH1541" s="99"/>
      <c r="AI1541" s="99"/>
      <c r="AJ1541" s="99"/>
      <c r="AK1541" s="99"/>
      <c r="AL1541" s="99"/>
      <c r="AM1541" s="99"/>
    </row>
    <row r="1542" ht="12.75" customHeight="1">
      <c r="A1542" s="104"/>
      <c r="B1542" s="104"/>
      <c r="C1542" s="104"/>
      <c r="D1542" s="110" t="s">
        <v>24</v>
      </c>
      <c r="E1542" s="110" t="s">
        <v>109</v>
      </c>
      <c r="G1542" s="136">
        <v>10.0</v>
      </c>
      <c r="H1542" s="136" t="s">
        <v>95</v>
      </c>
      <c r="I1542" s="137">
        <v>50000.0</v>
      </c>
      <c r="J1542" s="46">
        <f t="shared" ref="J1542:J1545" si="1465">G1542*I1542</f>
        <v>500000</v>
      </c>
      <c r="K1542" s="46"/>
      <c r="L1542" s="105"/>
      <c r="M1542" s="106"/>
      <c r="N1542" s="105"/>
      <c r="O1542" s="46">
        <f t="shared" ref="O1542:O1545" si="1466">J1542-K1542</f>
        <v>500000</v>
      </c>
      <c r="P1542" s="46">
        <f t="shared" ref="P1542:P1545" si="1467">J1542-M1542</f>
        <v>500000</v>
      </c>
      <c r="Q1542" s="46">
        <v>500000.0</v>
      </c>
      <c r="R1542" s="101"/>
      <c r="S1542" s="101"/>
      <c r="T1542" s="99"/>
      <c r="U1542" s="99"/>
      <c r="V1542" s="99"/>
      <c r="W1542" s="99"/>
      <c r="X1542" s="99"/>
      <c r="Y1542" s="99"/>
      <c r="Z1542" s="99"/>
      <c r="AA1542" s="99"/>
      <c r="AB1542" s="99"/>
      <c r="AC1542" s="99"/>
      <c r="AD1542" s="99"/>
      <c r="AE1542" s="99"/>
      <c r="AF1542" s="99"/>
      <c r="AG1542" s="99"/>
      <c r="AH1542" s="99"/>
      <c r="AI1542" s="99"/>
      <c r="AJ1542" s="99"/>
      <c r="AK1542" s="99"/>
      <c r="AL1542" s="99"/>
      <c r="AM1542" s="99"/>
    </row>
    <row r="1543" ht="12.75" customHeight="1">
      <c r="A1543" s="104"/>
      <c r="B1543" s="104"/>
      <c r="C1543" s="104"/>
      <c r="D1543" s="110" t="s">
        <v>24</v>
      </c>
      <c r="E1543" s="110" t="s">
        <v>110</v>
      </c>
      <c r="G1543" s="136">
        <v>2.0</v>
      </c>
      <c r="H1543" s="136" t="s">
        <v>95</v>
      </c>
      <c r="I1543" s="137">
        <v>100000.0</v>
      </c>
      <c r="J1543" s="46">
        <f t="shared" si="1465"/>
        <v>200000</v>
      </c>
      <c r="K1543" s="46"/>
      <c r="L1543" s="105"/>
      <c r="M1543" s="106"/>
      <c r="N1543" s="105"/>
      <c r="O1543" s="46">
        <f t="shared" si="1466"/>
        <v>200000</v>
      </c>
      <c r="P1543" s="46">
        <f t="shared" si="1467"/>
        <v>200000</v>
      </c>
      <c r="Q1543" s="46">
        <v>200000.0</v>
      </c>
      <c r="R1543" s="101"/>
      <c r="S1543" s="101"/>
      <c r="T1543" s="99"/>
      <c r="U1543" s="99"/>
      <c r="V1543" s="99"/>
      <c r="W1543" s="99"/>
      <c r="X1543" s="99"/>
      <c r="Y1543" s="99"/>
      <c r="Z1543" s="99"/>
      <c r="AA1543" s="99"/>
      <c r="AB1543" s="99"/>
      <c r="AC1543" s="99"/>
      <c r="AD1543" s="99"/>
      <c r="AE1543" s="99"/>
      <c r="AF1543" s="99"/>
      <c r="AG1543" s="99"/>
      <c r="AH1543" s="99"/>
      <c r="AI1543" s="99"/>
      <c r="AJ1543" s="99"/>
      <c r="AK1543" s="99"/>
      <c r="AL1543" s="99"/>
      <c r="AM1543" s="99"/>
    </row>
    <row r="1544" ht="12.75" customHeight="1">
      <c r="A1544" s="104"/>
      <c r="B1544" s="104"/>
      <c r="C1544" s="104"/>
      <c r="D1544" s="110" t="s">
        <v>24</v>
      </c>
      <c r="E1544" s="110" t="s">
        <v>111</v>
      </c>
      <c r="G1544" s="136">
        <v>2.0</v>
      </c>
      <c r="H1544" s="136" t="s">
        <v>95</v>
      </c>
      <c r="I1544" s="137">
        <v>200000.0</v>
      </c>
      <c r="J1544" s="46">
        <f t="shared" si="1465"/>
        <v>400000</v>
      </c>
      <c r="K1544" s="46"/>
      <c r="L1544" s="105"/>
      <c r="M1544" s="106"/>
      <c r="N1544" s="105"/>
      <c r="O1544" s="46">
        <f t="shared" si="1466"/>
        <v>400000</v>
      </c>
      <c r="P1544" s="46">
        <f t="shared" si="1467"/>
        <v>400000</v>
      </c>
      <c r="Q1544" s="46">
        <v>400000.0</v>
      </c>
      <c r="R1544" s="101"/>
      <c r="S1544" s="101"/>
      <c r="T1544" s="99"/>
      <c r="U1544" s="99"/>
      <c r="V1544" s="99"/>
      <c r="W1544" s="99"/>
      <c r="X1544" s="99"/>
      <c r="Y1544" s="99"/>
      <c r="Z1544" s="99"/>
      <c r="AA1544" s="99"/>
      <c r="AB1544" s="99"/>
      <c r="AC1544" s="99"/>
      <c r="AD1544" s="99"/>
      <c r="AE1544" s="99"/>
      <c r="AF1544" s="99"/>
      <c r="AG1544" s="99"/>
      <c r="AH1544" s="99"/>
      <c r="AI1544" s="99"/>
      <c r="AJ1544" s="99"/>
      <c r="AK1544" s="99"/>
      <c r="AL1544" s="99"/>
      <c r="AM1544" s="99"/>
    </row>
    <row r="1545" ht="12.75" customHeight="1">
      <c r="A1545" s="104"/>
      <c r="B1545" s="104"/>
      <c r="C1545" s="104"/>
      <c r="D1545" s="110" t="s">
        <v>24</v>
      </c>
      <c r="E1545" s="110" t="s">
        <v>112</v>
      </c>
      <c r="G1545" s="136">
        <v>2.0</v>
      </c>
      <c r="H1545" s="136" t="s">
        <v>95</v>
      </c>
      <c r="I1545" s="137">
        <v>30000.0</v>
      </c>
      <c r="J1545" s="46">
        <f t="shared" si="1465"/>
        <v>60000</v>
      </c>
      <c r="K1545" s="46"/>
      <c r="L1545" s="105"/>
      <c r="M1545" s="106"/>
      <c r="N1545" s="105"/>
      <c r="O1545" s="46">
        <f t="shared" si="1466"/>
        <v>60000</v>
      </c>
      <c r="P1545" s="46">
        <f t="shared" si="1467"/>
        <v>60000</v>
      </c>
      <c r="Q1545" s="46">
        <v>60000.0</v>
      </c>
      <c r="R1545" s="101"/>
      <c r="S1545" s="101"/>
      <c r="T1545" s="99"/>
      <c r="U1545" s="99"/>
      <c r="V1545" s="99"/>
      <c r="W1545" s="99"/>
      <c r="X1545" s="99"/>
      <c r="Y1545" s="99"/>
      <c r="Z1545" s="99"/>
      <c r="AA1545" s="99"/>
      <c r="AB1545" s="99"/>
      <c r="AC1545" s="99"/>
      <c r="AD1545" s="99"/>
      <c r="AE1545" s="99"/>
      <c r="AF1545" s="99"/>
      <c r="AG1545" s="99"/>
      <c r="AH1545" s="99"/>
      <c r="AI1545" s="99"/>
      <c r="AJ1545" s="99"/>
      <c r="AK1545" s="99"/>
      <c r="AL1545" s="99"/>
      <c r="AM1545" s="99"/>
    </row>
    <row r="1546" ht="12.75" customHeight="1">
      <c r="A1546" s="144" t="s">
        <v>113</v>
      </c>
      <c r="D1546" s="144" t="s">
        <v>114</v>
      </c>
      <c r="G1546" s="104"/>
      <c r="H1546" s="128"/>
      <c r="I1546" s="104"/>
      <c r="J1546" s="129">
        <f t="shared" ref="J1546:K1546" si="1468">J1547</f>
        <v>821500000</v>
      </c>
      <c r="K1546" s="43">
        <f t="shared" si="1468"/>
        <v>0</v>
      </c>
      <c r="L1546" s="105"/>
      <c r="M1546" s="106"/>
      <c r="N1546" s="105"/>
      <c r="O1546" s="43">
        <f t="shared" ref="O1546:P1546" si="1469">O1547</f>
        <v>821500000</v>
      </c>
      <c r="P1546" s="43">
        <f t="shared" si="1469"/>
        <v>821500000</v>
      </c>
      <c r="Q1546" s="43">
        <v>8.215E8</v>
      </c>
      <c r="R1546" s="101"/>
      <c r="S1546" s="101"/>
      <c r="T1546" s="99"/>
      <c r="U1546" s="99"/>
      <c r="V1546" s="99"/>
      <c r="W1546" s="99"/>
      <c r="X1546" s="99"/>
      <c r="Y1546" s="99"/>
      <c r="Z1546" s="99"/>
      <c r="AA1546" s="99"/>
      <c r="AB1546" s="99"/>
      <c r="AC1546" s="99"/>
      <c r="AD1546" s="99"/>
      <c r="AE1546" s="99"/>
      <c r="AF1546" s="99"/>
      <c r="AG1546" s="99"/>
      <c r="AH1546" s="99"/>
      <c r="AI1546" s="99"/>
      <c r="AJ1546" s="99"/>
      <c r="AK1546" s="99"/>
      <c r="AL1546" s="99"/>
      <c r="AM1546" s="99"/>
    </row>
    <row r="1547" ht="12.75" customHeight="1">
      <c r="A1547" s="110" t="s">
        <v>68</v>
      </c>
      <c r="D1547" s="145" t="s">
        <v>69</v>
      </c>
      <c r="G1547" s="104"/>
      <c r="H1547" s="133"/>
      <c r="I1547" s="104"/>
      <c r="J1547" s="134">
        <f t="shared" ref="J1547:K1547" si="1470">SUM(J1549:J1559)</f>
        <v>821500000</v>
      </c>
      <c r="K1547" s="46">
        <f t="shared" si="1470"/>
        <v>0</v>
      </c>
      <c r="L1547" s="105"/>
      <c r="M1547" s="106"/>
      <c r="N1547" s="105"/>
      <c r="O1547" s="46">
        <f t="shared" ref="O1547:P1547" si="1471">SUM(O1549:O1559)</f>
        <v>821500000</v>
      </c>
      <c r="P1547" s="46">
        <f t="shared" si="1471"/>
        <v>821500000</v>
      </c>
      <c r="Q1547" s="46">
        <v>8.215E8</v>
      </c>
      <c r="R1547" s="101"/>
      <c r="S1547" s="101"/>
      <c r="T1547" s="99"/>
      <c r="U1547" s="99"/>
      <c r="V1547" s="99"/>
      <c r="W1547" s="99"/>
      <c r="X1547" s="99"/>
      <c r="Y1547" s="99"/>
      <c r="Z1547" s="99"/>
      <c r="AA1547" s="99"/>
      <c r="AB1547" s="99"/>
      <c r="AC1547" s="99"/>
      <c r="AD1547" s="99"/>
      <c r="AE1547" s="99"/>
      <c r="AF1547" s="99"/>
      <c r="AG1547" s="99"/>
      <c r="AH1547" s="99"/>
      <c r="AI1547" s="99"/>
      <c r="AJ1547" s="99"/>
      <c r="AK1547" s="99"/>
      <c r="AL1547" s="99"/>
      <c r="AM1547" s="99"/>
    </row>
    <row r="1548" ht="12.75" customHeight="1">
      <c r="A1548" s="104"/>
      <c r="B1548" s="104"/>
      <c r="C1548" s="104"/>
      <c r="D1548" s="110" t="s">
        <v>23</v>
      </c>
      <c r="G1548" s="104"/>
      <c r="H1548" s="104"/>
      <c r="I1548" s="104"/>
      <c r="J1548" s="111"/>
      <c r="K1548" s="111"/>
      <c r="L1548" s="105"/>
      <c r="M1548" s="106"/>
      <c r="N1548" s="105"/>
      <c r="O1548" s="111"/>
      <c r="P1548" s="111"/>
      <c r="Q1548" s="111"/>
      <c r="R1548" s="101"/>
      <c r="S1548" s="101"/>
      <c r="T1548" s="99"/>
      <c r="U1548" s="99"/>
      <c r="V1548" s="99"/>
      <c r="W1548" s="99"/>
      <c r="X1548" s="99"/>
      <c r="Y1548" s="99"/>
      <c r="Z1548" s="99"/>
      <c r="AA1548" s="99"/>
      <c r="AB1548" s="99"/>
      <c r="AC1548" s="99"/>
      <c r="AD1548" s="99"/>
      <c r="AE1548" s="99"/>
      <c r="AF1548" s="99"/>
      <c r="AG1548" s="99"/>
      <c r="AH1548" s="99"/>
      <c r="AI1548" s="99"/>
      <c r="AJ1548" s="99"/>
      <c r="AK1548" s="99"/>
      <c r="AL1548" s="99"/>
      <c r="AM1548" s="99"/>
    </row>
    <row r="1549" ht="12.75" customHeight="1">
      <c r="A1549" s="104"/>
      <c r="B1549" s="104"/>
      <c r="C1549" s="104"/>
      <c r="D1549" s="110" t="s">
        <v>24</v>
      </c>
      <c r="E1549" s="110" t="s">
        <v>323</v>
      </c>
      <c r="G1549" s="136">
        <v>200.0</v>
      </c>
      <c r="H1549" s="136" t="s">
        <v>95</v>
      </c>
      <c r="I1549" s="137">
        <v>110000.0</v>
      </c>
      <c r="J1549" s="46">
        <f t="shared" ref="J1549:J1559" si="1472">G1549*I1549</f>
        <v>22000000</v>
      </c>
      <c r="K1549" s="46"/>
      <c r="L1549" s="105"/>
      <c r="M1549" s="106"/>
      <c r="N1549" s="105"/>
      <c r="O1549" s="46">
        <f t="shared" ref="O1549:O1559" si="1473">J1549-K1549</f>
        <v>22000000</v>
      </c>
      <c r="P1549" s="46">
        <f t="shared" ref="P1549:P1559" si="1474">J1549-M1549</f>
        <v>22000000</v>
      </c>
      <c r="Q1549" s="46">
        <v>2.2E7</v>
      </c>
      <c r="R1549" s="101"/>
      <c r="S1549" s="101"/>
      <c r="T1549" s="99"/>
      <c r="U1549" s="99"/>
      <c r="V1549" s="99"/>
      <c r="W1549" s="99"/>
      <c r="X1549" s="99"/>
      <c r="Y1549" s="99"/>
      <c r="Z1549" s="99"/>
      <c r="AA1549" s="99"/>
      <c r="AB1549" s="99"/>
      <c r="AC1549" s="99"/>
      <c r="AD1549" s="99"/>
      <c r="AE1549" s="99"/>
      <c r="AF1549" s="99"/>
      <c r="AG1549" s="99"/>
      <c r="AH1549" s="99"/>
      <c r="AI1549" s="99"/>
      <c r="AJ1549" s="99"/>
      <c r="AK1549" s="99"/>
      <c r="AL1549" s="99"/>
      <c r="AM1549" s="99"/>
    </row>
    <row r="1550" ht="12.75" customHeight="1">
      <c r="A1550" s="104"/>
      <c r="B1550" s="104"/>
      <c r="C1550" s="104"/>
      <c r="D1550" s="110" t="s">
        <v>24</v>
      </c>
      <c r="E1550" s="110" t="s">
        <v>324</v>
      </c>
      <c r="G1550" s="136">
        <v>200.0</v>
      </c>
      <c r="H1550" s="136" t="s">
        <v>95</v>
      </c>
      <c r="I1550" s="137">
        <v>120000.0</v>
      </c>
      <c r="J1550" s="46">
        <f t="shared" si="1472"/>
        <v>24000000</v>
      </c>
      <c r="K1550" s="46"/>
      <c r="L1550" s="105"/>
      <c r="M1550" s="106"/>
      <c r="N1550" s="105"/>
      <c r="O1550" s="46">
        <f t="shared" si="1473"/>
        <v>24000000</v>
      </c>
      <c r="P1550" s="46">
        <f t="shared" si="1474"/>
        <v>24000000</v>
      </c>
      <c r="Q1550" s="46">
        <v>2.4E7</v>
      </c>
      <c r="R1550" s="101"/>
      <c r="S1550" s="101"/>
      <c r="T1550" s="99"/>
      <c r="U1550" s="99"/>
      <c r="V1550" s="99"/>
      <c r="W1550" s="99"/>
      <c r="X1550" s="99"/>
      <c r="Y1550" s="99"/>
      <c r="Z1550" s="99"/>
      <c r="AA1550" s="99"/>
      <c r="AB1550" s="99"/>
      <c r="AC1550" s="99"/>
      <c r="AD1550" s="99"/>
      <c r="AE1550" s="99"/>
      <c r="AF1550" s="99"/>
      <c r="AG1550" s="99"/>
      <c r="AH1550" s="99"/>
      <c r="AI1550" s="99"/>
      <c r="AJ1550" s="99"/>
      <c r="AK1550" s="99"/>
      <c r="AL1550" s="99"/>
      <c r="AM1550" s="99"/>
    </row>
    <row r="1551" ht="12.75" customHeight="1">
      <c r="A1551" s="104"/>
      <c r="B1551" s="104"/>
      <c r="C1551" s="104"/>
      <c r="D1551" s="110" t="s">
        <v>24</v>
      </c>
      <c r="E1551" s="110" t="s">
        <v>325</v>
      </c>
      <c r="G1551" s="136">
        <v>200.0</v>
      </c>
      <c r="H1551" s="136" t="s">
        <v>95</v>
      </c>
      <c r="I1551" s="137">
        <v>150000.0</v>
      </c>
      <c r="J1551" s="46">
        <f t="shared" si="1472"/>
        <v>30000000</v>
      </c>
      <c r="K1551" s="46"/>
      <c r="L1551" s="105"/>
      <c r="M1551" s="106"/>
      <c r="N1551" s="105"/>
      <c r="O1551" s="46">
        <f t="shared" si="1473"/>
        <v>30000000</v>
      </c>
      <c r="P1551" s="46">
        <f t="shared" si="1474"/>
        <v>30000000</v>
      </c>
      <c r="Q1551" s="46">
        <v>3.0E7</v>
      </c>
      <c r="R1551" s="101"/>
      <c r="S1551" s="101"/>
      <c r="T1551" s="99"/>
      <c r="U1551" s="99"/>
      <c r="V1551" s="99"/>
      <c r="W1551" s="99"/>
      <c r="X1551" s="99"/>
      <c r="Y1551" s="99"/>
      <c r="Z1551" s="99"/>
      <c r="AA1551" s="99"/>
      <c r="AB1551" s="99"/>
      <c r="AC1551" s="99"/>
      <c r="AD1551" s="99"/>
      <c r="AE1551" s="99"/>
      <c r="AF1551" s="99"/>
      <c r="AG1551" s="99"/>
      <c r="AH1551" s="99"/>
      <c r="AI1551" s="99"/>
      <c r="AJ1551" s="99"/>
      <c r="AK1551" s="99"/>
      <c r="AL1551" s="99"/>
      <c r="AM1551" s="99"/>
    </row>
    <row r="1552" ht="12.75" customHeight="1">
      <c r="A1552" s="104"/>
      <c r="B1552" s="104"/>
      <c r="C1552" s="104"/>
      <c r="D1552" s="110" t="s">
        <v>24</v>
      </c>
      <c r="E1552" s="110" t="s">
        <v>326</v>
      </c>
      <c r="G1552" s="136">
        <v>200.0</v>
      </c>
      <c r="H1552" s="136" t="s">
        <v>95</v>
      </c>
      <c r="I1552" s="137">
        <v>100000.0</v>
      </c>
      <c r="J1552" s="46">
        <f t="shared" si="1472"/>
        <v>20000000</v>
      </c>
      <c r="K1552" s="46"/>
      <c r="L1552" s="105"/>
      <c r="M1552" s="106"/>
      <c r="N1552" s="105"/>
      <c r="O1552" s="46">
        <f t="shared" si="1473"/>
        <v>20000000</v>
      </c>
      <c r="P1552" s="46">
        <f t="shared" si="1474"/>
        <v>20000000</v>
      </c>
      <c r="Q1552" s="46">
        <v>2.0E7</v>
      </c>
      <c r="R1552" s="101"/>
      <c r="S1552" s="101"/>
      <c r="T1552" s="99"/>
      <c r="U1552" s="99"/>
      <c r="V1552" s="99"/>
      <c r="W1552" s="99"/>
      <c r="X1552" s="99"/>
      <c r="Y1552" s="99"/>
      <c r="Z1552" s="99"/>
      <c r="AA1552" s="99"/>
      <c r="AB1552" s="99"/>
      <c r="AC1552" s="99"/>
      <c r="AD1552" s="99"/>
      <c r="AE1552" s="99"/>
      <c r="AF1552" s="99"/>
      <c r="AG1552" s="99"/>
      <c r="AH1552" s="99"/>
      <c r="AI1552" s="99"/>
      <c r="AJ1552" s="99"/>
      <c r="AK1552" s="99"/>
      <c r="AL1552" s="99"/>
      <c r="AM1552" s="99"/>
    </row>
    <row r="1553" ht="12.75" customHeight="1">
      <c r="A1553" s="104"/>
      <c r="B1553" s="104"/>
      <c r="C1553" s="104"/>
      <c r="D1553" s="110" t="s">
        <v>24</v>
      </c>
      <c r="E1553" s="110" t="s">
        <v>327</v>
      </c>
      <c r="G1553" s="136">
        <v>200.0</v>
      </c>
      <c r="H1553" s="136" t="s">
        <v>95</v>
      </c>
      <c r="I1553" s="137">
        <v>350000.0</v>
      </c>
      <c r="J1553" s="46">
        <f t="shared" si="1472"/>
        <v>70000000</v>
      </c>
      <c r="K1553" s="46"/>
      <c r="L1553" s="105"/>
      <c r="M1553" s="106"/>
      <c r="N1553" s="105"/>
      <c r="O1553" s="46">
        <f t="shared" si="1473"/>
        <v>70000000</v>
      </c>
      <c r="P1553" s="46">
        <f t="shared" si="1474"/>
        <v>70000000</v>
      </c>
      <c r="Q1553" s="46">
        <v>7.0E7</v>
      </c>
      <c r="R1553" s="101"/>
      <c r="S1553" s="101"/>
      <c r="T1553" s="99"/>
      <c r="U1553" s="99"/>
      <c r="V1553" s="99"/>
      <c r="W1553" s="99"/>
      <c r="X1553" s="99"/>
      <c r="Y1553" s="99"/>
      <c r="Z1553" s="99"/>
      <c r="AA1553" s="99"/>
      <c r="AB1553" s="99"/>
      <c r="AC1553" s="99"/>
      <c r="AD1553" s="99"/>
      <c r="AE1553" s="99"/>
      <c r="AF1553" s="99"/>
      <c r="AG1553" s="99"/>
      <c r="AH1553" s="99"/>
      <c r="AI1553" s="99"/>
      <c r="AJ1553" s="99"/>
      <c r="AK1553" s="99"/>
      <c r="AL1553" s="99"/>
      <c r="AM1553" s="99"/>
    </row>
    <row r="1554" ht="12.75" customHeight="1">
      <c r="A1554" s="104"/>
      <c r="B1554" s="104"/>
      <c r="C1554" s="104"/>
      <c r="D1554" s="110" t="s">
        <v>24</v>
      </c>
      <c r="E1554" s="110" t="s">
        <v>328</v>
      </c>
      <c r="G1554" s="136">
        <v>100.0</v>
      </c>
      <c r="H1554" s="136" t="s">
        <v>95</v>
      </c>
      <c r="I1554" s="137">
        <v>175000.0</v>
      </c>
      <c r="J1554" s="46">
        <f t="shared" si="1472"/>
        <v>17500000</v>
      </c>
      <c r="K1554" s="46"/>
      <c r="L1554" s="105"/>
      <c r="M1554" s="106"/>
      <c r="N1554" s="105"/>
      <c r="O1554" s="46">
        <f t="shared" si="1473"/>
        <v>17500000</v>
      </c>
      <c r="P1554" s="46">
        <f t="shared" si="1474"/>
        <v>17500000</v>
      </c>
      <c r="Q1554" s="46">
        <v>1.75E7</v>
      </c>
      <c r="R1554" s="101"/>
      <c r="S1554" s="101"/>
      <c r="T1554" s="99"/>
      <c r="U1554" s="99"/>
      <c r="V1554" s="99"/>
      <c r="W1554" s="99"/>
      <c r="X1554" s="99"/>
      <c r="Y1554" s="99"/>
      <c r="Z1554" s="99"/>
      <c r="AA1554" s="99"/>
      <c r="AB1554" s="99"/>
      <c r="AC1554" s="99"/>
      <c r="AD1554" s="99"/>
      <c r="AE1554" s="99"/>
      <c r="AF1554" s="99"/>
      <c r="AG1554" s="99"/>
      <c r="AH1554" s="99"/>
      <c r="AI1554" s="99"/>
      <c r="AJ1554" s="99"/>
      <c r="AK1554" s="99"/>
      <c r="AL1554" s="99"/>
      <c r="AM1554" s="99"/>
    </row>
    <row r="1555" ht="12.75" customHeight="1">
      <c r="A1555" s="104"/>
      <c r="B1555" s="104"/>
      <c r="C1555" s="104"/>
      <c r="D1555" s="110" t="s">
        <v>24</v>
      </c>
      <c r="E1555" s="110" t="s">
        <v>329</v>
      </c>
      <c r="G1555" s="136">
        <v>700.0</v>
      </c>
      <c r="H1555" s="136" t="s">
        <v>95</v>
      </c>
      <c r="I1555" s="137">
        <v>150000.0</v>
      </c>
      <c r="J1555" s="46">
        <f t="shared" si="1472"/>
        <v>105000000</v>
      </c>
      <c r="K1555" s="46"/>
      <c r="L1555" s="105"/>
      <c r="M1555" s="106"/>
      <c r="N1555" s="105"/>
      <c r="O1555" s="46">
        <f t="shared" si="1473"/>
        <v>105000000</v>
      </c>
      <c r="P1555" s="46">
        <f t="shared" si="1474"/>
        <v>105000000</v>
      </c>
      <c r="Q1555" s="46">
        <v>1.05E8</v>
      </c>
      <c r="R1555" s="101"/>
      <c r="S1555" s="101"/>
      <c r="T1555" s="99"/>
      <c r="U1555" s="99"/>
      <c r="V1555" s="99"/>
      <c r="W1555" s="99"/>
      <c r="X1555" s="99"/>
      <c r="Y1555" s="99"/>
      <c r="Z1555" s="99"/>
      <c r="AA1555" s="99"/>
      <c r="AB1555" s="99"/>
      <c r="AC1555" s="99"/>
      <c r="AD1555" s="99"/>
      <c r="AE1555" s="99"/>
      <c r="AF1555" s="99"/>
      <c r="AG1555" s="99"/>
      <c r="AH1555" s="99"/>
      <c r="AI1555" s="99"/>
      <c r="AJ1555" s="99"/>
      <c r="AK1555" s="99"/>
      <c r="AL1555" s="99"/>
      <c r="AM1555" s="99"/>
    </row>
    <row r="1556" ht="12.75" customHeight="1">
      <c r="A1556" s="104"/>
      <c r="B1556" s="104"/>
      <c r="C1556" s="104"/>
      <c r="D1556" s="110" t="s">
        <v>24</v>
      </c>
      <c r="E1556" s="110" t="s">
        <v>371</v>
      </c>
      <c r="G1556" s="136">
        <v>700.0</v>
      </c>
      <c r="H1556" s="136" t="s">
        <v>95</v>
      </c>
      <c r="I1556" s="137">
        <v>200000.0</v>
      </c>
      <c r="J1556" s="46">
        <f t="shared" si="1472"/>
        <v>140000000</v>
      </c>
      <c r="K1556" s="46"/>
      <c r="L1556" s="105"/>
      <c r="M1556" s="106"/>
      <c r="N1556" s="105"/>
      <c r="O1556" s="46">
        <f t="shared" si="1473"/>
        <v>140000000</v>
      </c>
      <c r="P1556" s="46">
        <f t="shared" si="1474"/>
        <v>140000000</v>
      </c>
      <c r="Q1556" s="46">
        <v>1.4E8</v>
      </c>
      <c r="R1556" s="101"/>
      <c r="S1556" s="101"/>
      <c r="T1556" s="99"/>
      <c r="U1556" s="99"/>
      <c r="V1556" s="99"/>
      <c r="W1556" s="99"/>
      <c r="X1556" s="99"/>
      <c r="Y1556" s="99"/>
      <c r="Z1556" s="99"/>
      <c r="AA1556" s="99"/>
      <c r="AB1556" s="99"/>
      <c r="AC1556" s="99"/>
      <c r="AD1556" s="99"/>
      <c r="AE1556" s="99"/>
      <c r="AF1556" s="99"/>
      <c r="AG1556" s="99"/>
      <c r="AH1556" s="99"/>
      <c r="AI1556" s="99"/>
      <c r="AJ1556" s="99"/>
      <c r="AK1556" s="99"/>
      <c r="AL1556" s="99"/>
      <c r="AM1556" s="99"/>
    </row>
    <row r="1557" ht="15.75" customHeight="1">
      <c r="A1557" s="104"/>
      <c r="B1557" s="104"/>
      <c r="C1557" s="104"/>
      <c r="D1557" s="110" t="s">
        <v>24</v>
      </c>
      <c r="E1557" s="110" t="s">
        <v>331</v>
      </c>
      <c r="G1557" s="136">
        <v>1200.0</v>
      </c>
      <c r="H1557" s="136" t="s">
        <v>95</v>
      </c>
      <c r="I1557" s="137">
        <v>250000.0</v>
      </c>
      <c r="J1557" s="46">
        <f t="shared" si="1472"/>
        <v>300000000</v>
      </c>
      <c r="K1557" s="46"/>
      <c r="L1557" s="105"/>
      <c r="M1557" s="106"/>
      <c r="N1557" s="105"/>
      <c r="O1557" s="46">
        <f t="shared" si="1473"/>
        <v>300000000</v>
      </c>
      <c r="P1557" s="46">
        <f t="shared" si="1474"/>
        <v>300000000</v>
      </c>
      <c r="Q1557" s="46">
        <v>3.0E8</v>
      </c>
      <c r="R1557" s="101"/>
      <c r="S1557" s="101"/>
      <c r="T1557" s="99"/>
      <c r="U1557" s="99"/>
      <c r="V1557" s="99"/>
      <c r="W1557" s="99"/>
      <c r="X1557" s="99"/>
      <c r="Y1557" s="99"/>
      <c r="Z1557" s="99"/>
      <c r="AA1557" s="99"/>
      <c r="AB1557" s="99"/>
      <c r="AC1557" s="99"/>
      <c r="AD1557" s="99"/>
      <c r="AE1557" s="99"/>
      <c r="AF1557" s="99"/>
      <c r="AG1557" s="99"/>
      <c r="AH1557" s="99"/>
      <c r="AI1557" s="99"/>
      <c r="AJ1557" s="99"/>
      <c r="AK1557" s="99"/>
      <c r="AL1557" s="99"/>
      <c r="AM1557" s="99"/>
    </row>
    <row r="1558" ht="12.75" customHeight="1">
      <c r="A1558" s="104"/>
      <c r="B1558" s="104"/>
      <c r="C1558" s="104"/>
      <c r="D1558" s="110" t="s">
        <v>24</v>
      </c>
      <c r="E1558" s="110" t="s">
        <v>332</v>
      </c>
      <c r="G1558" s="136">
        <v>720.0</v>
      </c>
      <c r="H1558" s="136" t="s">
        <v>95</v>
      </c>
      <c r="I1558" s="137">
        <v>100000.0</v>
      </c>
      <c r="J1558" s="46">
        <f t="shared" si="1472"/>
        <v>72000000</v>
      </c>
      <c r="K1558" s="46"/>
      <c r="L1558" s="105"/>
      <c r="M1558" s="106"/>
      <c r="N1558" s="105"/>
      <c r="O1558" s="46">
        <f t="shared" si="1473"/>
        <v>72000000</v>
      </c>
      <c r="P1558" s="46">
        <f t="shared" si="1474"/>
        <v>72000000</v>
      </c>
      <c r="Q1558" s="46">
        <v>7.2E7</v>
      </c>
      <c r="R1558" s="101"/>
      <c r="S1558" s="101"/>
      <c r="T1558" s="99"/>
      <c r="U1558" s="99"/>
      <c r="V1558" s="99"/>
      <c r="W1558" s="99"/>
      <c r="X1558" s="99"/>
      <c r="Y1558" s="99"/>
      <c r="Z1558" s="99"/>
      <c r="AA1558" s="99"/>
      <c r="AB1558" s="99"/>
      <c r="AC1558" s="99"/>
      <c r="AD1558" s="99"/>
      <c r="AE1558" s="99"/>
      <c r="AF1558" s="99"/>
      <c r="AG1558" s="99"/>
      <c r="AH1558" s="99"/>
      <c r="AI1558" s="99"/>
      <c r="AJ1558" s="99"/>
      <c r="AK1558" s="99"/>
      <c r="AL1558" s="99"/>
      <c r="AM1558" s="99"/>
    </row>
    <row r="1559" ht="12.75" customHeight="1">
      <c r="A1559" s="104"/>
      <c r="B1559" s="104"/>
      <c r="C1559" s="104"/>
      <c r="D1559" s="110" t="s">
        <v>24</v>
      </c>
      <c r="E1559" s="110" t="s">
        <v>333</v>
      </c>
      <c r="G1559" s="136">
        <v>420.0</v>
      </c>
      <c r="H1559" s="136" t="s">
        <v>95</v>
      </c>
      <c r="I1559" s="137">
        <v>50000.0</v>
      </c>
      <c r="J1559" s="46">
        <f t="shared" si="1472"/>
        <v>21000000</v>
      </c>
      <c r="K1559" s="46"/>
      <c r="L1559" s="105"/>
      <c r="M1559" s="106"/>
      <c r="N1559" s="105"/>
      <c r="O1559" s="46">
        <f t="shared" si="1473"/>
        <v>21000000</v>
      </c>
      <c r="P1559" s="46">
        <f t="shared" si="1474"/>
        <v>21000000</v>
      </c>
      <c r="Q1559" s="46">
        <v>2.1E7</v>
      </c>
      <c r="R1559" s="101"/>
      <c r="S1559" s="101"/>
      <c r="T1559" s="99"/>
      <c r="U1559" s="99"/>
      <c r="V1559" s="99"/>
      <c r="W1559" s="99"/>
      <c r="X1559" s="99"/>
      <c r="Y1559" s="99"/>
      <c r="Z1559" s="99"/>
      <c r="AA1559" s="99"/>
      <c r="AB1559" s="99"/>
      <c r="AC1559" s="99"/>
      <c r="AD1559" s="99"/>
      <c r="AE1559" s="99"/>
      <c r="AF1559" s="99"/>
      <c r="AG1559" s="99"/>
      <c r="AH1559" s="99"/>
      <c r="AI1559" s="99"/>
      <c r="AJ1559" s="99"/>
      <c r="AK1559" s="99"/>
      <c r="AL1559" s="99"/>
      <c r="AM1559" s="99"/>
    </row>
    <row r="1560" ht="12.75" customHeight="1">
      <c r="A1560" s="144" t="s">
        <v>126</v>
      </c>
      <c r="D1560" s="144" t="s">
        <v>127</v>
      </c>
      <c r="G1560" s="104"/>
      <c r="H1560" s="128"/>
      <c r="I1560" s="104"/>
      <c r="J1560" s="129">
        <f t="shared" ref="J1560:K1560" si="1475">J1561</f>
        <v>190740000</v>
      </c>
      <c r="K1560" s="43">
        <f t="shared" si="1475"/>
        <v>0</v>
      </c>
      <c r="L1560" s="105"/>
      <c r="M1560" s="106"/>
      <c r="N1560" s="105"/>
      <c r="O1560" s="43">
        <f t="shared" ref="O1560:P1560" si="1476">O1561</f>
        <v>190740000</v>
      </c>
      <c r="P1560" s="43">
        <f t="shared" si="1476"/>
        <v>190740000</v>
      </c>
      <c r="Q1560" s="43">
        <v>1.9074E8</v>
      </c>
      <c r="R1560" s="101"/>
      <c r="S1560" s="101"/>
      <c r="T1560" s="99"/>
      <c r="U1560" s="99"/>
      <c r="V1560" s="99"/>
      <c r="W1560" s="99"/>
      <c r="X1560" s="99"/>
      <c r="Y1560" s="99"/>
      <c r="Z1560" s="99"/>
      <c r="AA1560" s="99"/>
      <c r="AB1560" s="99"/>
      <c r="AC1560" s="99"/>
      <c r="AD1560" s="99"/>
      <c r="AE1560" s="99"/>
      <c r="AF1560" s="99"/>
      <c r="AG1560" s="99"/>
      <c r="AH1560" s="99"/>
      <c r="AI1560" s="99"/>
      <c r="AJ1560" s="99"/>
      <c r="AK1560" s="99"/>
      <c r="AL1560" s="99"/>
      <c r="AM1560" s="99"/>
    </row>
    <row r="1561" ht="12.75" customHeight="1">
      <c r="A1561" s="110" t="s">
        <v>68</v>
      </c>
      <c r="D1561" s="145" t="s">
        <v>69</v>
      </c>
      <c r="G1561" s="104"/>
      <c r="H1561" s="133"/>
      <c r="I1561" s="104"/>
      <c r="J1561" s="134">
        <f t="shared" ref="J1561:K1561" si="1477">SUM(J1563:J1567)</f>
        <v>190740000</v>
      </c>
      <c r="K1561" s="46">
        <f t="shared" si="1477"/>
        <v>0</v>
      </c>
      <c r="L1561" s="105"/>
      <c r="M1561" s="106"/>
      <c r="N1561" s="105"/>
      <c r="O1561" s="46">
        <f t="shared" ref="O1561:P1561" si="1478">SUM(O1563:O1567)</f>
        <v>190740000</v>
      </c>
      <c r="P1561" s="46">
        <f t="shared" si="1478"/>
        <v>190740000</v>
      </c>
      <c r="Q1561" s="46">
        <v>1.9074E8</v>
      </c>
      <c r="R1561" s="101"/>
      <c r="S1561" s="101"/>
      <c r="T1561" s="99"/>
      <c r="U1561" s="99"/>
      <c r="V1561" s="99"/>
      <c r="W1561" s="99"/>
      <c r="X1561" s="99"/>
      <c r="Y1561" s="99"/>
      <c r="Z1561" s="99"/>
      <c r="AA1561" s="99"/>
      <c r="AB1561" s="99"/>
      <c r="AC1561" s="99"/>
      <c r="AD1561" s="99"/>
      <c r="AE1561" s="99"/>
      <c r="AF1561" s="99"/>
      <c r="AG1561" s="99"/>
      <c r="AH1561" s="99"/>
      <c r="AI1561" s="99"/>
      <c r="AJ1561" s="99"/>
      <c r="AK1561" s="99"/>
      <c r="AL1561" s="99"/>
      <c r="AM1561" s="99"/>
    </row>
    <row r="1562" ht="12.75" customHeight="1">
      <c r="A1562" s="104"/>
      <c r="B1562" s="104"/>
      <c r="C1562" s="104"/>
      <c r="D1562" s="110" t="s">
        <v>23</v>
      </c>
      <c r="G1562" s="104"/>
      <c r="H1562" s="104"/>
      <c r="I1562" s="104"/>
      <c r="J1562" s="111"/>
      <c r="K1562" s="111"/>
      <c r="L1562" s="105"/>
      <c r="M1562" s="106"/>
      <c r="N1562" s="105"/>
      <c r="O1562" s="111"/>
      <c r="P1562" s="111"/>
      <c r="Q1562" s="111"/>
      <c r="R1562" s="101"/>
      <c r="S1562" s="101"/>
      <c r="T1562" s="99"/>
      <c r="U1562" s="99"/>
      <c r="V1562" s="99"/>
      <c r="W1562" s="99"/>
      <c r="X1562" s="99"/>
      <c r="Y1562" s="99"/>
      <c r="Z1562" s="99"/>
      <c r="AA1562" s="99"/>
      <c r="AB1562" s="99"/>
      <c r="AC1562" s="99"/>
      <c r="AD1562" s="99"/>
      <c r="AE1562" s="99"/>
      <c r="AF1562" s="99"/>
      <c r="AG1562" s="99"/>
      <c r="AH1562" s="99"/>
      <c r="AI1562" s="99"/>
      <c r="AJ1562" s="99"/>
      <c r="AK1562" s="99"/>
      <c r="AL1562" s="99"/>
      <c r="AM1562" s="99"/>
    </row>
    <row r="1563" ht="12.75" customHeight="1">
      <c r="A1563" s="104"/>
      <c r="B1563" s="104"/>
      <c r="C1563" s="104"/>
      <c r="D1563" s="110" t="s">
        <v>24</v>
      </c>
      <c r="E1563" s="110" t="s">
        <v>128</v>
      </c>
      <c r="G1563" s="136">
        <v>88.0</v>
      </c>
      <c r="H1563" s="136" t="s">
        <v>233</v>
      </c>
      <c r="I1563" s="137">
        <v>110000.0</v>
      </c>
      <c r="J1563" s="46">
        <f t="shared" ref="J1563:J1567" si="1479">G1563*I1563</f>
        <v>9680000</v>
      </c>
      <c r="K1563" s="46"/>
      <c r="L1563" s="105"/>
      <c r="M1563" s="106"/>
      <c r="N1563" s="105"/>
      <c r="O1563" s="46">
        <f t="shared" ref="O1563:O1567" si="1480">J1563-K1563</f>
        <v>9680000</v>
      </c>
      <c r="P1563" s="46">
        <f t="shared" ref="P1563:P1567" si="1481">J1563-M1563</f>
        <v>9680000</v>
      </c>
      <c r="Q1563" s="46">
        <v>9680000.0</v>
      </c>
      <c r="R1563" s="101"/>
      <c r="S1563" s="101"/>
      <c r="T1563" s="99"/>
      <c r="U1563" s="99"/>
      <c r="V1563" s="99"/>
      <c r="W1563" s="99"/>
      <c r="X1563" s="99"/>
      <c r="Y1563" s="99"/>
      <c r="Z1563" s="99"/>
      <c r="AA1563" s="99"/>
      <c r="AB1563" s="99"/>
      <c r="AC1563" s="99"/>
      <c r="AD1563" s="99"/>
      <c r="AE1563" s="99"/>
      <c r="AF1563" s="99"/>
      <c r="AG1563" s="99"/>
      <c r="AH1563" s="99"/>
      <c r="AI1563" s="99"/>
      <c r="AJ1563" s="99"/>
      <c r="AK1563" s="99"/>
      <c r="AL1563" s="99"/>
      <c r="AM1563" s="99"/>
    </row>
    <row r="1564" ht="12.75" customHeight="1">
      <c r="A1564" s="104"/>
      <c r="B1564" s="104"/>
      <c r="C1564" s="104"/>
      <c r="D1564" s="110" t="s">
        <v>24</v>
      </c>
      <c r="E1564" s="110" t="s">
        <v>130</v>
      </c>
      <c r="G1564" s="136">
        <v>88.0</v>
      </c>
      <c r="H1564" s="136" t="s">
        <v>233</v>
      </c>
      <c r="I1564" s="137">
        <v>120000.0</v>
      </c>
      <c r="J1564" s="46">
        <f t="shared" si="1479"/>
        <v>10560000</v>
      </c>
      <c r="K1564" s="46"/>
      <c r="L1564" s="105"/>
      <c r="M1564" s="106"/>
      <c r="N1564" s="105"/>
      <c r="O1564" s="46">
        <f t="shared" si="1480"/>
        <v>10560000</v>
      </c>
      <c r="P1564" s="46">
        <f t="shared" si="1481"/>
        <v>10560000</v>
      </c>
      <c r="Q1564" s="46">
        <v>1.056E7</v>
      </c>
      <c r="R1564" s="101"/>
      <c r="S1564" s="101"/>
      <c r="T1564" s="99"/>
      <c r="U1564" s="99"/>
      <c r="V1564" s="99"/>
      <c r="W1564" s="99"/>
      <c r="X1564" s="99"/>
      <c r="Y1564" s="99"/>
      <c r="Z1564" s="99"/>
      <c r="AA1564" s="99"/>
      <c r="AB1564" s="99"/>
      <c r="AC1564" s="99"/>
      <c r="AD1564" s="99"/>
      <c r="AE1564" s="99"/>
      <c r="AF1564" s="99"/>
      <c r="AG1564" s="99"/>
      <c r="AH1564" s="99"/>
      <c r="AI1564" s="99"/>
      <c r="AJ1564" s="99"/>
      <c r="AK1564" s="99"/>
      <c r="AL1564" s="99"/>
      <c r="AM1564" s="99"/>
    </row>
    <row r="1565" ht="12.75" customHeight="1">
      <c r="A1565" s="104"/>
      <c r="B1565" s="104"/>
      <c r="C1565" s="104"/>
      <c r="D1565" s="110" t="s">
        <v>24</v>
      </c>
      <c r="E1565" s="110" t="s">
        <v>131</v>
      </c>
      <c r="G1565" s="136">
        <v>88.0</v>
      </c>
      <c r="H1565" s="136" t="s">
        <v>233</v>
      </c>
      <c r="I1565" s="137">
        <v>350000.0</v>
      </c>
      <c r="J1565" s="46">
        <f t="shared" si="1479"/>
        <v>30800000</v>
      </c>
      <c r="K1565" s="46"/>
      <c r="L1565" s="105"/>
      <c r="M1565" s="106"/>
      <c r="N1565" s="105"/>
      <c r="O1565" s="46">
        <f t="shared" si="1480"/>
        <v>30800000</v>
      </c>
      <c r="P1565" s="46">
        <f t="shared" si="1481"/>
        <v>30800000</v>
      </c>
      <c r="Q1565" s="46">
        <v>3.08E7</v>
      </c>
      <c r="R1565" s="101"/>
      <c r="S1565" s="101"/>
      <c r="T1565" s="99"/>
      <c r="U1565" s="99"/>
      <c r="V1565" s="99"/>
      <c r="W1565" s="99"/>
      <c r="X1565" s="99"/>
      <c r="Y1565" s="99"/>
      <c r="Z1565" s="99"/>
      <c r="AA1565" s="99"/>
      <c r="AB1565" s="99"/>
      <c r="AC1565" s="99"/>
      <c r="AD1565" s="99"/>
      <c r="AE1565" s="99"/>
      <c r="AF1565" s="99"/>
      <c r="AG1565" s="99"/>
      <c r="AH1565" s="99"/>
      <c r="AI1565" s="99"/>
      <c r="AJ1565" s="99"/>
      <c r="AK1565" s="99"/>
      <c r="AL1565" s="99"/>
      <c r="AM1565" s="99"/>
    </row>
    <row r="1566" ht="12.75" customHeight="1">
      <c r="A1566" s="104"/>
      <c r="B1566" s="104"/>
      <c r="C1566" s="104"/>
      <c r="D1566" s="110" t="s">
        <v>24</v>
      </c>
      <c r="E1566" s="110" t="s">
        <v>132</v>
      </c>
      <c r="G1566" s="136">
        <v>44.0</v>
      </c>
      <c r="H1566" s="136" t="s">
        <v>233</v>
      </c>
      <c r="I1566" s="137">
        <v>175000.0</v>
      </c>
      <c r="J1566" s="46">
        <f t="shared" si="1479"/>
        <v>7700000</v>
      </c>
      <c r="K1566" s="46"/>
      <c r="L1566" s="105"/>
      <c r="M1566" s="106"/>
      <c r="N1566" s="105"/>
      <c r="O1566" s="46">
        <f t="shared" si="1480"/>
        <v>7700000</v>
      </c>
      <c r="P1566" s="46">
        <f t="shared" si="1481"/>
        <v>7700000</v>
      </c>
      <c r="Q1566" s="46">
        <v>7700000.0</v>
      </c>
      <c r="R1566" s="101"/>
      <c r="S1566" s="101"/>
      <c r="T1566" s="99"/>
      <c r="U1566" s="99"/>
      <c r="V1566" s="99"/>
      <c r="W1566" s="99"/>
      <c r="X1566" s="99"/>
      <c r="Y1566" s="99"/>
      <c r="Z1566" s="99"/>
      <c r="AA1566" s="99"/>
      <c r="AB1566" s="99"/>
      <c r="AC1566" s="99"/>
      <c r="AD1566" s="99"/>
      <c r="AE1566" s="99"/>
      <c r="AF1566" s="99"/>
      <c r="AG1566" s="99"/>
      <c r="AH1566" s="99"/>
      <c r="AI1566" s="99"/>
      <c r="AJ1566" s="99"/>
      <c r="AK1566" s="99"/>
      <c r="AL1566" s="99"/>
      <c r="AM1566" s="99"/>
    </row>
    <row r="1567" ht="15.75" customHeight="1">
      <c r="A1567" s="104"/>
      <c r="B1567" s="104"/>
      <c r="C1567" s="104"/>
      <c r="D1567" s="110" t="s">
        <v>24</v>
      </c>
      <c r="E1567" s="110" t="s">
        <v>133</v>
      </c>
      <c r="G1567" s="136">
        <v>528.0</v>
      </c>
      <c r="H1567" s="136" t="s">
        <v>233</v>
      </c>
      <c r="I1567" s="137">
        <v>250000.0</v>
      </c>
      <c r="J1567" s="46">
        <f t="shared" si="1479"/>
        <v>132000000</v>
      </c>
      <c r="K1567" s="46"/>
      <c r="L1567" s="105"/>
      <c r="M1567" s="106"/>
      <c r="N1567" s="105"/>
      <c r="O1567" s="46">
        <f t="shared" si="1480"/>
        <v>132000000</v>
      </c>
      <c r="P1567" s="46">
        <f t="shared" si="1481"/>
        <v>132000000</v>
      </c>
      <c r="Q1567" s="46">
        <v>1.32E8</v>
      </c>
      <c r="R1567" s="101"/>
      <c r="S1567" s="101"/>
      <c r="T1567" s="99"/>
      <c r="U1567" s="99"/>
      <c r="V1567" s="99"/>
      <c r="W1567" s="99"/>
      <c r="X1567" s="99"/>
      <c r="Y1567" s="99"/>
      <c r="Z1567" s="99"/>
      <c r="AA1567" s="99"/>
      <c r="AB1567" s="99"/>
      <c r="AC1567" s="99"/>
      <c r="AD1567" s="99"/>
      <c r="AE1567" s="99"/>
      <c r="AF1567" s="99"/>
      <c r="AG1567" s="99"/>
      <c r="AH1567" s="99"/>
      <c r="AI1567" s="99"/>
      <c r="AJ1567" s="99"/>
      <c r="AK1567" s="99"/>
      <c r="AL1567" s="99"/>
      <c r="AM1567" s="99"/>
    </row>
    <row r="1568" ht="12.75" customHeight="1">
      <c r="A1568" s="144" t="s">
        <v>134</v>
      </c>
      <c r="D1568" s="144" t="s">
        <v>135</v>
      </c>
      <c r="G1568" s="104"/>
      <c r="H1568" s="128"/>
      <c r="I1568" s="104"/>
      <c r="J1568" s="129">
        <f t="shared" ref="J1568:K1568" si="1482">J1569</f>
        <v>39320000</v>
      </c>
      <c r="K1568" s="43">
        <f t="shared" si="1482"/>
        <v>0</v>
      </c>
      <c r="L1568" s="105"/>
      <c r="M1568" s="106"/>
      <c r="N1568" s="105"/>
      <c r="O1568" s="43">
        <f t="shared" ref="O1568:P1568" si="1483">O1569</f>
        <v>39320000</v>
      </c>
      <c r="P1568" s="43">
        <f t="shared" si="1483"/>
        <v>39320000</v>
      </c>
      <c r="Q1568" s="43">
        <v>3.932E7</v>
      </c>
      <c r="R1568" s="101"/>
      <c r="S1568" s="101"/>
      <c r="T1568" s="99"/>
      <c r="U1568" s="99"/>
      <c r="V1568" s="99"/>
      <c r="W1568" s="99"/>
      <c r="X1568" s="99"/>
      <c r="Y1568" s="99"/>
      <c r="Z1568" s="99"/>
      <c r="AA1568" s="99"/>
      <c r="AB1568" s="99"/>
      <c r="AC1568" s="99"/>
      <c r="AD1568" s="99"/>
      <c r="AE1568" s="99"/>
      <c r="AF1568" s="99"/>
      <c r="AG1568" s="99"/>
      <c r="AH1568" s="99"/>
      <c r="AI1568" s="99"/>
      <c r="AJ1568" s="99"/>
      <c r="AK1568" s="99"/>
      <c r="AL1568" s="99"/>
      <c r="AM1568" s="99"/>
    </row>
    <row r="1569" ht="12.75" customHeight="1">
      <c r="A1569" s="110" t="s">
        <v>68</v>
      </c>
      <c r="D1569" s="145" t="s">
        <v>69</v>
      </c>
      <c r="G1569" s="104"/>
      <c r="H1569" s="133"/>
      <c r="I1569" s="104"/>
      <c r="J1569" s="134">
        <f t="shared" ref="J1569:K1569" si="1484">SUM(J1571:J1575)</f>
        <v>39320000</v>
      </c>
      <c r="K1569" s="46">
        <f t="shared" si="1484"/>
        <v>0</v>
      </c>
      <c r="L1569" s="105"/>
      <c r="M1569" s="106"/>
      <c r="N1569" s="105"/>
      <c r="O1569" s="46">
        <f t="shared" ref="O1569:P1569" si="1485">SUM(O1571:O1575)</f>
        <v>39320000</v>
      </c>
      <c r="P1569" s="46">
        <f t="shared" si="1485"/>
        <v>39320000</v>
      </c>
      <c r="Q1569" s="46">
        <v>3.932E7</v>
      </c>
      <c r="R1569" s="101"/>
      <c r="S1569" s="101"/>
      <c r="T1569" s="99"/>
      <c r="U1569" s="99"/>
      <c r="V1569" s="99"/>
      <c r="W1569" s="99"/>
      <c r="X1569" s="99"/>
      <c r="Y1569" s="99"/>
      <c r="Z1569" s="99"/>
      <c r="AA1569" s="99"/>
      <c r="AB1569" s="99"/>
      <c r="AC1569" s="99"/>
      <c r="AD1569" s="99"/>
      <c r="AE1569" s="99"/>
      <c r="AF1569" s="99"/>
      <c r="AG1569" s="99"/>
      <c r="AH1569" s="99"/>
      <c r="AI1569" s="99"/>
      <c r="AJ1569" s="99"/>
      <c r="AK1569" s="99"/>
      <c r="AL1569" s="99"/>
      <c r="AM1569" s="99"/>
    </row>
    <row r="1570" ht="12.75" customHeight="1">
      <c r="A1570" s="104"/>
      <c r="B1570" s="104"/>
      <c r="C1570" s="104"/>
      <c r="D1570" s="110" t="s">
        <v>23</v>
      </c>
      <c r="G1570" s="104"/>
      <c r="H1570" s="104"/>
      <c r="I1570" s="104"/>
      <c r="J1570" s="111"/>
      <c r="K1570" s="111"/>
      <c r="L1570" s="105"/>
      <c r="M1570" s="106"/>
      <c r="N1570" s="105"/>
      <c r="O1570" s="111"/>
      <c r="P1570" s="111"/>
      <c r="Q1570" s="111"/>
      <c r="R1570" s="101"/>
      <c r="S1570" s="101"/>
      <c r="T1570" s="99"/>
      <c r="U1570" s="99"/>
      <c r="V1570" s="99"/>
      <c r="W1570" s="99"/>
      <c r="X1570" s="99"/>
      <c r="Y1570" s="99"/>
      <c r="Z1570" s="99"/>
      <c r="AA1570" s="99"/>
      <c r="AB1570" s="99"/>
      <c r="AC1570" s="99"/>
      <c r="AD1570" s="99"/>
      <c r="AE1570" s="99"/>
      <c r="AF1570" s="99"/>
      <c r="AG1570" s="99"/>
      <c r="AH1570" s="99"/>
      <c r="AI1570" s="99"/>
      <c r="AJ1570" s="99"/>
      <c r="AK1570" s="99"/>
      <c r="AL1570" s="99"/>
      <c r="AM1570" s="99"/>
    </row>
    <row r="1571" ht="12.75" customHeight="1">
      <c r="A1571" s="104"/>
      <c r="B1571" s="104"/>
      <c r="C1571" s="104"/>
      <c r="D1571" s="110" t="s">
        <v>24</v>
      </c>
      <c r="E1571" s="110" t="s">
        <v>334</v>
      </c>
      <c r="G1571" s="136">
        <v>300.0</v>
      </c>
      <c r="H1571" s="136" t="s">
        <v>95</v>
      </c>
      <c r="I1571" s="137">
        <v>75000.0</v>
      </c>
      <c r="J1571" s="46">
        <f t="shared" ref="J1571:J1575" si="1486">G1571*I1571</f>
        <v>22500000</v>
      </c>
      <c r="K1571" s="46"/>
      <c r="L1571" s="105"/>
      <c r="M1571" s="106"/>
      <c r="N1571" s="105"/>
      <c r="O1571" s="46">
        <f t="shared" ref="O1571:O1575" si="1487">J1571-K1571</f>
        <v>22500000</v>
      </c>
      <c r="P1571" s="46">
        <f t="shared" ref="P1571:P1575" si="1488">J1571-M1571</f>
        <v>22500000</v>
      </c>
      <c r="Q1571" s="46">
        <v>2.25E7</v>
      </c>
      <c r="R1571" s="101"/>
      <c r="S1571" s="101"/>
      <c r="T1571" s="99"/>
      <c r="U1571" s="99"/>
      <c r="V1571" s="99"/>
      <c r="W1571" s="99"/>
      <c r="X1571" s="99"/>
      <c r="Y1571" s="99"/>
      <c r="Z1571" s="99"/>
      <c r="AA1571" s="99"/>
      <c r="AB1571" s="99"/>
      <c r="AC1571" s="99"/>
      <c r="AD1571" s="99"/>
      <c r="AE1571" s="99"/>
      <c r="AF1571" s="99"/>
      <c r="AG1571" s="99"/>
      <c r="AH1571" s="99"/>
      <c r="AI1571" s="99"/>
      <c r="AJ1571" s="99"/>
      <c r="AK1571" s="99"/>
      <c r="AL1571" s="99"/>
      <c r="AM1571" s="99"/>
    </row>
    <row r="1572" ht="12.75" customHeight="1">
      <c r="A1572" s="104"/>
      <c r="B1572" s="104"/>
      <c r="C1572" s="104"/>
      <c r="D1572" s="110" t="s">
        <v>24</v>
      </c>
      <c r="E1572" s="110" t="s">
        <v>137</v>
      </c>
      <c r="G1572" s="136">
        <v>2.0</v>
      </c>
      <c r="H1572" s="136" t="s">
        <v>95</v>
      </c>
      <c r="I1572" s="137">
        <v>360000.0</v>
      </c>
      <c r="J1572" s="46">
        <f t="shared" si="1486"/>
        <v>720000</v>
      </c>
      <c r="K1572" s="46"/>
      <c r="L1572" s="105"/>
      <c r="M1572" s="106"/>
      <c r="N1572" s="105"/>
      <c r="O1572" s="46">
        <f t="shared" si="1487"/>
        <v>720000</v>
      </c>
      <c r="P1572" s="46">
        <f t="shared" si="1488"/>
        <v>720000</v>
      </c>
      <c r="Q1572" s="46">
        <v>720000.0</v>
      </c>
      <c r="R1572" s="101"/>
      <c r="S1572" s="101"/>
      <c r="T1572" s="99"/>
      <c r="U1572" s="99"/>
      <c r="V1572" s="99"/>
      <c r="W1572" s="99"/>
      <c r="X1572" s="99"/>
      <c r="Y1572" s="99"/>
      <c r="Z1572" s="99"/>
      <c r="AA1572" s="99"/>
      <c r="AB1572" s="99"/>
      <c r="AC1572" s="99"/>
      <c r="AD1572" s="99"/>
      <c r="AE1572" s="99"/>
      <c r="AF1572" s="99"/>
      <c r="AG1572" s="99"/>
      <c r="AH1572" s="99"/>
      <c r="AI1572" s="99"/>
      <c r="AJ1572" s="99"/>
      <c r="AK1572" s="99"/>
      <c r="AL1572" s="99"/>
      <c r="AM1572" s="99"/>
    </row>
    <row r="1573" ht="15.75" customHeight="1">
      <c r="A1573" s="104"/>
      <c r="B1573" s="104"/>
      <c r="C1573" s="104"/>
      <c r="D1573" s="110" t="s">
        <v>24</v>
      </c>
      <c r="E1573" s="110" t="s">
        <v>335</v>
      </c>
      <c r="G1573" s="136">
        <v>100.0</v>
      </c>
      <c r="H1573" s="136" t="s">
        <v>95</v>
      </c>
      <c r="I1573" s="137">
        <v>93000.0</v>
      </c>
      <c r="J1573" s="46">
        <f t="shared" si="1486"/>
        <v>9300000</v>
      </c>
      <c r="K1573" s="46"/>
      <c r="L1573" s="105"/>
      <c r="M1573" s="106"/>
      <c r="N1573" s="105"/>
      <c r="O1573" s="46">
        <f t="shared" si="1487"/>
        <v>9300000</v>
      </c>
      <c r="P1573" s="46">
        <f t="shared" si="1488"/>
        <v>9300000</v>
      </c>
      <c r="Q1573" s="46">
        <v>9300000.0</v>
      </c>
      <c r="R1573" s="101"/>
      <c r="S1573" s="101"/>
      <c r="T1573" s="99"/>
      <c r="U1573" s="99"/>
      <c r="V1573" s="99"/>
      <c r="W1573" s="99"/>
      <c r="X1573" s="99"/>
      <c r="Y1573" s="99"/>
      <c r="Z1573" s="99"/>
      <c r="AA1573" s="99"/>
      <c r="AB1573" s="99"/>
      <c r="AC1573" s="99"/>
      <c r="AD1573" s="99"/>
      <c r="AE1573" s="99"/>
      <c r="AF1573" s="99"/>
      <c r="AG1573" s="99"/>
      <c r="AH1573" s="99"/>
      <c r="AI1573" s="99"/>
      <c r="AJ1573" s="99"/>
      <c r="AK1573" s="99"/>
      <c r="AL1573" s="99"/>
      <c r="AM1573" s="99"/>
    </row>
    <row r="1574" ht="12.75" customHeight="1">
      <c r="A1574" s="104"/>
      <c r="B1574" s="104"/>
      <c r="C1574" s="104"/>
      <c r="D1574" s="110" t="s">
        <v>24</v>
      </c>
      <c r="E1574" s="110" t="s">
        <v>336</v>
      </c>
      <c r="G1574" s="136">
        <v>100.0</v>
      </c>
      <c r="H1574" s="136" t="s">
        <v>95</v>
      </c>
      <c r="I1574" s="137">
        <v>53000.0</v>
      </c>
      <c r="J1574" s="46">
        <f t="shared" si="1486"/>
        <v>5300000</v>
      </c>
      <c r="K1574" s="46"/>
      <c r="L1574" s="105"/>
      <c r="M1574" s="106"/>
      <c r="N1574" s="105"/>
      <c r="O1574" s="46">
        <f t="shared" si="1487"/>
        <v>5300000</v>
      </c>
      <c r="P1574" s="46">
        <f t="shared" si="1488"/>
        <v>5300000</v>
      </c>
      <c r="Q1574" s="46">
        <v>5300000.0</v>
      </c>
      <c r="R1574" s="101"/>
      <c r="S1574" s="101"/>
      <c r="T1574" s="99"/>
      <c r="U1574" s="99"/>
      <c r="V1574" s="99"/>
      <c r="W1574" s="99"/>
      <c r="X1574" s="99"/>
      <c r="Y1574" s="99"/>
      <c r="Z1574" s="99"/>
      <c r="AA1574" s="99"/>
      <c r="AB1574" s="99"/>
      <c r="AC1574" s="99"/>
      <c r="AD1574" s="99"/>
      <c r="AE1574" s="99"/>
      <c r="AF1574" s="99"/>
      <c r="AG1574" s="99"/>
      <c r="AH1574" s="99"/>
      <c r="AI1574" s="99"/>
      <c r="AJ1574" s="99"/>
      <c r="AK1574" s="99"/>
      <c r="AL1574" s="99"/>
      <c r="AM1574" s="99"/>
    </row>
    <row r="1575" ht="12.75" customHeight="1">
      <c r="A1575" s="104"/>
      <c r="B1575" s="104"/>
      <c r="C1575" s="104"/>
      <c r="D1575" s="110" t="s">
        <v>24</v>
      </c>
      <c r="E1575" s="110" t="s">
        <v>337</v>
      </c>
      <c r="G1575" s="136">
        <v>100.0</v>
      </c>
      <c r="H1575" s="136" t="s">
        <v>95</v>
      </c>
      <c r="I1575" s="137">
        <v>15000.0</v>
      </c>
      <c r="J1575" s="46">
        <f t="shared" si="1486"/>
        <v>1500000</v>
      </c>
      <c r="K1575" s="46"/>
      <c r="L1575" s="105"/>
      <c r="M1575" s="106"/>
      <c r="N1575" s="105"/>
      <c r="O1575" s="46">
        <f t="shared" si="1487"/>
        <v>1500000</v>
      </c>
      <c r="P1575" s="46">
        <f t="shared" si="1488"/>
        <v>1500000</v>
      </c>
      <c r="Q1575" s="46">
        <v>1500000.0</v>
      </c>
      <c r="R1575" s="101"/>
      <c r="S1575" s="101"/>
      <c r="T1575" s="99"/>
      <c r="U1575" s="99"/>
      <c r="V1575" s="99"/>
      <c r="W1575" s="99"/>
      <c r="X1575" s="99"/>
      <c r="Y1575" s="99"/>
      <c r="Z1575" s="99"/>
      <c r="AA1575" s="99"/>
      <c r="AB1575" s="99"/>
      <c r="AC1575" s="99"/>
      <c r="AD1575" s="99"/>
      <c r="AE1575" s="99"/>
      <c r="AF1575" s="99"/>
      <c r="AG1575" s="99"/>
      <c r="AH1575" s="99"/>
      <c r="AI1575" s="99"/>
      <c r="AJ1575" s="99"/>
      <c r="AK1575" s="99"/>
      <c r="AL1575" s="99"/>
      <c r="AM1575" s="99"/>
    </row>
    <row r="1576" ht="12.75" customHeight="1">
      <c r="A1576" s="144" t="s">
        <v>141</v>
      </c>
      <c r="D1576" s="144" t="s">
        <v>142</v>
      </c>
      <c r="G1576" s="104"/>
      <c r="H1576" s="128"/>
      <c r="I1576" s="104"/>
      <c r="J1576" s="129">
        <f t="shared" ref="J1576:K1576" si="1489">J1577</f>
        <v>283000000</v>
      </c>
      <c r="K1576" s="43">
        <f t="shared" si="1489"/>
        <v>0</v>
      </c>
      <c r="L1576" s="105"/>
      <c r="M1576" s="106"/>
      <c r="N1576" s="105"/>
      <c r="O1576" s="43">
        <f t="shared" ref="O1576:P1576" si="1490">O1577</f>
        <v>283000000</v>
      </c>
      <c r="P1576" s="43">
        <f t="shared" si="1490"/>
        <v>283000000</v>
      </c>
      <c r="Q1576" s="43">
        <v>2.83E8</v>
      </c>
      <c r="R1576" s="101"/>
      <c r="S1576" s="101"/>
      <c r="T1576" s="99"/>
      <c r="U1576" s="99"/>
      <c r="V1576" s="99"/>
      <c r="W1576" s="99"/>
      <c r="X1576" s="99"/>
      <c r="Y1576" s="99"/>
      <c r="Z1576" s="99"/>
      <c r="AA1576" s="99"/>
      <c r="AB1576" s="99"/>
      <c r="AC1576" s="99"/>
      <c r="AD1576" s="99"/>
      <c r="AE1576" s="99"/>
      <c r="AF1576" s="99"/>
      <c r="AG1576" s="99"/>
      <c r="AH1576" s="99"/>
      <c r="AI1576" s="99"/>
      <c r="AJ1576" s="99"/>
      <c r="AK1576" s="99"/>
      <c r="AL1576" s="99"/>
      <c r="AM1576" s="99"/>
    </row>
    <row r="1577" ht="12.75" customHeight="1">
      <c r="A1577" s="110" t="s">
        <v>68</v>
      </c>
      <c r="D1577" s="145" t="s">
        <v>69</v>
      </c>
      <c r="G1577" s="104"/>
      <c r="H1577" s="133"/>
      <c r="I1577" s="104"/>
      <c r="J1577" s="134">
        <f t="shared" ref="J1577:K1577" si="1491">SUM(J1579:J1581)</f>
        <v>283000000</v>
      </c>
      <c r="K1577" s="46">
        <f t="shared" si="1491"/>
        <v>0</v>
      </c>
      <c r="L1577" s="105"/>
      <c r="M1577" s="106"/>
      <c r="N1577" s="105"/>
      <c r="O1577" s="46">
        <f t="shared" ref="O1577:P1577" si="1492">SUM(O1579:O1581)</f>
        <v>283000000</v>
      </c>
      <c r="P1577" s="46">
        <f t="shared" si="1492"/>
        <v>283000000</v>
      </c>
      <c r="Q1577" s="46">
        <v>2.83E8</v>
      </c>
      <c r="R1577" s="101"/>
      <c r="S1577" s="101"/>
      <c r="T1577" s="99"/>
      <c r="U1577" s="99"/>
      <c r="V1577" s="99"/>
      <c r="W1577" s="99"/>
      <c r="X1577" s="99"/>
      <c r="Y1577" s="99"/>
      <c r="Z1577" s="99"/>
      <c r="AA1577" s="99"/>
      <c r="AB1577" s="99"/>
      <c r="AC1577" s="99"/>
      <c r="AD1577" s="99"/>
      <c r="AE1577" s="99"/>
      <c r="AF1577" s="99"/>
      <c r="AG1577" s="99"/>
      <c r="AH1577" s="99"/>
      <c r="AI1577" s="99"/>
      <c r="AJ1577" s="99"/>
      <c r="AK1577" s="99"/>
      <c r="AL1577" s="99"/>
      <c r="AM1577" s="99"/>
    </row>
    <row r="1578" ht="12.75" customHeight="1">
      <c r="A1578" s="104"/>
      <c r="B1578" s="104"/>
      <c r="C1578" s="104"/>
      <c r="D1578" s="110" t="s">
        <v>23</v>
      </c>
      <c r="G1578" s="104"/>
      <c r="H1578" s="104"/>
      <c r="I1578" s="104"/>
      <c r="J1578" s="111"/>
      <c r="K1578" s="111"/>
      <c r="L1578" s="105"/>
      <c r="M1578" s="106"/>
      <c r="N1578" s="105"/>
      <c r="O1578" s="111"/>
      <c r="P1578" s="111"/>
      <c r="Q1578" s="111"/>
      <c r="R1578" s="101"/>
      <c r="S1578" s="101"/>
      <c r="T1578" s="99"/>
      <c r="U1578" s="99"/>
      <c r="V1578" s="99"/>
      <c r="W1578" s="99"/>
      <c r="X1578" s="99"/>
      <c r="Y1578" s="99"/>
      <c r="Z1578" s="99"/>
      <c r="AA1578" s="99"/>
      <c r="AB1578" s="99"/>
      <c r="AC1578" s="99"/>
      <c r="AD1578" s="99"/>
      <c r="AE1578" s="99"/>
      <c r="AF1578" s="99"/>
      <c r="AG1578" s="99"/>
      <c r="AH1578" s="99"/>
      <c r="AI1578" s="99"/>
      <c r="AJ1578" s="99"/>
      <c r="AK1578" s="99"/>
      <c r="AL1578" s="99"/>
      <c r="AM1578" s="99"/>
    </row>
    <row r="1579" ht="15.75" customHeight="1">
      <c r="A1579" s="104"/>
      <c r="B1579" s="104"/>
      <c r="C1579" s="104"/>
      <c r="D1579" s="110" t="s">
        <v>24</v>
      </c>
      <c r="E1579" s="110" t="s">
        <v>338</v>
      </c>
      <c r="G1579" s="136">
        <v>100.0</v>
      </c>
      <c r="H1579" s="136" t="s">
        <v>95</v>
      </c>
      <c r="I1579" s="137">
        <v>2000000.0</v>
      </c>
      <c r="J1579" s="46">
        <f t="shared" ref="J1579:J1581" si="1493">G1579*I1579</f>
        <v>200000000</v>
      </c>
      <c r="K1579" s="46"/>
      <c r="L1579" s="105"/>
      <c r="M1579" s="106"/>
      <c r="N1579" s="105"/>
      <c r="O1579" s="46">
        <f t="shared" ref="O1579:O1581" si="1494">J1579-K1579</f>
        <v>200000000</v>
      </c>
      <c r="P1579" s="46">
        <f t="shared" ref="P1579:P1581" si="1495">J1579-M1579</f>
        <v>200000000</v>
      </c>
      <c r="Q1579" s="46">
        <v>2.0E8</v>
      </c>
      <c r="R1579" s="101"/>
      <c r="S1579" s="101"/>
      <c r="T1579" s="99"/>
      <c r="U1579" s="99"/>
      <c r="V1579" s="99"/>
      <c r="W1579" s="99"/>
      <c r="X1579" s="99"/>
      <c r="Y1579" s="99"/>
      <c r="Z1579" s="99"/>
      <c r="AA1579" s="99"/>
      <c r="AB1579" s="99"/>
      <c r="AC1579" s="99"/>
      <c r="AD1579" s="99"/>
      <c r="AE1579" s="99"/>
      <c r="AF1579" s="99"/>
      <c r="AG1579" s="99"/>
      <c r="AH1579" s="99"/>
      <c r="AI1579" s="99"/>
      <c r="AJ1579" s="99"/>
      <c r="AK1579" s="99"/>
      <c r="AL1579" s="99"/>
      <c r="AM1579" s="99"/>
    </row>
    <row r="1580" ht="15.75" customHeight="1">
      <c r="A1580" s="104"/>
      <c r="B1580" s="104"/>
      <c r="C1580" s="104"/>
      <c r="D1580" s="110" t="s">
        <v>24</v>
      </c>
      <c r="E1580" s="110" t="s">
        <v>339</v>
      </c>
      <c r="G1580" s="136">
        <v>100.0</v>
      </c>
      <c r="H1580" s="136" t="s">
        <v>95</v>
      </c>
      <c r="I1580" s="137">
        <v>750000.0</v>
      </c>
      <c r="J1580" s="46">
        <f t="shared" si="1493"/>
        <v>75000000</v>
      </c>
      <c r="K1580" s="46"/>
      <c r="L1580" s="105"/>
      <c r="M1580" s="106"/>
      <c r="N1580" s="105"/>
      <c r="O1580" s="46">
        <f t="shared" si="1494"/>
        <v>75000000</v>
      </c>
      <c r="P1580" s="46">
        <f t="shared" si="1495"/>
        <v>75000000</v>
      </c>
      <c r="Q1580" s="46">
        <v>7.5E7</v>
      </c>
      <c r="R1580" s="101"/>
      <c r="S1580" s="101"/>
      <c r="T1580" s="99"/>
      <c r="U1580" s="99"/>
      <c r="V1580" s="99"/>
      <c r="W1580" s="99"/>
      <c r="X1580" s="99"/>
      <c r="Y1580" s="99"/>
      <c r="Z1580" s="99"/>
      <c r="AA1580" s="99"/>
      <c r="AB1580" s="99"/>
      <c r="AC1580" s="99"/>
      <c r="AD1580" s="99"/>
      <c r="AE1580" s="99"/>
      <c r="AF1580" s="99"/>
      <c r="AG1580" s="99"/>
      <c r="AH1580" s="99"/>
      <c r="AI1580" s="99"/>
      <c r="AJ1580" s="99"/>
      <c r="AK1580" s="99"/>
      <c r="AL1580" s="99"/>
      <c r="AM1580" s="99"/>
    </row>
    <row r="1581" ht="15.75" customHeight="1">
      <c r="A1581" s="104"/>
      <c r="B1581" s="104"/>
      <c r="C1581" s="104"/>
      <c r="D1581" s="110" t="s">
        <v>24</v>
      </c>
      <c r="E1581" s="110" t="s">
        <v>145</v>
      </c>
      <c r="G1581" s="136">
        <v>4.0</v>
      </c>
      <c r="H1581" s="136" t="s">
        <v>95</v>
      </c>
      <c r="I1581" s="137">
        <v>2000000.0</v>
      </c>
      <c r="J1581" s="46">
        <f t="shared" si="1493"/>
        <v>8000000</v>
      </c>
      <c r="K1581" s="46"/>
      <c r="L1581" s="105"/>
      <c r="M1581" s="106"/>
      <c r="N1581" s="105"/>
      <c r="O1581" s="46">
        <f t="shared" si="1494"/>
        <v>8000000</v>
      </c>
      <c r="P1581" s="46">
        <f t="shared" si="1495"/>
        <v>8000000</v>
      </c>
      <c r="Q1581" s="46">
        <v>8000000.0</v>
      </c>
      <c r="R1581" s="101"/>
      <c r="S1581" s="101"/>
      <c r="T1581" s="99"/>
      <c r="U1581" s="99"/>
      <c r="V1581" s="99"/>
      <c r="W1581" s="99"/>
      <c r="X1581" s="99"/>
      <c r="Y1581" s="99"/>
      <c r="Z1581" s="99"/>
      <c r="AA1581" s="99"/>
      <c r="AB1581" s="99"/>
      <c r="AC1581" s="99"/>
      <c r="AD1581" s="99"/>
      <c r="AE1581" s="99"/>
      <c r="AF1581" s="99"/>
      <c r="AG1581" s="99"/>
      <c r="AH1581" s="99"/>
      <c r="AI1581" s="99"/>
      <c r="AJ1581" s="99"/>
      <c r="AK1581" s="99"/>
      <c r="AL1581" s="99"/>
      <c r="AM1581" s="99"/>
    </row>
    <row r="1582" ht="12.75" customHeight="1">
      <c r="A1582" s="144" t="s">
        <v>146</v>
      </c>
      <c r="D1582" s="144" t="s">
        <v>147</v>
      </c>
      <c r="G1582" s="104"/>
      <c r="H1582" s="128"/>
      <c r="I1582" s="104"/>
      <c r="J1582" s="129">
        <f t="shared" ref="J1582:K1582" si="1496">J1583+J1590</f>
        <v>294800000</v>
      </c>
      <c r="K1582" s="43">
        <f t="shared" si="1496"/>
        <v>18110000</v>
      </c>
      <c r="L1582" s="105"/>
      <c r="M1582" s="106"/>
      <c r="N1582" s="105"/>
      <c r="O1582" s="43">
        <f t="shared" ref="O1582:P1582" si="1497">O1583+O1590</f>
        <v>276690000</v>
      </c>
      <c r="P1582" s="43">
        <f t="shared" si="1497"/>
        <v>294800000</v>
      </c>
      <c r="Q1582" s="43">
        <v>2.948E8</v>
      </c>
      <c r="R1582" s="101"/>
      <c r="S1582" s="101"/>
      <c r="T1582" s="99"/>
      <c r="U1582" s="99"/>
      <c r="V1582" s="99"/>
      <c r="W1582" s="99"/>
      <c r="X1582" s="99"/>
      <c r="Y1582" s="99"/>
      <c r="Z1582" s="99"/>
      <c r="AA1582" s="99"/>
      <c r="AB1582" s="99"/>
      <c r="AC1582" s="99"/>
      <c r="AD1582" s="99"/>
      <c r="AE1582" s="99"/>
      <c r="AF1582" s="99"/>
      <c r="AG1582" s="99"/>
      <c r="AH1582" s="99"/>
      <c r="AI1582" s="99"/>
      <c r="AJ1582" s="99"/>
      <c r="AK1582" s="99"/>
      <c r="AL1582" s="99"/>
      <c r="AM1582" s="99"/>
    </row>
    <row r="1583" ht="12.75" customHeight="1">
      <c r="A1583" s="110" t="s">
        <v>74</v>
      </c>
      <c r="D1583" s="145" t="s">
        <v>75</v>
      </c>
      <c r="G1583" s="104"/>
      <c r="H1583" s="133"/>
      <c r="I1583" s="104"/>
      <c r="J1583" s="134">
        <f t="shared" ref="J1583:K1583" si="1498">SUM(J1585:J1589)</f>
        <v>270800000</v>
      </c>
      <c r="K1583" s="46">
        <f t="shared" si="1498"/>
        <v>14210000</v>
      </c>
      <c r="L1583" s="105"/>
      <c r="M1583" s="106"/>
      <c r="N1583" s="105"/>
      <c r="O1583" s="46">
        <f t="shared" ref="O1583:P1583" si="1499">SUM(O1585:O1589)</f>
        <v>256590000</v>
      </c>
      <c r="P1583" s="46">
        <f t="shared" si="1499"/>
        <v>270800000</v>
      </c>
      <c r="Q1583" s="46">
        <v>2.708E8</v>
      </c>
      <c r="R1583" s="101"/>
      <c r="S1583" s="101"/>
      <c r="T1583" s="99"/>
      <c r="U1583" s="99"/>
      <c r="V1583" s="99"/>
      <c r="W1583" s="99"/>
      <c r="X1583" s="99"/>
      <c r="Y1583" s="99"/>
      <c r="Z1583" s="99"/>
      <c r="AA1583" s="99"/>
      <c r="AB1583" s="99"/>
      <c r="AC1583" s="99"/>
      <c r="AD1583" s="99"/>
      <c r="AE1583" s="99"/>
      <c r="AF1583" s="99"/>
      <c r="AG1583" s="99"/>
      <c r="AH1583" s="99"/>
      <c r="AI1583" s="99"/>
      <c r="AJ1583" s="99"/>
      <c r="AK1583" s="99"/>
      <c r="AL1583" s="99"/>
      <c r="AM1583" s="99"/>
    </row>
    <row r="1584" ht="12.75" customHeight="1">
      <c r="A1584" s="104"/>
      <c r="B1584" s="104"/>
      <c r="C1584" s="104"/>
      <c r="D1584" s="110" t="s">
        <v>23</v>
      </c>
      <c r="G1584" s="104"/>
      <c r="H1584" s="104"/>
      <c r="I1584" s="104"/>
      <c r="J1584" s="111"/>
      <c r="K1584" s="111"/>
      <c r="L1584" s="105"/>
      <c r="M1584" s="106"/>
      <c r="N1584" s="105"/>
      <c r="O1584" s="111"/>
      <c r="P1584" s="111"/>
      <c r="Q1584" s="111"/>
      <c r="R1584" s="101"/>
      <c r="S1584" s="101"/>
      <c r="T1584" s="99"/>
      <c r="U1584" s="99"/>
      <c r="V1584" s="99"/>
      <c r="W1584" s="99"/>
      <c r="X1584" s="99"/>
      <c r="Y1584" s="99"/>
      <c r="Z1584" s="99"/>
      <c r="AA1584" s="99"/>
      <c r="AB1584" s="99"/>
      <c r="AC1584" s="99"/>
      <c r="AD1584" s="99"/>
      <c r="AE1584" s="99"/>
      <c r="AF1584" s="99"/>
      <c r="AG1584" s="99"/>
      <c r="AH1584" s="99"/>
      <c r="AI1584" s="99"/>
      <c r="AJ1584" s="99"/>
      <c r="AK1584" s="99"/>
      <c r="AL1584" s="99"/>
      <c r="AM1584" s="99"/>
    </row>
    <row r="1585" ht="12.75" customHeight="1">
      <c r="A1585" s="104"/>
      <c r="B1585" s="104"/>
      <c r="C1585" s="104"/>
      <c r="D1585" s="110" t="s">
        <v>24</v>
      </c>
      <c r="E1585" s="110" t="s">
        <v>291</v>
      </c>
      <c r="G1585" s="136">
        <v>75.0</v>
      </c>
      <c r="H1585" s="136" t="s">
        <v>95</v>
      </c>
      <c r="I1585" s="137">
        <v>430000.0</v>
      </c>
      <c r="J1585" s="46">
        <f t="shared" ref="J1585:J1589" si="1500">G1585*I1585</f>
        <v>32250000</v>
      </c>
      <c r="K1585" s="46"/>
      <c r="L1585" s="105"/>
      <c r="M1585" s="106"/>
      <c r="N1585" s="105"/>
      <c r="O1585" s="46">
        <f t="shared" ref="O1585:O1589" si="1501">J1585-K1585</f>
        <v>32250000</v>
      </c>
      <c r="P1585" s="46">
        <f t="shared" ref="P1585:P1589" si="1502">J1585-M1585</f>
        <v>32250000</v>
      </c>
      <c r="Q1585" s="46">
        <v>3.225E7</v>
      </c>
      <c r="R1585" s="101"/>
      <c r="S1585" s="101"/>
      <c r="T1585" s="99"/>
      <c r="U1585" s="99"/>
      <c r="V1585" s="99"/>
      <c r="W1585" s="99"/>
      <c r="X1585" s="99"/>
      <c r="Y1585" s="99"/>
      <c r="Z1585" s="99"/>
      <c r="AA1585" s="99"/>
      <c r="AB1585" s="99"/>
      <c r="AC1585" s="99"/>
      <c r="AD1585" s="99"/>
      <c r="AE1585" s="99"/>
      <c r="AF1585" s="99"/>
      <c r="AG1585" s="99"/>
      <c r="AH1585" s="99"/>
      <c r="AI1585" s="99"/>
      <c r="AJ1585" s="99"/>
      <c r="AK1585" s="99"/>
      <c r="AL1585" s="99"/>
      <c r="AM1585" s="99"/>
    </row>
    <row r="1586" ht="15.75" customHeight="1">
      <c r="A1586" s="104"/>
      <c r="B1586" s="104"/>
      <c r="C1586" s="104"/>
      <c r="D1586" s="110" t="s">
        <v>24</v>
      </c>
      <c r="E1586" s="110" t="s">
        <v>292</v>
      </c>
      <c r="G1586" s="136">
        <v>50.0</v>
      </c>
      <c r="H1586" s="136" t="s">
        <v>95</v>
      </c>
      <c r="I1586" s="137">
        <v>550000.0</v>
      </c>
      <c r="J1586" s="46">
        <f t="shared" si="1500"/>
        <v>27500000</v>
      </c>
      <c r="K1586" s="46"/>
      <c r="L1586" s="105"/>
      <c r="M1586" s="106"/>
      <c r="N1586" s="105"/>
      <c r="O1586" s="46">
        <f t="shared" si="1501"/>
        <v>27500000</v>
      </c>
      <c r="P1586" s="46">
        <f t="shared" si="1502"/>
        <v>27500000</v>
      </c>
      <c r="Q1586" s="46">
        <v>2.75E7</v>
      </c>
      <c r="R1586" s="101"/>
      <c r="S1586" s="101"/>
      <c r="T1586" s="99"/>
      <c r="U1586" s="99"/>
      <c r="V1586" s="99"/>
      <c r="W1586" s="99"/>
      <c r="X1586" s="99"/>
      <c r="Y1586" s="99"/>
      <c r="Z1586" s="99"/>
      <c r="AA1586" s="99"/>
      <c r="AB1586" s="99"/>
      <c r="AC1586" s="99"/>
      <c r="AD1586" s="99"/>
      <c r="AE1586" s="99"/>
      <c r="AF1586" s="99"/>
      <c r="AG1586" s="99"/>
      <c r="AH1586" s="99"/>
      <c r="AI1586" s="99"/>
      <c r="AJ1586" s="99"/>
      <c r="AK1586" s="99"/>
      <c r="AL1586" s="99"/>
      <c r="AM1586" s="99"/>
    </row>
    <row r="1587" ht="12.75" customHeight="1">
      <c r="A1587" s="104"/>
      <c r="B1587" s="104"/>
      <c r="C1587" s="104"/>
      <c r="D1587" s="110" t="s">
        <v>24</v>
      </c>
      <c r="E1587" s="110" t="s">
        <v>293</v>
      </c>
      <c r="G1587" s="136">
        <v>25.0</v>
      </c>
      <c r="H1587" s="136" t="s">
        <v>95</v>
      </c>
      <c r="I1587" s="137">
        <v>602000.0</v>
      </c>
      <c r="J1587" s="46">
        <f t="shared" si="1500"/>
        <v>15050000</v>
      </c>
      <c r="K1587" s="53">
        <v>2660000.0</v>
      </c>
      <c r="L1587" s="105"/>
      <c r="M1587" s="106"/>
      <c r="N1587" s="105"/>
      <c r="O1587" s="46">
        <f t="shared" si="1501"/>
        <v>12390000</v>
      </c>
      <c r="P1587" s="46">
        <f t="shared" si="1502"/>
        <v>15050000</v>
      </c>
      <c r="Q1587" s="46">
        <v>1.505E7</v>
      </c>
      <c r="R1587" s="101"/>
      <c r="S1587" s="101"/>
      <c r="T1587" s="99"/>
      <c r="U1587" s="99"/>
      <c r="V1587" s="99"/>
      <c r="W1587" s="99"/>
      <c r="X1587" s="99"/>
      <c r="Y1587" s="99"/>
      <c r="Z1587" s="99"/>
      <c r="AA1587" s="99"/>
      <c r="AB1587" s="99"/>
      <c r="AC1587" s="99"/>
      <c r="AD1587" s="99"/>
      <c r="AE1587" s="99"/>
      <c r="AF1587" s="99"/>
      <c r="AG1587" s="99"/>
      <c r="AH1587" s="99"/>
      <c r="AI1587" s="99"/>
      <c r="AJ1587" s="99"/>
      <c r="AK1587" s="99"/>
      <c r="AL1587" s="99"/>
      <c r="AM1587" s="99"/>
    </row>
    <row r="1588" ht="15.75" customHeight="1">
      <c r="A1588" s="104"/>
      <c r="B1588" s="104"/>
      <c r="C1588" s="104"/>
      <c r="D1588" s="110" t="s">
        <v>24</v>
      </c>
      <c r="E1588" s="110" t="s">
        <v>340</v>
      </c>
      <c r="G1588" s="136">
        <v>200.0</v>
      </c>
      <c r="H1588" s="136" t="s">
        <v>95</v>
      </c>
      <c r="I1588" s="137">
        <v>500000.0</v>
      </c>
      <c r="J1588" s="46">
        <f t="shared" si="1500"/>
        <v>100000000</v>
      </c>
      <c r="K1588" s="46"/>
      <c r="L1588" s="105"/>
      <c r="M1588" s="106"/>
      <c r="N1588" s="105"/>
      <c r="O1588" s="46">
        <f t="shared" si="1501"/>
        <v>100000000</v>
      </c>
      <c r="P1588" s="46">
        <f t="shared" si="1502"/>
        <v>100000000</v>
      </c>
      <c r="Q1588" s="46">
        <v>1.0E8</v>
      </c>
      <c r="R1588" s="101"/>
      <c r="S1588" s="101"/>
      <c r="T1588" s="99"/>
      <c r="U1588" s="99"/>
      <c r="V1588" s="99"/>
      <c r="W1588" s="99"/>
      <c r="X1588" s="99"/>
      <c r="Y1588" s="99"/>
      <c r="Z1588" s="99"/>
      <c r="AA1588" s="99"/>
      <c r="AB1588" s="99"/>
      <c r="AC1588" s="99"/>
      <c r="AD1588" s="99"/>
      <c r="AE1588" s="99"/>
      <c r="AF1588" s="99"/>
      <c r="AG1588" s="99"/>
      <c r="AH1588" s="99"/>
      <c r="AI1588" s="99"/>
      <c r="AJ1588" s="99"/>
      <c r="AK1588" s="99"/>
      <c r="AL1588" s="99"/>
      <c r="AM1588" s="99"/>
    </row>
    <row r="1589" ht="15.75" customHeight="1">
      <c r="A1589" s="104"/>
      <c r="B1589" s="104"/>
      <c r="C1589" s="104"/>
      <c r="D1589" s="110" t="s">
        <v>24</v>
      </c>
      <c r="E1589" s="110" t="s">
        <v>341</v>
      </c>
      <c r="G1589" s="136">
        <v>300.0</v>
      </c>
      <c r="H1589" s="136" t="s">
        <v>95</v>
      </c>
      <c r="I1589" s="137">
        <v>320000.0</v>
      </c>
      <c r="J1589" s="46">
        <f t="shared" si="1500"/>
        <v>96000000</v>
      </c>
      <c r="K1589" s="53">
        <v>1.155E7</v>
      </c>
      <c r="L1589" s="105"/>
      <c r="M1589" s="106"/>
      <c r="N1589" s="105"/>
      <c r="O1589" s="46">
        <f t="shared" si="1501"/>
        <v>84450000</v>
      </c>
      <c r="P1589" s="46">
        <f t="shared" si="1502"/>
        <v>96000000</v>
      </c>
      <c r="Q1589" s="46">
        <v>9.6E7</v>
      </c>
      <c r="R1589" s="101"/>
      <c r="S1589" s="101"/>
      <c r="T1589" s="99"/>
      <c r="U1589" s="99"/>
      <c r="V1589" s="99"/>
      <c r="W1589" s="99"/>
      <c r="X1589" s="99"/>
      <c r="Y1589" s="99"/>
      <c r="Z1589" s="99"/>
      <c r="AA1589" s="99"/>
      <c r="AB1589" s="99"/>
      <c r="AC1589" s="99"/>
      <c r="AD1589" s="99"/>
      <c r="AE1589" s="99"/>
      <c r="AF1589" s="99"/>
      <c r="AG1589" s="99"/>
      <c r="AH1589" s="99"/>
      <c r="AI1589" s="99"/>
      <c r="AJ1589" s="99"/>
      <c r="AK1589" s="99"/>
      <c r="AL1589" s="99"/>
      <c r="AM1589" s="99"/>
    </row>
    <row r="1590" ht="12.75" customHeight="1">
      <c r="A1590" s="110" t="s">
        <v>79</v>
      </c>
      <c r="D1590" s="145" t="s">
        <v>80</v>
      </c>
      <c r="G1590" s="104"/>
      <c r="H1590" s="133"/>
      <c r="I1590" s="104"/>
      <c r="J1590" s="134">
        <f t="shared" ref="J1590:K1590" si="1503">J1592</f>
        <v>24000000</v>
      </c>
      <c r="K1590" s="46">
        <f t="shared" si="1503"/>
        <v>3900000</v>
      </c>
      <c r="L1590" s="105"/>
      <c r="M1590" s="106"/>
      <c r="N1590" s="105"/>
      <c r="O1590" s="46">
        <f t="shared" ref="O1590:P1590" si="1504">O1592</f>
        <v>20100000</v>
      </c>
      <c r="P1590" s="46">
        <f t="shared" si="1504"/>
        <v>24000000</v>
      </c>
      <c r="Q1590" s="46">
        <v>2.4E7</v>
      </c>
      <c r="R1590" s="101"/>
      <c r="S1590" s="101"/>
      <c r="T1590" s="99"/>
      <c r="U1590" s="99"/>
      <c r="V1590" s="99"/>
      <c r="W1590" s="99"/>
      <c r="X1590" s="99"/>
      <c r="Y1590" s="99"/>
      <c r="Z1590" s="99"/>
      <c r="AA1590" s="99"/>
      <c r="AB1590" s="99"/>
      <c r="AC1590" s="99"/>
      <c r="AD1590" s="99"/>
      <c r="AE1590" s="99"/>
      <c r="AF1590" s="99"/>
      <c r="AG1590" s="99"/>
      <c r="AH1590" s="99"/>
      <c r="AI1590" s="99"/>
      <c r="AJ1590" s="99"/>
      <c r="AK1590" s="99"/>
      <c r="AL1590" s="99"/>
      <c r="AM1590" s="99"/>
    </row>
    <row r="1591" ht="12.75" customHeight="1">
      <c r="A1591" s="104"/>
      <c r="B1591" s="104"/>
      <c r="C1591" s="104"/>
      <c r="D1591" s="110" t="s">
        <v>23</v>
      </c>
      <c r="G1591" s="104"/>
      <c r="H1591" s="104"/>
      <c r="I1591" s="104"/>
      <c r="J1591" s="111"/>
      <c r="K1591" s="111"/>
      <c r="L1591" s="105"/>
      <c r="M1591" s="106"/>
      <c r="N1591" s="105"/>
      <c r="O1591" s="111"/>
      <c r="P1591" s="111"/>
      <c r="Q1591" s="111"/>
      <c r="R1591" s="101"/>
      <c r="S1591" s="101"/>
      <c r="T1591" s="99"/>
      <c r="U1591" s="99"/>
      <c r="V1591" s="99"/>
      <c r="W1591" s="99"/>
      <c r="X1591" s="99"/>
      <c r="Y1591" s="99"/>
      <c r="Z1591" s="99"/>
      <c r="AA1591" s="99"/>
      <c r="AB1591" s="99"/>
      <c r="AC1591" s="99"/>
      <c r="AD1591" s="99"/>
      <c r="AE1591" s="99"/>
      <c r="AF1591" s="99"/>
      <c r="AG1591" s="99"/>
      <c r="AH1591" s="99"/>
      <c r="AI1591" s="99"/>
      <c r="AJ1591" s="99"/>
      <c r="AK1591" s="99"/>
      <c r="AL1591" s="99"/>
      <c r="AM1591" s="99"/>
    </row>
    <row r="1592" ht="12.75" customHeight="1">
      <c r="A1592" s="104"/>
      <c r="B1592" s="104"/>
      <c r="C1592" s="104"/>
      <c r="D1592" s="110" t="s">
        <v>24</v>
      </c>
      <c r="E1592" s="110" t="s">
        <v>296</v>
      </c>
      <c r="G1592" s="136">
        <v>160.0</v>
      </c>
      <c r="H1592" s="136" t="s">
        <v>95</v>
      </c>
      <c r="I1592" s="137">
        <v>150000.0</v>
      </c>
      <c r="J1592" s="46">
        <f>G1592*I1592</f>
        <v>24000000</v>
      </c>
      <c r="K1592" s="53">
        <v>3900000.0</v>
      </c>
      <c r="L1592" s="105"/>
      <c r="M1592" s="106"/>
      <c r="N1592" s="105"/>
      <c r="O1592" s="46">
        <f>J1592-K1592</f>
        <v>20100000</v>
      </c>
      <c r="P1592" s="46">
        <f>J1592-M1592</f>
        <v>24000000</v>
      </c>
      <c r="Q1592" s="46">
        <v>2.4E7</v>
      </c>
      <c r="R1592" s="101"/>
      <c r="S1592" s="101"/>
      <c r="T1592" s="99"/>
      <c r="U1592" s="99"/>
      <c r="V1592" s="99"/>
      <c r="W1592" s="99"/>
      <c r="X1592" s="99"/>
      <c r="Y1592" s="99"/>
      <c r="Z1592" s="99"/>
      <c r="AA1592" s="99"/>
      <c r="AB1592" s="99"/>
      <c r="AC1592" s="99"/>
      <c r="AD1592" s="99"/>
      <c r="AE1592" s="99"/>
      <c r="AF1592" s="99"/>
      <c r="AG1592" s="99"/>
      <c r="AH1592" s="99"/>
      <c r="AI1592" s="99"/>
      <c r="AJ1592" s="99"/>
      <c r="AK1592" s="99"/>
      <c r="AL1592" s="99"/>
      <c r="AM1592" s="99"/>
    </row>
    <row r="1593" ht="12.75" customHeight="1">
      <c r="A1593" s="104"/>
      <c r="B1593" s="104"/>
      <c r="C1593" s="104"/>
      <c r="D1593" s="104"/>
      <c r="E1593" s="104"/>
      <c r="F1593" s="104"/>
      <c r="G1593" s="104"/>
      <c r="H1593" s="104"/>
      <c r="I1593" s="104"/>
      <c r="J1593" s="158"/>
      <c r="K1593" s="99"/>
      <c r="L1593" s="99"/>
      <c r="M1593" s="100"/>
      <c r="N1593" s="99"/>
      <c r="O1593" s="99"/>
      <c r="P1593" s="99"/>
      <c r="Q1593" s="158"/>
      <c r="R1593" s="101"/>
      <c r="S1593" s="101"/>
      <c r="T1593" s="99"/>
      <c r="U1593" s="99"/>
      <c r="V1593" s="99"/>
      <c r="W1593" s="99"/>
      <c r="X1593" s="99"/>
      <c r="Y1593" s="99"/>
      <c r="Z1593" s="99"/>
      <c r="AA1593" s="99"/>
      <c r="AB1593" s="99"/>
      <c r="AC1593" s="99"/>
      <c r="AD1593" s="99"/>
      <c r="AE1593" s="99"/>
      <c r="AF1593" s="99"/>
      <c r="AG1593" s="99"/>
      <c r="AH1593" s="99"/>
      <c r="AI1593" s="99"/>
      <c r="AJ1593" s="99"/>
      <c r="AK1593" s="99"/>
      <c r="AL1593" s="99"/>
      <c r="AM1593" s="99"/>
    </row>
  </sheetData>
  <mergeCells count="2037">
    <mergeCell ref="A662:C662"/>
    <mergeCell ref="A666:C666"/>
    <mergeCell ref="A667:C667"/>
    <mergeCell ref="A642:C642"/>
    <mergeCell ref="A643:C643"/>
    <mergeCell ref="A648:C648"/>
    <mergeCell ref="A651:C651"/>
    <mergeCell ref="A652:C652"/>
    <mergeCell ref="A657:C657"/>
    <mergeCell ref="A661:C661"/>
    <mergeCell ref="E675:F675"/>
    <mergeCell ref="A676:C676"/>
    <mergeCell ref="D676:F676"/>
    <mergeCell ref="D677:F677"/>
    <mergeCell ref="E678:F678"/>
    <mergeCell ref="E679:F679"/>
    <mergeCell ref="E680:F680"/>
    <mergeCell ref="E681:F681"/>
    <mergeCell ref="A682:C682"/>
    <mergeCell ref="D682:F682"/>
    <mergeCell ref="A683:C683"/>
    <mergeCell ref="D683:F683"/>
    <mergeCell ref="D684:F684"/>
    <mergeCell ref="E685:F685"/>
    <mergeCell ref="E616:F616"/>
    <mergeCell ref="E617:F617"/>
    <mergeCell ref="E618:F618"/>
    <mergeCell ref="A619:C619"/>
    <mergeCell ref="D619:F619"/>
    <mergeCell ref="D620:F620"/>
    <mergeCell ref="E621:F621"/>
    <mergeCell ref="A622:C622"/>
    <mergeCell ref="D622:F622"/>
    <mergeCell ref="D623:F623"/>
    <mergeCell ref="E624:F624"/>
    <mergeCell ref="A625:C625"/>
    <mergeCell ref="D625:F625"/>
    <mergeCell ref="A626:C626"/>
    <mergeCell ref="D626:F626"/>
    <mergeCell ref="D627:F627"/>
    <mergeCell ref="E628:F628"/>
    <mergeCell ref="A629:C629"/>
    <mergeCell ref="D629:F629"/>
    <mergeCell ref="D630:F630"/>
    <mergeCell ref="E631:F631"/>
    <mergeCell ref="E632:F632"/>
    <mergeCell ref="A633:C633"/>
    <mergeCell ref="D633:F633"/>
    <mergeCell ref="D634:F634"/>
    <mergeCell ref="E635:F635"/>
    <mergeCell ref="A636:C636"/>
    <mergeCell ref="D636:F636"/>
    <mergeCell ref="D637:F637"/>
    <mergeCell ref="E638:F638"/>
    <mergeCell ref="A639:C639"/>
    <mergeCell ref="D639:F639"/>
    <mergeCell ref="D640:F640"/>
    <mergeCell ref="E641:F641"/>
    <mergeCell ref="D642:F642"/>
    <mergeCell ref="D643:F643"/>
    <mergeCell ref="D644:F644"/>
    <mergeCell ref="E645:F645"/>
    <mergeCell ref="E646:F646"/>
    <mergeCell ref="E647:F647"/>
    <mergeCell ref="D648:F648"/>
    <mergeCell ref="D649:F649"/>
    <mergeCell ref="E686:F686"/>
    <mergeCell ref="E687:F687"/>
    <mergeCell ref="E688:F688"/>
    <mergeCell ref="E689:F689"/>
    <mergeCell ref="E690:F690"/>
    <mergeCell ref="E691:F691"/>
    <mergeCell ref="E692:F692"/>
    <mergeCell ref="D719:F719"/>
    <mergeCell ref="D720:F720"/>
    <mergeCell ref="E721:F721"/>
    <mergeCell ref="E722:F722"/>
    <mergeCell ref="E723:F723"/>
    <mergeCell ref="E724:F724"/>
    <mergeCell ref="E725:F725"/>
    <mergeCell ref="D726:F726"/>
    <mergeCell ref="D727:F727"/>
    <mergeCell ref="E728:F728"/>
    <mergeCell ref="D729:F729"/>
    <mergeCell ref="D730:F730"/>
    <mergeCell ref="D731:F731"/>
    <mergeCell ref="D732:F732"/>
    <mergeCell ref="E747:F747"/>
    <mergeCell ref="E748:F748"/>
    <mergeCell ref="E749:F749"/>
    <mergeCell ref="D740:F740"/>
    <mergeCell ref="D741:F741"/>
    <mergeCell ref="E742:F742"/>
    <mergeCell ref="E743:F743"/>
    <mergeCell ref="D744:F744"/>
    <mergeCell ref="D745:F745"/>
    <mergeCell ref="D746:F746"/>
    <mergeCell ref="A753:C753"/>
    <mergeCell ref="A756:C756"/>
    <mergeCell ref="A757:C757"/>
    <mergeCell ref="A729:C729"/>
    <mergeCell ref="A730:C730"/>
    <mergeCell ref="A731:C731"/>
    <mergeCell ref="A740:C740"/>
    <mergeCell ref="A744:C744"/>
    <mergeCell ref="A745:C745"/>
    <mergeCell ref="A750:C750"/>
    <mergeCell ref="E693:F693"/>
    <mergeCell ref="E694:F694"/>
    <mergeCell ref="E695:F695"/>
    <mergeCell ref="A696:C696"/>
    <mergeCell ref="D696:F696"/>
    <mergeCell ref="A697:C697"/>
    <mergeCell ref="D697:F697"/>
    <mergeCell ref="D698:F698"/>
    <mergeCell ref="E699:F699"/>
    <mergeCell ref="E700:F700"/>
    <mergeCell ref="E701:F701"/>
    <mergeCell ref="E702:F702"/>
    <mergeCell ref="E703:F703"/>
    <mergeCell ref="D704:F704"/>
    <mergeCell ref="D705:F705"/>
    <mergeCell ref="D706:F706"/>
    <mergeCell ref="E707:F707"/>
    <mergeCell ref="E708:F708"/>
    <mergeCell ref="E709:F709"/>
    <mergeCell ref="E710:F710"/>
    <mergeCell ref="E711:F711"/>
    <mergeCell ref="D712:F712"/>
    <mergeCell ref="D713:F713"/>
    <mergeCell ref="D714:F714"/>
    <mergeCell ref="E715:F715"/>
    <mergeCell ref="E716:F716"/>
    <mergeCell ref="E717:F717"/>
    <mergeCell ref="D718:F718"/>
    <mergeCell ref="A704:C704"/>
    <mergeCell ref="A705:C705"/>
    <mergeCell ref="A712:C712"/>
    <mergeCell ref="A713:C713"/>
    <mergeCell ref="A718:C718"/>
    <mergeCell ref="A719:C719"/>
    <mergeCell ref="A726:C726"/>
    <mergeCell ref="E733:F733"/>
    <mergeCell ref="E734:F734"/>
    <mergeCell ref="E735:F735"/>
    <mergeCell ref="E736:F736"/>
    <mergeCell ref="E737:F737"/>
    <mergeCell ref="E738:F738"/>
    <mergeCell ref="E739:F739"/>
    <mergeCell ref="D750:F750"/>
    <mergeCell ref="D751:F751"/>
    <mergeCell ref="E752:F752"/>
    <mergeCell ref="D753:F753"/>
    <mergeCell ref="D754:F754"/>
    <mergeCell ref="E755:F755"/>
    <mergeCell ref="D756:F756"/>
    <mergeCell ref="A796:C796"/>
    <mergeCell ref="A801:C801"/>
    <mergeCell ref="A777:C777"/>
    <mergeCell ref="A780:C780"/>
    <mergeCell ref="A783:C783"/>
    <mergeCell ref="A786:C786"/>
    <mergeCell ref="A787:C787"/>
    <mergeCell ref="A792:C792"/>
    <mergeCell ref="A795:C795"/>
    <mergeCell ref="D757:F757"/>
    <mergeCell ref="D758:F758"/>
    <mergeCell ref="E759:F759"/>
    <mergeCell ref="E760:F760"/>
    <mergeCell ref="E761:F761"/>
    <mergeCell ref="E762:F762"/>
    <mergeCell ref="A763:C763"/>
    <mergeCell ref="D763:F763"/>
    <mergeCell ref="D764:F764"/>
    <mergeCell ref="E765:F765"/>
    <mergeCell ref="A766:C766"/>
    <mergeCell ref="D766:F766"/>
    <mergeCell ref="D767:F767"/>
    <mergeCell ref="E768:F768"/>
    <mergeCell ref="A769:C769"/>
    <mergeCell ref="D769:F769"/>
    <mergeCell ref="A770:C770"/>
    <mergeCell ref="D770:F770"/>
    <mergeCell ref="D771:F771"/>
    <mergeCell ref="E772:F772"/>
    <mergeCell ref="A773:C773"/>
    <mergeCell ref="D773:F773"/>
    <mergeCell ref="D774:F774"/>
    <mergeCell ref="E775:F775"/>
    <mergeCell ref="E776:F776"/>
    <mergeCell ref="D777:F777"/>
    <mergeCell ref="D778:F778"/>
    <mergeCell ref="E779:F779"/>
    <mergeCell ref="D780:F780"/>
    <mergeCell ref="D781:F781"/>
    <mergeCell ref="E782:F782"/>
    <mergeCell ref="D783:F783"/>
    <mergeCell ref="D784:F784"/>
    <mergeCell ref="E785:F785"/>
    <mergeCell ref="D786:F786"/>
    <mergeCell ref="D787:F787"/>
    <mergeCell ref="D788:F788"/>
    <mergeCell ref="E789:F789"/>
    <mergeCell ref="E790:F790"/>
    <mergeCell ref="E791:F791"/>
    <mergeCell ref="D792:F792"/>
    <mergeCell ref="D793:F793"/>
    <mergeCell ref="E794:F794"/>
    <mergeCell ref="D795:F795"/>
    <mergeCell ref="D796:F796"/>
    <mergeCell ref="D797:F797"/>
    <mergeCell ref="E798:F798"/>
    <mergeCell ref="E799:F799"/>
    <mergeCell ref="E800:F800"/>
    <mergeCell ref="E836:F836"/>
    <mergeCell ref="E837:F837"/>
    <mergeCell ref="E838:F838"/>
    <mergeCell ref="E839:F839"/>
    <mergeCell ref="A840:C840"/>
    <mergeCell ref="D840:F840"/>
    <mergeCell ref="A841:C841"/>
    <mergeCell ref="D841:F841"/>
    <mergeCell ref="D842:F842"/>
    <mergeCell ref="E843:F843"/>
    <mergeCell ref="E844:F844"/>
    <mergeCell ref="E845:F845"/>
    <mergeCell ref="E846:F846"/>
    <mergeCell ref="E847:F847"/>
    <mergeCell ref="A848:C848"/>
    <mergeCell ref="D848:F848"/>
    <mergeCell ref="A849:C849"/>
    <mergeCell ref="D849:F849"/>
    <mergeCell ref="D850:F850"/>
    <mergeCell ref="E851:F851"/>
    <mergeCell ref="E852:F852"/>
    <mergeCell ref="E853:F853"/>
    <mergeCell ref="E854:F854"/>
    <mergeCell ref="E855:F855"/>
    <mergeCell ref="A856:C856"/>
    <mergeCell ref="D856:F856"/>
    <mergeCell ref="A857:C857"/>
    <mergeCell ref="D857:F857"/>
    <mergeCell ref="D858:F858"/>
    <mergeCell ref="E859:F859"/>
    <mergeCell ref="E860:F860"/>
    <mergeCell ref="E861:F861"/>
    <mergeCell ref="A862:C862"/>
    <mergeCell ref="D862:F862"/>
    <mergeCell ref="A863:C863"/>
    <mergeCell ref="D863:F863"/>
    <mergeCell ref="D864:F864"/>
    <mergeCell ref="E865:F865"/>
    <mergeCell ref="E866:F866"/>
    <mergeCell ref="E867:F867"/>
    <mergeCell ref="E868:F868"/>
    <mergeCell ref="E869:F869"/>
    <mergeCell ref="A874:C874"/>
    <mergeCell ref="A875:C875"/>
    <mergeCell ref="A870:C870"/>
    <mergeCell ref="D870:F870"/>
    <mergeCell ref="D871:F871"/>
    <mergeCell ref="E872:F872"/>
    <mergeCell ref="A873:C873"/>
    <mergeCell ref="D873:F873"/>
    <mergeCell ref="D874:F874"/>
    <mergeCell ref="D801:F801"/>
    <mergeCell ref="D802:F802"/>
    <mergeCell ref="E803:F803"/>
    <mergeCell ref="E804:F804"/>
    <mergeCell ref="A805:C805"/>
    <mergeCell ref="D805:F805"/>
    <mergeCell ref="A806:C806"/>
    <mergeCell ref="D806:F806"/>
    <mergeCell ref="D807:F807"/>
    <mergeCell ref="E808:F808"/>
    <mergeCell ref="E809:F809"/>
    <mergeCell ref="A810:C810"/>
    <mergeCell ref="D810:F810"/>
    <mergeCell ref="A811:C811"/>
    <mergeCell ref="D811:F811"/>
    <mergeCell ref="D812:F812"/>
    <mergeCell ref="E813:F813"/>
    <mergeCell ref="E814:F814"/>
    <mergeCell ref="E815:F815"/>
    <mergeCell ref="E816:F816"/>
    <mergeCell ref="E817:F817"/>
    <mergeCell ref="E818:F818"/>
    <mergeCell ref="E819:F819"/>
    <mergeCell ref="A820:C820"/>
    <mergeCell ref="D820:F820"/>
    <mergeCell ref="D821:F821"/>
    <mergeCell ref="E822:F822"/>
    <mergeCell ref="E823:F823"/>
    <mergeCell ref="E824:F824"/>
    <mergeCell ref="E825:F825"/>
    <mergeCell ref="A826:C826"/>
    <mergeCell ref="D826:F826"/>
    <mergeCell ref="A827:C827"/>
    <mergeCell ref="D827:F827"/>
    <mergeCell ref="D828:F828"/>
    <mergeCell ref="E829:F829"/>
    <mergeCell ref="E830:F830"/>
    <mergeCell ref="E831:F831"/>
    <mergeCell ref="E832:F832"/>
    <mergeCell ref="E833:F833"/>
    <mergeCell ref="E834:F834"/>
    <mergeCell ref="E835:F835"/>
    <mergeCell ref="D875:F875"/>
    <mergeCell ref="D876:F876"/>
    <mergeCell ref="E877:F877"/>
    <mergeCell ref="E878:F878"/>
    <mergeCell ref="E879:F879"/>
    <mergeCell ref="E880:F880"/>
    <mergeCell ref="E881:F881"/>
    <mergeCell ref="A1185:C1185"/>
    <mergeCell ref="A1188:C1188"/>
    <mergeCell ref="A1189:C1189"/>
    <mergeCell ref="A1161:C1161"/>
    <mergeCell ref="A1162:C1162"/>
    <mergeCell ref="A1163:C1163"/>
    <mergeCell ref="A1172:C1172"/>
    <mergeCell ref="A1176:C1176"/>
    <mergeCell ref="A1177:C1177"/>
    <mergeCell ref="A1182:C1182"/>
    <mergeCell ref="E1125:F1125"/>
    <mergeCell ref="E1126:F1126"/>
    <mergeCell ref="E1127:F1127"/>
    <mergeCell ref="A1128:C1128"/>
    <mergeCell ref="D1128:F1128"/>
    <mergeCell ref="A1129:C1129"/>
    <mergeCell ref="D1129:F1129"/>
    <mergeCell ref="D1130:F1130"/>
    <mergeCell ref="E1131:F1131"/>
    <mergeCell ref="E1132:F1132"/>
    <mergeCell ref="E1133:F1133"/>
    <mergeCell ref="E1134:F1134"/>
    <mergeCell ref="E1135:F1135"/>
    <mergeCell ref="D1136:F1136"/>
    <mergeCell ref="D1137:F1137"/>
    <mergeCell ref="D1138:F1138"/>
    <mergeCell ref="E1139:F1139"/>
    <mergeCell ref="E1140:F1140"/>
    <mergeCell ref="E1141:F1141"/>
    <mergeCell ref="E1142:F1142"/>
    <mergeCell ref="E1143:F1143"/>
    <mergeCell ref="D1144:F1144"/>
    <mergeCell ref="D1145:F1145"/>
    <mergeCell ref="D1146:F1146"/>
    <mergeCell ref="E1147:F1147"/>
    <mergeCell ref="E1148:F1148"/>
    <mergeCell ref="E1149:F1149"/>
    <mergeCell ref="D1150:F1150"/>
    <mergeCell ref="A1136:C1136"/>
    <mergeCell ref="A1137:C1137"/>
    <mergeCell ref="A1144:C1144"/>
    <mergeCell ref="A1145:C1145"/>
    <mergeCell ref="A1150:C1150"/>
    <mergeCell ref="A1151:C1151"/>
    <mergeCell ref="A1158:C1158"/>
    <mergeCell ref="E1165:F1165"/>
    <mergeCell ref="E1166:F1166"/>
    <mergeCell ref="E1167:F1167"/>
    <mergeCell ref="E1168:F1168"/>
    <mergeCell ref="E1169:F1169"/>
    <mergeCell ref="E1170:F1170"/>
    <mergeCell ref="E1171:F1171"/>
    <mergeCell ref="D1182:F1182"/>
    <mergeCell ref="D1183:F1183"/>
    <mergeCell ref="E1184:F1184"/>
    <mergeCell ref="D1185:F1185"/>
    <mergeCell ref="D1186:F1186"/>
    <mergeCell ref="E1187:F1187"/>
    <mergeCell ref="D1188:F1188"/>
    <mergeCell ref="A1228:C1228"/>
    <mergeCell ref="A1233:C1233"/>
    <mergeCell ref="A1209:C1209"/>
    <mergeCell ref="A1212:C1212"/>
    <mergeCell ref="A1215:C1215"/>
    <mergeCell ref="A1218:C1218"/>
    <mergeCell ref="A1219:C1219"/>
    <mergeCell ref="A1224:C1224"/>
    <mergeCell ref="A1227:C1227"/>
    <mergeCell ref="D1189:F1189"/>
    <mergeCell ref="D1190:F1190"/>
    <mergeCell ref="E1191:F1191"/>
    <mergeCell ref="E1192:F1192"/>
    <mergeCell ref="E1193:F1193"/>
    <mergeCell ref="E1194:F1194"/>
    <mergeCell ref="A1195:C1195"/>
    <mergeCell ref="D1195:F1195"/>
    <mergeCell ref="D1196:F1196"/>
    <mergeCell ref="E1197:F1197"/>
    <mergeCell ref="A1198:C1198"/>
    <mergeCell ref="D1198:F1198"/>
    <mergeCell ref="D1199:F1199"/>
    <mergeCell ref="E1200:F1200"/>
    <mergeCell ref="A1201:C1201"/>
    <mergeCell ref="D1201:F1201"/>
    <mergeCell ref="A1202:C1202"/>
    <mergeCell ref="D1202:F1202"/>
    <mergeCell ref="D1203:F1203"/>
    <mergeCell ref="E1204:F1204"/>
    <mergeCell ref="A1205:C1205"/>
    <mergeCell ref="D1205:F1205"/>
    <mergeCell ref="D1206:F1206"/>
    <mergeCell ref="E1207:F1207"/>
    <mergeCell ref="E1208:F1208"/>
    <mergeCell ref="D1209:F1209"/>
    <mergeCell ref="D1210:F1210"/>
    <mergeCell ref="E1211:F1211"/>
    <mergeCell ref="D1212:F1212"/>
    <mergeCell ref="D1213:F1213"/>
    <mergeCell ref="E1214:F1214"/>
    <mergeCell ref="D1215:F1215"/>
    <mergeCell ref="D1216:F1216"/>
    <mergeCell ref="E1217:F1217"/>
    <mergeCell ref="D1218:F1218"/>
    <mergeCell ref="D1219:F1219"/>
    <mergeCell ref="D1220:F1220"/>
    <mergeCell ref="E1221:F1221"/>
    <mergeCell ref="E1222:F1222"/>
    <mergeCell ref="E1223:F1223"/>
    <mergeCell ref="D1224:F1224"/>
    <mergeCell ref="D1225:F1225"/>
    <mergeCell ref="E1226:F1226"/>
    <mergeCell ref="D1227:F1227"/>
    <mergeCell ref="D1228:F1228"/>
    <mergeCell ref="D1229:F1229"/>
    <mergeCell ref="E1230:F1230"/>
    <mergeCell ref="E1231:F1231"/>
    <mergeCell ref="E1232:F1232"/>
    <mergeCell ref="A1094:C1094"/>
    <mergeCell ref="A1098:C1098"/>
    <mergeCell ref="A1099:C1099"/>
    <mergeCell ref="A1074:C1074"/>
    <mergeCell ref="A1075:C1075"/>
    <mergeCell ref="A1080:C1080"/>
    <mergeCell ref="A1083:C1083"/>
    <mergeCell ref="A1084:C1084"/>
    <mergeCell ref="A1089:C1089"/>
    <mergeCell ref="A1093:C1093"/>
    <mergeCell ref="D1093:F1093"/>
    <mergeCell ref="D1094:F1094"/>
    <mergeCell ref="D1095:F1095"/>
    <mergeCell ref="E1096:F1096"/>
    <mergeCell ref="E1097:F1097"/>
    <mergeCell ref="D1098:F1098"/>
    <mergeCell ref="D1099:F1099"/>
    <mergeCell ref="D1100:F1100"/>
    <mergeCell ref="E1101:F1101"/>
    <mergeCell ref="E1102:F1102"/>
    <mergeCell ref="E1103:F1103"/>
    <mergeCell ref="E1104:F1104"/>
    <mergeCell ref="E1105:F1105"/>
    <mergeCell ref="E1106:F1106"/>
    <mergeCell ref="E1107:F1107"/>
    <mergeCell ref="A1108:C1108"/>
    <mergeCell ref="D1108:F1108"/>
    <mergeCell ref="D1109:F1109"/>
    <mergeCell ref="E1110:F1110"/>
    <mergeCell ref="E1111:F1111"/>
    <mergeCell ref="E1112:F1112"/>
    <mergeCell ref="E1113:F1113"/>
    <mergeCell ref="A1114:C1114"/>
    <mergeCell ref="D1114:F1114"/>
    <mergeCell ref="A1115:C1115"/>
    <mergeCell ref="D1115:F1115"/>
    <mergeCell ref="D1116:F1116"/>
    <mergeCell ref="E1117:F1117"/>
    <mergeCell ref="E1048:F1048"/>
    <mergeCell ref="E1049:F1049"/>
    <mergeCell ref="E1050:F1050"/>
    <mergeCell ref="A1051:C1051"/>
    <mergeCell ref="D1051:F1051"/>
    <mergeCell ref="D1052:F1052"/>
    <mergeCell ref="E1053:F1053"/>
    <mergeCell ref="A1054:C1054"/>
    <mergeCell ref="D1054:F1054"/>
    <mergeCell ref="D1055:F1055"/>
    <mergeCell ref="E1056:F1056"/>
    <mergeCell ref="A1057:C1057"/>
    <mergeCell ref="D1057:F1057"/>
    <mergeCell ref="A1058:C1058"/>
    <mergeCell ref="D1058:F1058"/>
    <mergeCell ref="D1059:F1059"/>
    <mergeCell ref="E1060:F1060"/>
    <mergeCell ref="A1061:C1061"/>
    <mergeCell ref="D1061:F1061"/>
    <mergeCell ref="D1062:F1062"/>
    <mergeCell ref="E1063:F1063"/>
    <mergeCell ref="E1064:F1064"/>
    <mergeCell ref="A1065:C1065"/>
    <mergeCell ref="D1065:F1065"/>
    <mergeCell ref="D1066:F1066"/>
    <mergeCell ref="E1067:F1067"/>
    <mergeCell ref="A1068:C1068"/>
    <mergeCell ref="D1068:F1068"/>
    <mergeCell ref="D1069:F1069"/>
    <mergeCell ref="E1070:F1070"/>
    <mergeCell ref="A1071:C1071"/>
    <mergeCell ref="D1071:F1071"/>
    <mergeCell ref="D1072:F1072"/>
    <mergeCell ref="E1073:F1073"/>
    <mergeCell ref="D1074:F1074"/>
    <mergeCell ref="D1075:F1075"/>
    <mergeCell ref="D1076:F1076"/>
    <mergeCell ref="E1077:F1077"/>
    <mergeCell ref="E1078:F1078"/>
    <mergeCell ref="E1079:F1079"/>
    <mergeCell ref="D1080:F1080"/>
    <mergeCell ref="D1081:F1081"/>
    <mergeCell ref="E1118:F1118"/>
    <mergeCell ref="E1119:F1119"/>
    <mergeCell ref="E1120:F1120"/>
    <mergeCell ref="E1121:F1121"/>
    <mergeCell ref="E1122:F1122"/>
    <mergeCell ref="E1123:F1123"/>
    <mergeCell ref="E1124:F1124"/>
    <mergeCell ref="D1151:F1151"/>
    <mergeCell ref="D1152:F1152"/>
    <mergeCell ref="E1153:F1153"/>
    <mergeCell ref="E1154:F1154"/>
    <mergeCell ref="E1155:F1155"/>
    <mergeCell ref="E1156:F1156"/>
    <mergeCell ref="E1157:F1157"/>
    <mergeCell ref="D1158:F1158"/>
    <mergeCell ref="D1159:F1159"/>
    <mergeCell ref="E1160:F1160"/>
    <mergeCell ref="D1161:F1161"/>
    <mergeCell ref="D1162:F1162"/>
    <mergeCell ref="D1163:F1163"/>
    <mergeCell ref="D1164:F1164"/>
    <mergeCell ref="E1179:F1179"/>
    <mergeCell ref="E1180:F1180"/>
    <mergeCell ref="E1181:F1181"/>
    <mergeCell ref="D1172:F1172"/>
    <mergeCell ref="D1173:F1173"/>
    <mergeCell ref="E1174:F1174"/>
    <mergeCell ref="E1175:F1175"/>
    <mergeCell ref="D1176:F1176"/>
    <mergeCell ref="D1177:F1177"/>
    <mergeCell ref="D1178:F1178"/>
    <mergeCell ref="A1280:C1280"/>
    <mergeCell ref="D1280:F1280"/>
    <mergeCell ref="A1281:C1281"/>
    <mergeCell ref="D1281:F1281"/>
    <mergeCell ref="D1282:F1282"/>
    <mergeCell ref="E1283:F1283"/>
    <mergeCell ref="E1284:F1284"/>
    <mergeCell ref="E1285:F1285"/>
    <mergeCell ref="E1286:F1286"/>
    <mergeCell ref="E1287:F1287"/>
    <mergeCell ref="A1288:C1288"/>
    <mergeCell ref="D1288:F1288"/>
    <mergeCell ref="A1289:C1289"/>
    <mergeCell ref="D1289:F1289"/>
    <mergeCell ref="E1314:F1314"/>
    <mergeCell ref="E1315:F1315"/>
    <mergeCell ref="A1316:C1316"/>
    <mergeCell ref="D1316:F1316"/>
    <mergeCell ref="D1317:F1317"/>
    <mergeCell ref="E1318:F1318"/>
    <mergeCell ref="E1319:F1319"/>
    <mergeCell ref="A1320:C1320"/>
    <mergeCell ref="D1320:F1320"/>
    <mergeCell ref="A1321:C1321"/>
    <mergeCell ref="D1321:F1321"/>
    <mergeCell ref="D1322:F1322"/>
    <mergeCell ref="E1323:F1323"/>
    <mergeCell ref="E1324:F1324"/>
    <mergeCell ref="E1325:F1325"/>
    <mergeCell ref="A1326:C1326"/>
    <mergeCell ref="D1326:F1326"/>
    <mergeCell ref="D1327:F1327"/>
    <mergeCell ref="E1328:F1328"/>
    <mergeCell ref="A1329:C1329"/>
    <mergeCell ref="D1329:F1329"/>
    <mergeCell ref="D1330:F1330"/>
    <mergeCell ref="E1331:F1331"/>
    <mergeCell ref="A1332:C1332"/>
    <mergeCell ref="D1332:F1332"/>
    <mergeCell ref="A1333:C1333"/>
    <mergeCell ref="D1333:F1333"/>
    <mergeCell ref="D1334:F1334"/>
    <mergeCell ref="E1335:F1335"/>
    <mergeCell ref="E1336:F1336"/>
    <mergeCell ref="E1337:F1337"/>
    <mergeCell ref="E1338:F1338"/>
    <mergeCell ref="D1339:F1339"/>
    <mergeCell ref="D1340:F1340"/>
    <mergeCell ref="E1341:F1341"/>
    <mergeCell ref="D1342:F1342"/>
    <mergeCell ref="D1343:F1343"/>
    <mergeCell ref="E1344:F1344"/>
    <mergeCell ref="D1345:F1345"/>
    <mergeCell ref="D1346:F1346"/>
    <mergeCell ref="D1347:F1347"/>
    <mergeCell ref="E1348:F1348"/>
    <mergeCell ref="D1359:F1359"/>
    <mergeCell ref="D1360:F1360"/>
    <mergeCell ref="E1361:F1361"/>
    <mergeCell ref="D1362:F1362"/>
    <mergeCell ref="D1363:F1363"/>
    <mergeCell ref="D1364:F1364"/>
    <mergeCell ref="E1365:F1365"/>
    <mergeCell ref="A1371:C1371"/>
    <mergeCell ref="A1372:C1372"/>
    <mergeCell ref="A1377:C1377"/>
    <mergeCell ref="A1381:C1381"/>
    <mergeCell ref="A1382:C1382"/>
    <mergeCell ref="A1386:C1386"/>
    <mergeCell ref="A1387:C1387"/>
    <mergeCell ref="E1366:F1366"/>
    <mergeCell ref="E1367:F1367"/>
    <mergeCell ref="A1368:C1368"/>
    <mergeCell ref="D1368:F1368"/>
    <mergeCell ref="D1369:F1369"/>
    <mergeCell ref="E1370:F1370"/>
    <mergeCell ref="D1371:F1371"/>
    <mergeCell ref="D1372:F1372"/>
    <mergeCell ref="D1373:F1373"/>
    <mergeCell ref="E1374:F1374"/>
    <mergeCell ref="E1375:F1375"/>
    <mergeCell ref="E1376:F1376"/>
    <mergeCell ref="D1377:F1377"/>
    <mergeCell ref="D1378:F1378"/>
    <mergeCell ref="E1379:F1379"/>
    <mergeCell ref="E1380:F1380"/>
    <mergeCell ref="D1381:F1381"/>
    <mergeCell ref="D1382:F1382"/>
    <mergeCell ref="D1383:F1383"/>
    <mergeCell ref="E1384:F1384"/>
    <mergeCell ref="E1385:F1385"/>
    <mergeCell ref="D1386:F1386"/>
    <mergeCell ref="D1387:F1387"/>
    <mergeCell ref="D1388:F1388"/>
    <mergeCell ref="E1389:F1389"/>
    <mergeCell ref="E1390:F1390"/>
    <mergeCell ref="E1391:F1391"/>
    <mergeCell ref="E1392:F1392"/>
    <mergeCell ref="E1393:F1393"/>
    <mergeCell ref="E1394:F1394"/>
    <mergeCell ref="E1395:F1395"/>
    <mergeCell ref="A1396:C1396"/>
    <mergeCell ref="D1396:F1396"/>
    <mergeCell ref="D1397:F1397"/>
    <mergeCell ref="E1398:F1398"/>
    <mergeCell ref="E1399:F1399"/>
    <mergeCell ref="E1400:F1400"/>
    <mergeCell ref="E1401:F1401"/>
    <mergeCell ref="A1402:C1402"/>
    <mergeCell ref="D1402:F1402"/>
    <mergeCell ref="A1403:C1403"/>
    <mergeCell ref="D1403:F1403"/>
    <mergeCell ref="E1445:F1445"/>
    <mergeCell ref="A1446:C1446"/>
    <mergeCell ref="D1446:F1446"/>
    <mergeCell ref="D1447:F1447"/>
    <mergeCell ref="E1448:F1448"/>
    <mergeCell ref="A1449:C1449"/>
    <mergeCell ref="D1449:F1449"/>
    <mergeCell ref="A1450:C1450"/>
    <mergeCell ref="D1450:F1450"/>
    <mergeCell ref="A1451:C1451"/>
    <mergeCell ref="D1451:F1451"/>
    <mergeCell ref="D1452:F1452"/>
    <mergeCell ref="E1453:F1453"/>
    <mergeCell ref="E1454:F1454"/>
    <mergeCell ref="E1455:F1455"/>
    <mergeCell ref="E1456:F1456"/>
    <mergeCell ref="E1457:F1457"/>
    <mergeCell ref="E1458:F1458"/>
    <mergeCell ref="E1459:F1459"/>
    <mergeCell ref="A1460:C1460"/>
    <mergeCell ref="D1460:F1460"/>
    <mergeCell ref="D1461:F1461"/>
    <mergeCell ref="E1462:F1462"/>
    <mergeCell ref="E1463:F1463"/>
    <mergeCell ref="A1464:C1464"/>
    <mergeCell ref="D1464:F1464"/>
    <mergeCell ref="A1465:C1465"/>
    <mergeCell ref="D1465:F1465"/>
    <mergeCell ref="A1470:C1470"/>
    <mergeCell ref="A1473:C1473"/>
    <mergeCell ref="A1476:C1476"/>
    <mergeCell ref="A1477:C1477"/>
    <mergeCell ref="D1466:F1466"/>
    <mergeCell ref="E1467:F1467"/>
    <mergeCell ref="E1468:F1468"/>
    <mergeCell ref="E1469:F1469"/>
    <mergeCell ref="D1470:F1470"/>
    <mergeCell ref="D1471:F1471"/>
    <mergeCell ref="E1472:F1472"/>
    <mergeCell ref="D1473:F1473"/>
    <mergeCell ref="D1474:F1474"/>
    <mergeCell ref="E1475:F1475"/>
    <mergeCell ref="D1476:F1476"/>
    <mergeCell ref="D1477:F1477"/>
    <mergeCell ref="D1478:F1478"/>
    <mergeCell ref="E1479:F1479"/>
    <mergeCell ref="D1521:F1521"/>
    <mergeCell ref="D1522:F1522"/>
    <mergeCell ref="E1523:F1523"/>
    <mergeCell ref="E1524:F1524"/>
    <mergeCell ref="E1514:F1514"/>
    <mergeCell ref="D1515:F1515"/>
    <mergeCell ref="D1516:F1516"/>
    <mergeCell ref="D1517:F1517"/>
    <mergeCell ref="E1518:F1518"/>
    <mergeCell ref="E1519:F1519"/>
    <mergeCell ref="E1520:F1520"/>
    <mergeCell ref="A1526:C1526"/>
    <mergeCell ref="A1530:C1530"/>
    <mergeCell ref="A1531:C1531"/>
    <mergeCell ref="A1506:C1506"/>
    <mergeCell ref="A1507:C1507"/>
    <mergeCell ref="A1512:C1512"/>
    <mergeCell ref="A1515:C1515"/>
    <mergeCell ref="A1516:C1516"/>
    <mergeCell ref="A1521:C1521"/>
    <mergeCell ref="A1525:C1525"/>
    <mergeCell ref="D1525:F1525"/>
    <mergeCell ref="D1526:F1526"/>
    <mergeCell ref="D1527:F1527"/>
    <mergeCell ref="E1528:F1528"/>
    <mergeCell ref="E1529:F1529"/>
    <mergeCell ref="D1530:F1530"/>
    <mergeCell ref="D1531:F1531"/>
    <mergeCell ref="D1532:F1532"/>
    <mergeCell ref="E1533:F1533"/>
    <mergeCell ref="E1534:F1534"/>
    <mergeCell ref="E1535:F1535"/>
    <mergeCell ref="E1536:F1536"/>
    <mergeCell ref="E1537:F1537"/>
    <mergeCell ref="E1538:F1538"/>
    <mergeCell ref="E1539:F1539"/>
    <mergeCell ref="A1540:C1540"/>
    <mergeCell ref="D1540:F1540"/>
    <mergeCell ref="D1541:F1541"/>
    <mergeCell ref="E1542:F1542"/>
    <mergeCell ref="E1543:F1543"/>
    <mergeCell ref="E1544:F1544"/>
    <mergeCell ref="E1545:F1545"/>
    <mergeCell ref="A1546:C1546"/>
    <mergeCell ref="D1546:F1546"/>
    <mergeCell ref="A1547:C1547"/>
    <mergeCell ref="D1547:F1547"/>
    <mergeCell ref="D1548:F1548"/>
    <mergeCell ref="E1549:F1549"/>
    <mergeCell ref="E1557:F1557"/>
    <mergeCell ref="E1558:F1558"/>
    <mergeCell ref="E1559:F1559"/>
    <mergeCell ref="A1560:C1560"/>
    <mergeCell ref="D1560:F1560"/>
    <mergeCell ref="A1561:C1561"/>
    <mergeCell ref="D1561:F1561"/>
    <mergeCell ref="A1568:C1568"/>
    <mergeCell ref="A1569:C1569"/>
    <mergeCell ref="A1576:C1576"/>
    <mergeCell ref="A1577:C1577"/>
    <mergeCell ref="A1582:C1582"/>
    <mergeCell ref="A1583:C1583"/>
    <mergeCell ref="A1590:C1590"/>
    <mergeCell ref="D1562:F1562"/>
    <mergeCell ref="E1563:F1563"/>
    <mergeCell ref="E1564:F1564"/>
    <mergeCell ref="E1565:F1565"/>
    <mergeCell ref="E1566:F1566"/>
    <mergeCell ref="E1567:F1567"/>
    <mergeCell ref="D1568:F1568"/>
    <mergeCell ref="D1569:F1569"/>
    <mergeCell ref="D1570:F1570"/>
    <mergeCell ref="E1571:F1571"/>
    <mergeCell ref="E1572:F1572"/>
    <mergeCell ref="E1573:F1573"/>
    <mergeCell ref="E1574:F1574"/>
    <mergeCell ref="E1575:F1575"/>
    <mergeCell ref="D1576:F1576"/>
    <mergeCell ref="D1577:F1577"/>
    <mergeCell ref="D1578:F1578"/>
    <mergeCell ref="E1579:F1579"/>
    <mergeCell ref="E1580:F1580"/>
    <mergeCell ref="E1581:F1581"/>
    <mergeCell ref="D1582:F1582"/>
    <mergeCell ref="D1590:F1590"/>
    <mergeCell ref="D1591:F1591"/>
    <mergeCell ref="E1592:F1592"/>
    <mergeCell ref="D1583:F1583"/>
    <mergeCell ref="D1584:F1584"/>
    <mergeCell ref="E1585:F1585"/>
    <mergeCell ref="E1586:F1586"/>
    <mergeCell ref="E1587:F1587"/>
    <mergeCell ref="E1588:F1588"/>
    <mergeCell ref="E1589:F1589"/>
    <mergeCell ref="E1480:F1480"/>
    <mergeCell ref="E1481:F1481"/>
    <mergeCell ref="E1482:F1482"/>
    <mergeCell ref="A1483:C1483"/>
    <mergeCell ref="D1483:F1483"/>
    <mergeCell ref="D1484:F1484"/>
    <mergeCell ref="E1485:F1485"/>
    <mergeCell ref="A1486:C1486"/>
    <mergeCell ref="D1486:F1486"/>
    <mergeCell ref="D1487:F1487"/>
    <mergeCell ref="E1488:F1488"/>
    <mergeCell ref="A1489:C1489"/>
    <mergeCell ref="D1489:F1489"/>
    <mergeCell ref="A1490:C1490"/>
    <mergeCell ref="D1490:F1490"/>
    <mergeCell ref="D1491:F1491"/>
    <mergeCell ref="E1492:F1492"/>
    <mergeCell ref="A1493:C1493"/>
    <mergeCell ref="D1493:F1493"/>
    <mergeCell ref="D1494:F1494"/>
    <mergeCell ref="E1495:F1495"/>
    <mergeCell ref="E1496:F1496"/>
    <mergeCell ref="A1497:C1497"/>
    <mergeCell ref="D1497:F1497"/>
    <mergeCell ref="D1498:F1498"/>
    <mergeCell ref="E1499:F1499"/>
    <mergeCell ref="A1500:C1500"/>
    <mergeCell ref="D1500:F1500"/>
    <mergeCell ref="D1501:F1501"/>
    <mergeCell ref="E1502:F1502"/>
    <mergeCell ref="A1503:C1503"/>
    <mergeCell ref="D1503:F1503"/>
    <mergeCell ref="D1504:F1504"/>
    <mergeCell ref="E1505:F1505"/>
    <mergeCell ref="D1506:F1506"/>
    <mergeCell ref="D1507:F1507"/>
    <mergeCell ref="D1508:F1508"/>
    <mergeCell ref="E1509:F1509"/>
    <mergeCell ref="E1510:F1510"/>
    <mergeCell ref="E1511:F1511"/>
    <mergeCell ref="D1512:F1512"/>
    <mergeCell ref="D1513:F1513"/>
    <mergeCell ref="E1550:F1550"/>
    <mergeCell ref="E1551:F1551"/>
    <mergeCell ref="E1552:F1552"/>
    <mergeCell ref="E1553:F1553"/>
    <mergeCell ref="E1554:F1554"/>
    <mergeCell ref="E1555:F1555"/>
    <mergeCell ref="E1556:F1556"/>
    <mergeCell ref="E1268:F1268"/>
    <mergeCell ref="E1269:F1269"/>
    <mergeCell ref="E1270:F1270"/>
    <mergeCell ref="E1271:F1271"/>
    <mergeCell ref="A1272:C1272"/>
    <mergeCell ref="D1272:F1272"/>
    <mergeCell ref="A1273:C1273"/>
    <mergeCell ref="D1273:F1273"/>
    <mergeCell ref="D1274:F1274"/>
    <mergeCell ref="E1275:F1275"/>
    <mergeCell ref="E1276:F1276"/>
    <mergeCell ref="E1277:F1277"/>
    <mergeCell ref="E1278:F1278"/>
    <mergeCell ref="E1279:F1279"/>
    <mergeCell ref="D1290:F1290"/>
    <mergeCell ref="E1291:F1291"/>
    <mergeCell ref="E1292:F1292"/>
    <mergeCell ref="E1293:F1293"/>
    <mergeCell ref="A1294:C1294"/>
    <mergeCell ref="D1294:F1294"/>
    <mergeCell ref="A1295:C1295"/>
    <mergeCell ref="D1295:F1295"/>
    <mergeCell ref="D1296:F1296"/>
    <mergeCell ref="E1297:F1297"/>
    <mergeCell ref="E1298:F1298"/>
    <mergeCell ref="E1299:F1299"/>
    <mergeCell ref="E1300:F1300"/>
    <mergeCell ref="E1301:F1301"/>
    <mergeCell ref="A1306:C1306"/>
    <mergeCell ref="A1307:C1307"/>
    <mergeCell ref="A1302:C1302"/>
    <mergeCell ref="D1302:F1302"/>
    <mergeCell ref="D1303:F1303"/>
    <mergeCell ref="E1304:F1304"/>
    <mergeCell ref="A1305:C1305"/>
    <mergeCell ref="D1305:F1305"/>
    <mergeCell ref="D1306:F1306"/>
    <mergeCell ref="D1233:F1233"/>
    <mergeCell ref="D1234:F1234"/>
    <mergeCell ref="E1235:F1235"/>
    <mergeCell ref="E1236:F1236"/>
    <mergeCell ref="A1237:C1237"/>
    <mergeCell ref="D1237:F1237"/>
    <mergeCell ref="A1238:C1238"/>
    <mergeCell ref="D1238:F1238"/>
    <mergeCell ref="D1239:F1239"/>
    <mergeCell ref="E1240:F1240"/>
    <mergeCell ref="E1241:F1241"/>
    <mergeCell ref="A1242:C1242"/>
    <mergeCell ref="D1242:F1242"/>
    <mergeCell ref="A1243:C1243"/>
    <mergeCell ref="D1243:F1243"/>
    <mergeCell ref="D1244:F1244"/>
    <mergeCell ref="E1245:F1245"/>
    <mergeCell ref="E1246:F1246"/>
    <mergeCell ref="E1247:F1247"/>
    <mergeCell ref="E1248:F1248"/>
    <mergeCell ref="E1249:F1249"/>
    <mergeCell ref="E1250:F1250"/>
    <mergeCell ref="E1251:F1251"/>
    <mergeCell ref="A1252:C1252"/>
    <mergeCell ref="D1252:F1252"/>
    <mergeCell ref="D1253:F1253"/>
    <mergeCell ref="E1254:F1254"/>
    <mergeCell ref="E1255:F1255"/>
    <mergeCell ref="E1256:F1256"/>
    <mergeCell ref="E1257:F1257"/>
    <mergeCell ref="A1258:C1258"/>
    <mergeCell ref="D1258:F1258"/>
    <mergeCell ref="A1259:C1259"/>
    <mergeCell ref="D1259:F1259"/>
    <mergeCell ref="D1260:F1260"/>
    <mergeCell ref="E1261:F1261"/>
    <mergeCell ref="E1262:F1262"/>
    <mergeCell ref="E1263:F1263"/>
    <mergeCell ref="E1264:F1264"/>
    <mergeCell ref="E1265:F1265"/>
    <mergeCell ref="E1266:F1266"/>
    <mergeCell ref="E1267:F1267"/>
    <mergeCell ref="D1307:F1307"/>
    <mergeCell ref="D1308:F1308"/>
    <mergeCell ref="E1309:F1309"/>
    <mergeCell ref="E1310:F1310"/>
    <mergeCell ref="E1311:F1311"/>
    <mergeCell ref="E1312:F1312"/>
    <mergeCell ref="E1313:F1313"/>
    <mergeCell ref="D1356:F1356"/>
    <mergeCell ref="D1357:F1357"/>
    <mergeCell ref="E1358:F1358"/>
    <mergeCell ref="D1349:F1349"/>
    <mergeCell ref="D1350:F1350"/>
    <mergeCell ref="E1351:F1351"/>
    <mergeCell ref="E1352:F1352"/>
    <mergeCell ref="D1353:F1353"/>
    <mergeCell ref="D1354:F1354"/>
    <mergeCell ref="E1355:F1355"/>
    <mergeCell ref="A1359:C1359"/>
    <mergeCell ref="A1362:C1362"/>
    <mergeCell ref="A1363:C1363"/>
    <mergeCell ref="A1339:C1339"/>
    <mergeCell ref="A1342:C1342"/>
    <mergeCell ref="A1345:C1345"/>
    <mergeCell ref="A1346:C1346"/>
    <mergeCell ref="A1349:C1349"/>
    <mergeCell ref="A1353:C1353"/>
    <mergeCell ref="A1356:C1356"/>
    <mergeCell ref="D1404:F1404"/>
    <mergeCell ref="E1405:F1405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414:F1414"/>
    <mergeCell ref="E1415:F1415"/>
    <mergeCell ref="A1416:C1416"/>
    <mergeCell ref="D1416:F1416"/>
    <mergeCell ref="A1417:C1417"/>
    <mergeCell ref="D1417:F1417"/>
    <mergeCell ref="D1418:F1418"/>
    <mergeCell ref="E1419:F1419"/>
    <mergeCell ref="E1420:F1420"/>
    <mergeCell ref="E1421:F1421"/>
    <mergeCell ref="E1422:F1422"/>
    <mergeCell ref="E1423:F1423"/>
    <mergeCell ref="A1424:C1424"/>
    <mergeCell ref="D1424:F1424"/>
    <mergeCell ref="A1425:C1425"/>
    <mergeCell ref="D1425:F1425"/>
    <mergeCell ref="D1426:F1426"/>
    <mergeCell ref="E1427:F1427"/>
    <mergeCell ref="E1428:F1428"/>
    <mergeCell ref="E1429:F1429"/>
    <mergeCell ref="E1430:F1430"/>
    <mergeCell ref="E1431:F1431"/>
    <mergeCell ref="A1432:C1432"/>
    <mergeCell ref="D1432:F1432"/>
    <mergeCell ref="A1433:C1433"/>
    <mergeCell ref="D1433:F1433"/>
    <mergeCell ref="D1434:F1434"/>
    <mergeCell ref="E1435:F1435"/>
    <mergeCell ref="E1436:F1436"/>
    <mergeCell ref="E1437:F1437"/>
    <mergeCell ref="A1438:C1438"/>
    <mergeCell ref="D1438:F1438"/>
    <mergeCell ref="A1439:C1439"/>
    <mergeCell ref="D1439:F1439"/>
    <mergeCell ref="D1440:F1440"/>
    <mergeCell ref="E1441:F1441"/>
    <mergeCell ref="E1442:F1442"/>
    <mergeCell ref="E1443:F1443"/>
    <mergeCell ref="E1444:F1444"/>
    <mergeCell ref="E28:F28"/>
    <mergeCell ref="E29:F29"/>
    <mergeCell ref="A30:C30"/>
    <mergeCell ref="D30:F30"/>
    <mergeCell ref="D31:F31"/>
    <mergeCell ref="E32:F32"/>
    <mergeCell ref="A33:C33"/>
    <mergeCell ref="D33:F33"/>
    <mergeCell ref="D34:F34"/>
    <mergeCell ref="E35:F35"/>
    <mergeCell ref="A36:C36"/>
    <mergeCell ref="D36:F36"/>
    <mergeCell ref="A37:C37"/>
    <mergeCell ref="D37:F37"/>
    <mergeCell ref="J2:J3"/>
    <mergeCell ref="K2:M2"/>
    <mergeCell ref="O2:P2"/>
    <mergeCell ref="Q2:Q3"/>
    <mergeCell ref="A4:C4"/>
    <mergeCell ref="D4:F4"/>
    <mergeCell ref="D5:F5"/>
    <mergeCell ref="A9:C9"/>
    <mergeCell ref="A10:C10"/>
    <mergeCell ref="A11:C11"/>
    <mergeCell ref="A5:C5"/>
    <mergeCell ref="A6:C6"/>
    <mergeCell ref="D6:F6"/>
    <mergeCell ref="D7:F7"/>
    <mergeCell ref="A8:C8"/>
    <mergeCell ref="D8:F8"/>
    <mergeCell ref="D9:F9"/>
    <mergeCell ref="D10:F10"/>
    <mergeCell ref="D11:F11"/>
    <mergeCell ref="D12:F12"/>
    <mergeCell ref="E13:F13"/>
    <mergeCell ref="E14:F14"/>
    <mergeCell ref="E15:F15"/>
    <mergeCell ref="E16:F16"/>
    <mergeCell ref="E17:F17"/>
    <mergeCell ref="E18:F18"/>
    <mergeCell ref="E19:F19"/>
    <mergeCell ref="A20:C20"/>
    <mergeCell ref="D20:F20"/>
    <mergeCell ref="D21:F21"/>
    <mergeCell ref="E22:F22"/>
    <mergeCell ref="E23:F23"/>
    <mergeCell ref="A24:C24"/>
    <mergeCell ref="D24:F24"/>
    <mergeCell ref="A25:C25"/>
    <mergeCell ref="D25:F25"/>
    <mergeCell ref="D26:F26"/>
    <mergeCell ref="E27:F27"/>
    <mergeCell ref="D38:F38"/>
    <mergeCell ref="E39:F39"/>
    <mergeCell ref="E40:F40"/>
    <mergeCell ref="E41:F41"/>
    <mergeCell ref="E42:F42"/>
    <mergeCell ref="A43:C43"/>
    <mergeCell ref="D43:F43"/>
    <mergeCell ref="D85:F85"/>
    <mergeCell ref="D86:F86"/>
    <mergeCell ref="D87:F87"/>
    <mergeCell ref="E88:F88"/>
    <mergeCell ref="E89:F89"/>
    <mergeCell ref="E78:F78"/>
    <mergeCell ref="E79:F79"/>
    <mergeCell ref="E80:F80"/>
    <mergeCell ref="D81:F81"/>
    <mergeCell ref="D82:F82"/>
    <mergeCell ref="E83:F83"/>
    <mergeCell ref="E84:F84"/>
    <mergeCell ref="D64:F64"/>
    <mergeCell ref="E65:F65"/>
    <mergeCell ref="D66:F66"/>
    <mergeCell ref="D67:F67"/>
    <mergeCell ref="D68:F68"/>
    <mergeCell ref="E69:F69"/>
    <mergeCell ref="E70:F70"/>
    <mergeCell ref="E71:F71"/>
    <mergeCell ref="D72:F72"/>
    <mergeCell ref="D73:F73"/>
    <mergeCell ref="E74:F74"/>
    <mergeCell ref="D75:F75"/>
    <mergeCell ref="D76:F76"/>
    <mergeCell ref="D77:F77"/>
    <mergeCell ref="D44:F44"/>
    <mergeCell ref="E45:F45"/>
    <mergeCell ref="A46:C46"/>
    <mergeCell ref="D46:F46"/>
    <mergeCell ref="D47:F47"/>
    <mergeCell ref="E48:F48"/>
    <mergeCell ref="D49:F49"/>
    <mergeCell ref="D50:F50"/>
    <mergeCell ref="D51:F51"/>
    <mergeCell ref="E52:F52"/>
    <mergeCell ref="D53:F53"/>
    <mergeCell ref="D54:F54"/>
    <mergeCell ref="E55:F55"/>
    <mergeCell ref="E56:F56"/>
    <mergeCell ref="D57:F57"/>
    <mergeCell ref="D58:F58"/>
    <mergeCell ref="E59:F59"/>
    <mergeCell ref="D60:F60"/>
    <mergeCell ref="D61:F61"/>
    <mergeCell ref="E62:F62"/>
    <mergeCell ref="D63:F63"/>
    <mergeCell ref="A49:C49"/>
    <mergeCell ref="A50:C50"/>
    <mergeCell ref="A53:C53"/>
    <mergeCell ref="A57:C57"/>
    <mergeCell ref="A60:C60"/>
    <mergeCell ref="A63:C63"/>
    <mergeCell ref="A66:C66"/>
    <mergeCell ref="A90:C90"/>
    <mergeCell ref="A91:C91"/>
    <mergeCell ref="A67:C67"/>
    <mergeCell ref="A72:C72"/>
    <mergeCell ref="A75:C75"/>
    <mergeCell ref="A76:C76"/>
    <mergeCell ref="A81:C81"/>
    <mergeCell ref="A85:C85"/>
    <mergeCell ref="A86:C86"/>
    <mergeCell ref="D90:F90"/>
    <mergeCell ref="D91:F91"/>
    <mergeCell ref="D92:F92"/>
    <mergeCell ref="E93:F93"/>
    <mergeCell ref="E94:F94"/>
    <mergeCell ref="E95:F95"/>
    <mergeCell ref="E96:F96"/>
    <mergeCell ref="E132:F132"/>
    <mergeCell ref="E133:F133"/>
    <mergeCell ref="E134:F134"/>
    <mergeCell ref="E135:F135"/>
    <mergeCell ref="A136:C136"/>
    <mergeCell ref="D136:F136"/>
    <mergeCell ref="A137:C137"/>
    <mergeCell ref="D137:F137"/>
    <mergeCell ref="D138:F138"/>
    <mergeCell ref="E139:F139"/>
    <mergeCell ref="E140:F140"/>
    <mergeCell ref="E141:F141"/>
    <mergeCell ref="A142:C142"/>
    <mergeCell ref="D142:F142"/>
    <mergeCell ref="E97:F97"/>
    <mergeCell ref="E98:F98"/>
    <mergeCell ref="E99:F99"/>
    <mergeCell ref="A100:C100"/>
    <mergeCell ref="D100:F100"/>
    <mergeCell ref="D101:F101"/>
    <mergeCell ref="E102:F102"/>
    <mergeCell ref="E103:F103"/>
    <mergeCell ref="E104:F104"/>
    <mergeCell ref="E105:F105"/>
    <mergeCell ref="A106:C106"/>
    <mergeCell ref="D106:F106"/>
    <mergeCell ref="A107:C107"/>
    <mergeCell ref="D107:F107"/>
    <mergeCell ref="D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A120:C120"/>
    <mergeCell ref="D120:F120"/>
    <mergeCell ref="A121:C121"/>
    <mergeCell ref="D121:F121"/>
    <mergeCell ref="D122:F122"/>
    <mergeCell ref="E123:F123"/>
    <mergeCell ref="E124:F124"/>
    <mergeCell ref="E125:F125"/>
    <mergeCell ref="E126:F126"/>
    <mergeCell ref="E127:F127"/>
    <mergeCell ref="A128:C128"/>
    <mergeCell ref="D128:F128"/>
    <mergeCell ref="A129:C129"/>
    <mergeCell ref="D129:F129"/>
    <mergeCell ref="D130:F130"/>
    <mergeCell ref="E131:F131"/>
    <mergeCell ref="A143:C143"/>
    <mergeCell ref="D143:F143"/>
    <mergeCell ref="D144:F144"/>
    <mergeCell ref="E145:F145"/>
    <mergeCell ref="E146:F146"/>
    <mergeCell ref="E147:F147"/>
    <mergeCell ref="E148:F148"/>
    <mergeCell ref="D287:F287"/>
    <mergeCell ref="D288:F288"/>
    <mergeCell ref="E289:F289"/>
    <mergeCell ref="E290:F290"/>
    <mergeCell ref="E291:F291"/>
    <mergeCell ref="E292:F292"/>
    <mergeCell ref="E293:F293"/>
    <mergeCell ref="D294:F294"/>
    <mergeCell ref="D295:F295"/>
    <mergeCell ref="E296:F296"/>
    <mergeCell ref="D297:F297"/>
    <mergeCell ref="D298:F298"/>
    <mergeCell ref="D299:F299"/>
    <mergeCell ref="D300:F300"/>
    <mergeCell ref="E261:F261"/>
    <mergeCell ref="E262:F262"/>
    <mergeCell ref="E263:F263"/>
    <mergeCell ref="A264:C264"/>
    <mergeCell ref="D264:F264"/>
    <mergeCell ref="A265:C265"/>
    <mergeCell ref="D265:F265"/>
    <mergeCell ref="D266:F266"/>
    <mergeCell ref="E267:F267"/>
    <mergeCell ref="E268:F268"/>
    <mergeCell ref="E269:F269"/>
    <mergeCell ref="E270:F270"/>
    <mergeCell ref="E271:F271"/>
    <mergeCell ref="D272:F272"/>
    <mergeCell ref="D273:F273"/>
    <mergeCell ref="D274:F274"/>
    <mergeCell ref="E275:F275"/>
    <mergeCell ref="E276:F276"/>
    <mergeCell ref="E277:F277"/>
    <mergeCell ref="E278:F278"/>
    <mergeCell ref="E279:F279"/>
    <mergeCell ref="D280:F280"/>
    <mergeCell ref="D281:F281"/>
    <mergeCell ref="D282:F282"/>
    <mergeCell ref="E283:F283"/>
    <mergeCell ref="E284:F284"/>
    <mergeCell ref="E285:F285"/>
    <mergeCell ref="D286:F286"/>
    <mergeCell ref="A297:C297"/>
    <mergeCell ref="A298:C298"/>
    <mergeCell ref="A299:C299"/>
    <mergeCell ref="A308:C308"/>
    <mergeCell ref="A312:C312"/>
    <mergeCell ref="A313:C313"/>
    <mergeCell ref="A272:C272"/>
    <mergeCell ref="A273:C273"/>
    <mergeCell ref="A280:C280"/>
    <mergeCell ref="A281:C281"/>
    <mergeCell ref="A286:C286"/>
    <mergeCell ref="A287:C287"/>
    <mergeCell ref="A294:C294"/>
    <mergeCell ref="E301:F301"/>
    <mergeCell ref="E302:F302"/>
    <mergeCell ref="E303:F303"/>
    <mergeCell ref="E304:F304"/>
    <mergeCell ref="E305:F305"/>
    <mergeCell ref="E306:F306"/>
    <mergeCell ref="E307:F307"/>
    <mergeCell ref="E149:F149"/>
    <mergeCell ref="A150:C150"/>
    <mergeCell ref="D150:F150"/>
    <mergeCell ref="D151:F151"/>
    <mergeCell ref="E152:F152"/>
    <mergeCell ref="A153:C153"/>
    <mergeCell ref="D153:F153"/>
    <mergeCell ref="A154:C154"/>
    <mergeCell ref="D154:F154"/>
    <mergeCell ref="A155:C155"/>
    <mergeCell ref="D155:F155"/>
    <mergeCell ref="D156:F156"/>
    <mergeCell ref="E157:F157"/>
    <mergeCell ref="E158:F158"/>
    <mergeCell ref="E159:F159"/>
    <mergeCell ref="E160:F160"/>
    <mergeCell ref="E161:F161"/>
    <mergeCell ref="E162:F162"/>
    <mergeCell ref="E163:F163"/>
    <mergeCell ref="A164:C164"/>
    <mergeCell ref="D164:F164"/>
    <mergeCell ref="D165:F165"/>
    <mergeCell ref="E166:F166"/>
    <mergeCell ref="E167:F167"/>
    <mergeCell ref="A168:C168"/>
    <mergeCell ref="D168:F168"/>
    <mergeCell ref="A169:C169"/>
    <mergeCell ref="D169:F169"/>
    <mergeCell ref="A174:C174"/>
    <mergeCell ref="A177:C177"/>
    <mergeCell ref="A180:C180"/>
    <mergeCell ref="A181:C181"/>
    <mergeCell ref="D170:F170"/>
    <mergeCell ref="E171:F171"/>
    <mergeCell ref="E172:F172"/>
    <mergeCell ref="E173:F173"/>
    <mergeCell ref="D174:F174"/>
    <mergeCell ref="D175:F175"/>
    <mergeCell ref="E176:F176"/>
    <mergeCell ref="D177:F177"/>
    <mergeCell ref="D178:F178"/>
    <mergeCell ref="E179:F179"/>
    <mergeCell ref="D180:F180"/>
    <mergeCell ref="D181:F181"/>
    <mergeCell ref="D182:F182"/>
    <mergeCell ref="E183:F183"/>
    <mergeCell ref="D225:F225"/>
    <mergeCell ref="D226:F226"/>
    <mergeCell ref="E227:F227"/>
    <mergeCell ref="E228:F228"/>
    <mergeCell ref="E218:F218"/>
    <mergeCell ref="D219:F219"/>
    <mergeCell ref="D220:F220"/>
    <mergeCell ref="D221:F221"/>
    <mergeCell ref="E222:F222"/>
    <mergeCell ref="E223:F223"/>
    <mergeCell ref="E224:F224"/>
    <mergeCell ref="A230:C230"/>
    <mergeCell ref="A234:C234"/>
    <mergeCell ref="A235:C235"/>
    <mergeCell ref="A210:C210"/>
    <mergeCell ref="A211:C211"/>
    <mergeCell ref="A216:C216"/>
    <mergeCell ref="A219:C219"/>
    <mergeCell ref="A220:C220"/>
    <mergeCell ref="A225:C225"/>
    <mergeCell ref="A229:C229"/>
    <mergeCell ref="D229:F229"/>
    <mergeCell ref="D230:F230"/>
    <mergeCell ref="D231:F231"/>
    <mergeCell ref="E232:F232"/>
    <mergeCell ref="E233:F233"/>
    <mergeCell ref="D234:F234"/>
    <mergeCell ref="D235:F235"/>
    <mergeCell ref="D236:F236"/>
    <mergeCell ref="E237:F237"/>
    <mergeCell ref="E238:F238"/>
    <mergeCell ref="E239:F239"/>
    <mergeCell ref="E240:F240"/>
    <mergeCell ref="E241:F241"/>
    <mergeCell ref="E242:F242"/>
    <mergeCell ref="E243:F243"/>
    <mergeCell ref="A244:C244"/>
    <mergeCell ref="D244:F244"/>
    <mergeCell ref="D245:F245"/>
    <mergeCell ref="E246:F246"/>
    <mergeCell ref="E247:F247"/>
    <mergeCell ref="E248:F248"/>
    <mergeCell ref="E249:F249"/>
    <mergeCell ref="A250:C250"/>
    <mergeCell ref="D250:F250"/>
    <mergeCell ref="A251:C251"/>
    <mergeCell ref="D251:F251"/>
    <mergeCell ref="D252:F252"/>
    <mergeCell ref="E253:F253"/>
    <mergeCell ref="E184:F184"/>
    <mergeCell ref="E185:F185"/>
    <mergeCell ref="E186:F186"/>
    <mergeCell ref="A187:C187"/>
    <mergeCell ref="D187:F187"/>
    <mergeCell ref="D188:F188"/>
    <mergeCell ref="E189:F189"/>
    <mergeCell ref="A190:C190"/>
    <mergeCell ref="D190:F190"/>
    <mergeCell ref="D191:F191"/>
    <mergeCell ref="E192:F192"/>
    <mergeCell ref="A193:C193"/>
    <mergeCell ref="D193:F193"/>
    <mergeCell ref="A194:C194"/>
    <mergeCell ref="D194:F194"/>
    <mergeCell ref="D195:F195"/>
    <mergeCell ref="E196:F196"/>
    <mergeCell ref="A197:C197"/>
    <mergeCell ref="D197:F197"/>
    <mergeCell ref="D198:F198"/>
    <mergeCell ref="E199:F199"/>
    <mergeCell ref="E200:F200"/>
    <mergeCell ref="A201:C201"/>
    <mergeCell ref="D201:F201"/>
    <mergeCell ref="D202:F202"/>
    <mergeCell ref="E203:F203"/>
    <mergeCell ref="A204:C204"/>
    <mergeCell ref="D204:F204"/>
    <mergeCell ref="D205:F205"/>
    <mergeCell ref="E206:F206"/>
    <mergeCell ref="A207:C207"/>
    <mergeCell ref="D207:F207"/>
    <mergeCell ref="D208:F208"/>
    <mergeCell ref="E209:F209"/>
    <mergeCell ref="D210:F210"/>
    <mergeCell ref="D211:F211"/>
    <mergeCell ref="D212:F212"/>
    <mergeCell ref="E213:F213"/>
    <mergeCell ref="E214:F214"/>
    <mergeCell ref="E215:F215"/>
    <mergeCell ref="D216:F216"/>
    <mergeCell ref="D217:F217"/>
    <mergeCell ref="E254:F254"/>
    <mergeCell ref="E255:F255"/>
    <mergeCell ref="E256:F256"/>
    <mergeCell ref="E257:F257"/>
    <mergeCell ref="E258:F258"/>
    <mergeCell ref="E259:F259"/>
    <mergeCell ref="E260:F260"/>
    <mergeCell ref="D348:F348"/>
    <mergeCell ref="D349:F349"/>
    <mergeCell ref="E350:F350"/>
    <mergeCell ref="D341:F341"/>
    <mergeCell ref="D342:F342"/>
    <mergeCell ref="E343:F343"/>
    <mergeCell ref="E344:F344"/>
    <mergeCell ref="D345:F345"/>
    <mergeCell ref="D346:F346"/>
    <mergeCell ref="E347:F347"/>
    <mergeCell ref="A456:C456"/>
    <mergeCell ref="A457:C457"/>
    <mergeCell ref="A462:C462"/>
    <mergeCell ref="D462:F462"/>
    <mergeCell ref="D463:F463"/>
    <mergeCell ref="E464:F464"/>
    <mergeCell ref="A465:C465"/>
    <mergeCell ref="D465:F465"/>
    <mergeCell ref="D466:F466"/>
    <mergeCell ref="E467:F467"/>
    <mergeCell ref="A468:C468"/>
    <mergeCell ref="D468:F468"/>
    <mergeCell ref="A469:C469"/>
    <mergeCell ref="D469:F469"/>
    <mergeCell ref="E419:F419"/>
    <mergeCell ref="E420:F420"/>
    <mergeCell ref="E421:F421"/>
    <mergeCell ref="E422:F422"/>
    <mergeCell ref="E423:F423"/>
    <mergeCell ref="A424:C424"/>
    <mergeCell ref="D424:F424"/>
    <mergeCell ref="A425:C425"/>
    <mergeCell ref="D425:F425"/>
    <mergeCell ref="D426:F426"/>
    <mergeCell ref="E427:F427"/>
    <mergeCell ref="E428:F428"/>
    <mergeCell ref="E429:F429"/>
    <mergeCell ref="D430:F430"/>
    <mergeCell ref="D431:F431"/>
    <mergeCell ref="D432:F432"/>
    <mergeCell ref="E433:F433"/>
    <mergeCell ref="E434:F434"/>
    <mergeCell ref="E435:F435"/>
    <mergeCell ref="E436:F436"/>
    <mergeCell ref="E437:F437"/>
    <mergeCell ref="D438:F438"/>
    <mergeCell ref="D439:F439"/>
    <mergeCell ref="E440:F440"/>
    <mergeCell ref="D441:F441"/>
    <mergeCell ref="D442:F442"/>
    <mergeCell ref="D443:F443"/>
    <mergeCell ref="D444:F444"/>
    <mergeCell ref="E445:F445"/>
    <mergeCell ref="E446:F446"/>
    <mergeCell ref="E447:F447"/>
    <mergeCell ref="E448:F448"/>
    <mergeCell ref="E449:F449"/>
    <mergeCell ref="E450:F450"/>
    <mergeCell ref="E451:F451"/>
    <mergeCell ref="A430:C430"/>
    <mergeCell ref="A431:C431"/>
    <mergeCell ref="A438:C438"/>
    <mergeCell ref="A441:C441"/>
    <mergeCell ref="A442:C442"/>
    <mergeCell ref="A443:C443"/>
    <mergeCell ref="A452:C452"/>
    <mergeCell ref="D470:F470"/>
    <mergeCell ref="E471:F471"/>
    <mergeCell ref="E472:F472"/>
    <mergeCell ref="E473:F473"/>
    <mergeCell ref="E474:F474"/>
    <mergeCell ref="A475:C475"/>
    <mergeCell ref="D475:F475"/>
    <mergeCell ref="A354:C354"/>
    <mergeCell ref="A355:C355"/>
    <mergeCell ref="A345:C345"/>
    <mergeCell ref="A348:C348"/>
    <mergeCell ref="A351:C351"/>
    <mergeCell ref="D351:F351"/>
    <mergeCell ref="D352:F352"/>
    <mergeCell ref="E353:F353"/>
    <mergeCell ref="D354:F354"/>
    <mergeCell ref="D355:F355"/>
    <mergeCell ref="D356:F356"/>
    <mergeCell ref="E357:F357"/>
    <mergeCell ref="E358:F358"/>
    <mergeCell ref="E359:F359"/>
    <mergeCell ref="A360:C360"/>
    <mergeCell ref="D360:F360"/>
    <mergeCell ref="D361:F361"/>
    <mergeCell ref="E362:F362"/>
    <mergeCell ref="A363:C363"/>
    <mergeCell ref="D363:F363"/>
    <mergeCell ref="A364:C364"/>
    <mergeCell ref="D364:F364"/>
    <mergeCell ref="D365:F365"/>
    <mergeCell ref="D308:F308"/>
    <mergeCell ref="D309:F309"/>
    <mergeCell ref="E310:F310"/>
    <mergeCell ref="E311:F311"/>
    <mergeCell ref="D312:F312"/>
    <mergeCell ref="D313:F313"/>
    <mergeCell ref="D314:F314"/>
    <mergeCell ref="E315:F315"/>
    <mergeCell ref="E316:F316"/>
    <mergeCell ref="E317:F317"/>
    <mergeCell ref="A318:C318"/>
    <mergeCell ref="D318:F318"/>
    <mergeCell ref="D319:F319"/>
    <mergeCell ref="E320:F320"/>
    <mergeCell ref="A321:C321"/>
    <mergeCell ref="D321:F321"/>
    <mergeCell ref="D322:F322"/>
    <mergeCell ref="E323:F323"/>
    <mergeCell ref="A324:C324"/>
    <mergeCell ref="D324:F324"/>
    <mergeCell ref="A325:C325"/>
    <mergeCell ref="D325:F325"/>
    <mergeCell ref="D326:F326"/>
    <mergeCell ref="E327:F327"/>
    <mergeCell ref="E328:F328"/>
    <mergeCell ref="E329:F329"/>
    <mergeCell ref="E330:F330"/>
    <mergeCell ref="A331:C331"/>
    <mergeCell ref="D331:F331"/>
    <mergeCell ref="D332:F332"/>
    <mergeCell ref="E333:F333"/>
    <mergeCell ref="A334:C334"/>
    <mergeCell ref="D334:F334"/>
    <mergeCell ref="D335:F335"/>
    <mergeCell ref="E336:F336"/>
    <mergeCell ref="A337:C337"/>
    <mergeCell ref="D337:F337"/>
    <mergeCell ref="A338:C338"/>
    <mergeCell ref="D338:F338"/>
    <mergeCell ref="D339:F339"/>
    <mergeCell ref="E340:F340"/>
    <mergeCell ref="A341:C341"/>
    <mergeCell ref="E366:F366"/>
    <mergeCell ref="E367:F367"/>
    <mergeCell ref="E368:F368"/>
    <mergeCell ref="A369:C369"/>
    <mergeCell ref="D369:F369"/>
    <mergeCell ref="D370:F370"/>
    <mergeCell ref="E371:F371"/>
    <mergeCell ref="D409:F409"/>
    <mergeCell ref="D410:F410"/>
    <mergeCell ref="E411:F411"/>
    <mergeCell ref="E412:F412"/>
    <mergeCell ref="E413:F413"/>
    <mergeCell ref="E414:F414"/>
    <mergeCell ref="E415:F415"/>
    <mergeCell ref="E402:F402"/>
    <mergeCell ref="E403:F403"/>
    <mergeCell ref="E404:F404"/>
    <mergeCell ref="E405:F405"/>
    <mergeCell ref="E406:F406"/>
    <mergeCell ref="E407:F407"/>
    <mergeCell ref="D408:F408"/>
    <mergeCell ref="E372:F372"/>
    <mergeCell ref="A373:C373"/>
    <mergeCell ref="D373:F373"/>
    <mergeCell ref="A374:C374"/>
    <mergeCell ref="D374:F374"/>
    <mergeCell ref="D375:F375"/>
    <mergeCell ref="E376:F376"/>
    <mergeCell ref="E377:F377"/>
    <mergeCell ref="A378:C378"/>
    <mergeCell ref="D378:F378"/>
    <mergeCell ref="A379:C379"/>
    <mergeCell ref="D379:F379"/>
    <mergeCell ref="D380:F380"/>
    <mergeCell ref="E381:F381"/>
    <mergeCell ref="E382:F382"/>
    <mergeCell ref="E383:F383"/>
    <mergeCell ref="E384:F384"/>
    <mergeCell ref="E385:F385"/>
    <mergeCell ref="E386:F386"/>
    <mergeCell ref="E387:F387"/>
    <mergeCell ref="A388:C388"/>
    <mergeCell ref="A394:C394"/>
    <mergeCell ref="A395:C395"/>
    <mergeCell ref="D388:F388"/>
    <mergeCell ref="D389:F389"/>
    <mergeCell ref="E390:F390"/>
    <mergeCell ref="E391:F391"/>
    <mergeCell ref="E392:F392"/>
    <mergeCell ref="E393:F393"/>
    <mergeCell ref="D394:F394"/>
    <mergeCell ref="D395:F395"/>
    <mergeCell ref="D396:F396"/>
    <mergeCell ref="E397:F397"/>
    <mergeCell ref="E398:F398"/>
    <mergeCell ref="E399:F399"/>
    <mergeCell ref="E400:F400"/>
    <mergeCell ref="E401:F401"/>
    <mergeCell ref="A408:C408"/>
    <mergeCell ref="A409:C409"/>
    <mergeCell ref="A416:C416"/>
    <mergeCell ref="D416:F416"/>
    <mergeCell ref="A417:C417"/>
    <mergeCell ref="D417:F417"/>
    <mergeCell ref="D418:F418"/>
    <mergeCell ref="E459:F459"/>
    <mergeCell ref="E460:F460"/>
    <mergeCell ref="E461:F461"/>
    <mergeCell ref="D452:F452"/>
    <mergeCell ref="D453:F453"/>
    <mergeCell ref="E454:F454"/>
    <mergeCell ref="E455:F455"/>
    <mergeCell ref="D456:F456"/>
    <mergeCell ref="D457:F457"/>
    <mergeCell ref="D458:F458"/>
    <mergeCell ref="D517:F517"/>
    <mergeCell ref="D518:F518"/>
    <mergeCell ref="D519:F519"/>
    <mergeCell ref="E520:F520"/>
    <mergeCell ref="E521:F521"/>
    <mergeCell ref="E510:F510"/>
    <mergeCell ref="E511:F511"/>
    <mergeCell ref="E512:F512"/>
    <mergeCell ref="D513:F513"/>
    <mergeCell ref="D514:F514"/>
    <mergeCell ref="E515:F515"/>
    <mergeCell ref="E516:F516"/>
    <mergeCell ref="D496:F496"/>
    <mergeCell ref="E497:F497"/>
    <mergeCell ref="D498:F498"/>
    <mergeCell ref="D499:F499"/>
    <mergeCell ref="D500:F500"/>
    <mergeCell ref="E501:F501"/>
    <mergeCell ref="E502:F502"/>
    <mergeCell ref="E503:F503"/>
    <mergeCell ref="D504:F504"/>
    <mergeCell ref="D505:F505"/>
    <mergeCell ref="E506:F506"/>
    <mergeCell ref="D507:F507"/>
    <mergeCell ref="D508:F508"/>
    <mergeCell ref="D509:F509"/>
    <mergeCell ref="D476:F476"/>
    <mergeCell ref="E477:F477"/>
    <mergeCell ref="A478:C478"/>
    <mergeCell ref="D478:F478"/>
    <mergeCell ref="D479:F479"/>
    <mergeCell ref="E480:F480"/>
    <mergeCell ref="D481:F481"/>
    <mergeCell ref="D482:F482"/>
    <mergeCell ref="D483:F483"/>
    <mergeCell ref="E484:F484"/>
    <mergeCell ref="D485:F485"/>
    <mergeCell ref="D486:F486"/>
    <mergeCell ref="E487:F487"/>
    <mergeCell ref="E488:F488"/>
    <mergeCell ref="D489:F489"/>
    <mergeCell ref="D490:F490"/>
    <mergeCell ref="E491:F491"/>
    <mergeCell ref="D492:F492"/>
    <mergeCell ref="D493:F493"/>
    <mergeCell ref="E494:F494"/>
    <mergeCell ref="D495:F495"/>
    <mergeCell ref="A481:C481"/>
    <mergeCell ref="A482:C482"/>
    <mergeCell ref="A485:C485"/>
    <mergeCell ref="A489:C489"/>
    <mergeCell ref="A492:C492"/>
    <mergeCell ref="A495:C495"/>
    <mergeCell ref="A498:C498"/>
    <mergeCell ref="A522:C522"/>
    <mergeCell ref="A523:C523"/>
    <mergeCell ref="A499:C499"/>
    <mergeCell ref="A504:C504"/>
    <mergeCell ref="A507:C507"/>
    <mergeCell ref="A508:C508"/>
    <mergeCell ref="A513:C513"/>
    <mergeCell ref="A517:C517"/>
    <mergeCell ref="A518:C518"/>
    <mergeCell ref="D522:F522"/>
    <mergeCell ref="D523:F523"/>
    <mergeCell ref="D524:F524"/>
    <mergeCell ref="E525:F525"/>
    <mergeCell ref="E526:F526"/>
    <mergeCell ref="E527:F527"/>
    <mergeCell ref="E528:F528"/>
    <mergeCell ref="E564:F564"/>
    <mergeCell ref="E565:F565"/>
    <mergeCell ref="E566:F566"/>
    <mergeCell ref="E567:F567"/>
    <mergeCell ref="A568:C568"/>
    <mergeCell ref="D568:F568"/>
    <mergeCell ref="A569:C569"/>
    <mergeCell ref="D569:F569"/>
    <mergeCell ref="D570:F570"/>
    <mergeCell ref="E571:F571"/>
    <mergeCell ref="E572:F572"/>
    <mergeCell ref="E573:F573"/>
    <mergeCell ref="A574:C574"/>
    <mergeCell ref="D574:F574"/>
    <mergeCell ref="E529:F529"/>
    <mergeCell ref="E530:F530"/>
    <mergeCell ref="E531:F531"/>
    <mergeCell ref="A532:C532"/>
    <mergeCell ref="D532:F532"/>
    <mergeCell ref="D533:F533"/>
    <mergeCell ref="E534:F534"/>
    <mergeCell ref="E535:F535"/>
    <mergeCell ref="E536:F536"/>
    <mergeCell ref="E537:F537"/>
    <mergeCell ref="A538:C538"/>
    <mergeCell ref="D538:F538"/>
    <mergeCell ref="A539:C539"/>
    <mergeCell ref="D539:F539"/>
    <mergeCell ref="D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A552:C552"/>
    <mergeCell ref="D552:F552"/>
    <mergeCell ref="A553:C553"/>
    <mergeCell ref="D553:F553"/>
    <mergeCell ref="D554:F554"/>
    <mergeCell ref="E555:F555"/>
    <mergeCell ref="E556:F556"/>
    <mergeCell ref="E557:F557"/>
    <mergeCell ref="E558:F558"/>
    <mergeCell ref="E559:F559"/>
    <mergeCell ref="A560:C560"/>
    <mergeCell ref="D560:F560"/>
    <mergeCell ref="A561:C561"/>
    <mergeCell ref="D561:F561"/>
    <mergeCell ref="D562:F562"/>
    <mergeCell ref="E563:F563"/>
    <mergeCell ref="A575:C575"/>
    <mergeCell ref="D575:F575"/>
    <mergeCell ref="D576:F576"/>
    <mergeCell ref="E577:F577"/>
    <mergeCell ref="E578:F578"/>
    <mergeCell ref="E579:F579"/>
    <mergeCell ref="E580:F580"/>
    <mergeCell ref="E581:F581"/>
    <mergeCell ref="A582:C582"/>
    <mergeCell ref="D582:F582"/>
    <mergeCell ref="D583:F583"/>
    <mergeCell ref="E584:F584"/>
    <mergeCell ref="A585:C585"/>
    <mergeCell ref="D585:F585"/>
    <mergeCell ref="A586:C586"/>
    <mergeCell ref="D586:F586"/>
    <mergeCell ref="A587:C587"/>
    <mergeCell ref="D587:F587"/>
    <mergeCell ref="D588:F588"/>
    <mergeCell ref="E589:F589"/>
    <mergeCell ref="E590:F590"/>
    <mergeCell ref="E591:F591"/>
    <mergeCell ref="E592:F592"/>
    <mergeCell ref="E593:F593"/>
    <mergeCell ref="E594:F594"/>
    <mergeCell ref="E595:F595"/>
    <mergeCell ref="A596:C596"/>
    <mergeCell ref="D596:F596"/>
    <mergeCell ref="D597:F597"/>
    <mergeCell ref="E598:F598"/>
    <mergeCell ref="E599:F599"/>
    <mergeCell ref="A600:C600"/>
    <mergeCell ref="D600:F600"/>
    <mergeCell ref="A601:C601"/>
    <mergeCell ref="D601:F601"/>
    <mergeCell ref="A606:C606"/>
    <mergeCell ref="A609:C609"/>
    <mergeCell ref="A612:C612"/>
    <mergeCell ref="A613:C613"/>
    <mergeCell ref="D602:F602"/>
    <mergeCell ref="E603:F603"/>
    <mergeCell ref="E604:F604"/>
    <mergeCell ref="E605:F605"/>
    <mergeCell ref="D606:F606"/>
    <mergeCell ref="D607:F607"/>
    <mergeCell ref="E608:F608"/>
    <mergeCell ref="D609:F609"/>
    <mergeCell ref="D610:F610"/>
    <mergeCell ref="E611:F611"/>
    <mergeCell ref="D612:F612"/>
    <mergeCell ref="D613:F613"/>
    <mergeCell ref="D614:F614"/>
    <mergeCell ref="E615:F615"/>
    <mergeCell ref="D657:F657"/>
    <mergeCell ref="D658:F658"/>
    <mergeCell ref="E659:F659"/>
    <mergeCell ref="E660:F660"/>
    <mergeCell ref="E650:F650"/>
    <mergeCell ref="D651:F651"/>
    <mergeCell ref="D652:F652"/>
    <mergeCell ref="D653:F653"/>
    <mergeCell ref="E654:F654"/>
    <mergeCell ref="E655:F655"/>
    <mergeCell ref="E656:F656"/>
    <mergeCell ref="D661:F661"/>
    <mergeCell ref="D662:F662"/>
    <mergeCell ref="D663:F663"/>
    <mergeCell ref="E664:F664"/>
    <mergeCell ref="E665:F665"/>
    <mergeCell ref="D666:F666"/>
    <mergeCell ref="D667:F667"/>
    <mergeCell ref="D668:F668"/>
    <mergeCell ref="E669:F669"/>
    <mergeCell ref="E670:F670"/>
    <mergeCell ref="E671:F671"/>
    <mergeCell ref="E672:F672"/>
    <mergeCell ref="E673:F673"/>
    <mergeCell ref="E674:F674"/>
    <mergeCell ref="D924:F924"/>
    <mergeCell ref="D925:F925"/>
    <mergeCell ref="E926:F926"/>
    <mergeCell ref="D917:F917"/>
    <mergeCell ref="D918:F918"/>
    <mergeCell ref="E919:F919"/>
    <mergeCell ref="E920:F920"/>
    <mergeCell ref="D921:F921"/>
    <mergeCell ref="D922:F922"/>
    <mergeCell ref="E923:F923"/>
    <mergeCell ref="A927:C927"/>
    <mergeCell ref="A930:C930"/>
    <mergeCell ref="A931:C931"/>
    <mergeCell ref="A907:C907"/>
    <mergeCell ref="A910:C910"/>
    <mergeCell ref="A913:C913"/>
    <mergeCell ref="A914:C914"/>
    <mergeCell ref="A917:C917"/>
    <mergeCell ref="A921:C921"/>
    <mergeCell ref="A924:C924"/>
    <mergeCell ref="E882:F882"/>
    <mergeCell ref="E883:F883"/>
    <mergeCell ref="A884:C884"/>
    <mergeCell ref="D884:F884"/>
    <mergeCell ref="D885:F885"/>
    <mergeCell ref="E886:F886"/>
    <mergeCell ref="E887:F887"/>
    <mergeCell ref="A888:C888"/>
    <mergeCell ref="D888:F888"/>
    <mergeCell ref="A889:C889"/>
    <mergeCell ref="D889:F889"/>
    <mergeCell ref="D890:F890"/>
    <mergeCell ref="E891:F891"/>
    <mergeCell ref="E892:F892"/>
    <mergeCell ref="E893:F893"/>
    <mergeCell ref="A894:C894"/>
    <mergeCell ref="D894:F894"/>
    <mergeCell ref="D895:F895"/>
    <mergeCell ref="E896:F896"/>
    <mergeCell ref="A897:C897"/>
    <mergeCell ref="D897:F897"/>
    <mergeCell ref="D898:F898"/>
    <mergeCell ref="E899:F899"/>
    <mergeCell ref="A900:C900"/>
    <mergeCell ref="D900:F900"/>
    <mergeCell ref="A901:C901"/>
    <mergeCell ref="D901:F901"/>
    <mergeCell ref="D902:F902"/>
    <mergeCell ref="E903:F903"/>
    <mergeCell ref="E904:F904"/>
    <mergeCell ref="E905:F905"/>
    <mergeCell ref="E906:F906"/>
    <mergeCell ref="D907:F907"/>
    <mergeCell ref="D908:F908"/>
    <mergeCell ref="E909:F909"/>
    <mergeCell ref="D910:F910"/>
    <mergeCell ref="D911:F911"/>
    <mergeCell ref="E912:F912"/>
    <mergeCell ref="D913:F913"/>
    <mergeCell ref="D914:F914"/>
    <mergeCell ref="D915:F915"/>
    <mergeCell ref="E916:F916"/>
    <mergeCell ref="D927:F927"/>
    <mergeCell ref="D928:F928"/>
    <mergeCell ref="E929:F929"/>
    <mergeCell ref="D930:F930"/>
    <mergeCell ref="D931:F931"/>
    <mergeCell ref="D932:F932"/>
    <mergeCell ref="E933:F933"/>
    <mergeCell ref="A939:C939"/>
    <mergeCell ref="A940:C940"/>
    <mergeCell ref="A945:C945"/>
    <mergeCell ref="A949:C949"/>
    <mergeCell ref="A950:C950"/>
    <mergeCell ref="A954:C954"/>
    <mergeCell ref="A955:C955"/>
    <mergeCell ref="E934:F934"/>
    <mergeCell ref="E935:F935"/>
    <mergeCell ref="A936:C936"/>
    <mergeCell ref="D936:F936"/>
    <mergeCell ref="D937:F937"/>
    <mergeCell ref="E938:F938"/>
    <mergeCell ref="D939:F939"/>
    <mergeCell ref="D940:F940"/>
    <mergeCell ref="D941:F941"/>
    <mergeCell ref="E942:F942"/>
    <mergeCell ref="E943:F943"/>
    <mergeCell ref="E944:F944"/>
    <mergeCell ref="D945:F945"/>
    <mergeCell ref="D946:F946"/>
    <mergeCell ref="E947:F947"/>
    <mergeCell ref="E948:F948"/>
    <mergeCell ref="D949:F949"/>
    <mergeCell ref="D950:F950"/>
    <mergeCell ref="D951:F951"/>
    <mergeCell ref="E952:F952"/>
    <mergeCell ref="E953:F953"/>
    <mergeCell ref="D954:F954"/>
    <mergeCell ref="D955:F955"/>
    <mergeCell ref="D956:F956"/>
    <mergeCell ref="E957:F957"/>
    <mergeCell ref="E958:F958"/>
    <mergeCell ref="E959:F959"/>
    <mergeCell ref="E960:F960"/>
    <mergeCell ref="E961:F961"/>
    <mergeCell ref="E962:F962"/>
    <mergeCell ref="E963:F963"/>
    <mergeCell ref="A964:C964"/>
    <mergeCell ref="D964:F964"/>
    <mergeCell ref="D965:F965"/>
    <mergeCell ref="E966:F966"/>
    <mergeCell ref="E967:F967"/>
    <mergeCell ref="E968:F968"/>
    <mergeCell ref="E969:F969"/>
    <mergeCell ref="A970:C970"/>
    <mergeCell ref="D970:F970"/>
    <mergeCell ref="A971:C971"/>
    <mergeCell ref="D971:F971"/>
    <mergeCell ref="D972:F972"/>
    <mergeCell ref="E973:F973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A984:C984"/>
    <mergeCell ref="D984:F984"/>
    <mergeCell ref="A985:C985"/>
    <mergeCell ref="D985:F985"/>
    <mergeCell ref="D986:F986"/>
    <mergeCell ref="E987:F987"/>
    <mergeCell ref="E988:F988"/>
    <mergeCell ref="E989:F989"/>
    <mergeCell ref="E990:F990"/>
    <mergeCell ref="E991:F991"/>
    <mergeCell ref="A992:C992"/>
    <mergeCell ref="D992:F992"/>
    <mergeCell ref="A993:C993"/>
    <mergeCell ref="D993:F993"/>
    <mergeCell ref="D994:F994"/>
    <mergeCell ref="E995:F995"/>
    <mergeCell ref="E996:F996"/>
    <mergeCell ref="E997:F997"/>
    <mergeCell ref="E998:F998"/>
    <mergeCell ref="E999:F999"/>
    <mergeCell ref="A1000:C1000"/>
    <mergeCell ref="D1000:F1000"/>
    <mergeCell ref="A1001:C1001"/>
    <mergeCell ref="D1001:F1001"/>
    <mergeCell ref="D1002:F1002"/>
    <mergeCell ref="E1003:F1003"/>
    <mergeCell ref="E1004:F1004"/>
    <mergeCell ref="E1005:F1005"/>
    <mergeCell ref="A1006:C1006"/>
    <mergeCell ref="D1006:F1006"/>
    <mergeCell ref="A1007:C1007"/>
    <mergeCell ref="D1007:F1007"/>
    <mergeCell ref="D1008:F1008"/>
    <mergeCell ref="E1009:F1009"/>
    <mergeCell ref="E1010:F1010"/>
    <mergeCell ref="E1011:F1011"/>
    <mergeCell ref="E1012:F1012"/>
    <mergeCell ref="E1013:F1013"/>
    <mergeCell ref="A1014:C1014"/>
    <mergeCell ref="D1014:F1014"/>
    <mergeCell ref="D1015:F1015"/>
    <mergeCell ref="E1016:F1016"/>
    <mergeCell ref="A1017:C1017"/>
    <mergeCell ref="D1017:F1017"/>
    <mergeCell ref="A1018:C1018"/>
    <mergeCell ref="D1018:F1018"/>
    <mergeCell ref="A1019:C1019"/>
    <mergeCell ref="D1019:F1019"/>
    <mergeCell ref="D1020:F1020"/>
    <mergeCell ref="E1021:F1021"/>
    <mergeCell ref="E1022:F1022"/>
    <mergeCell ref="E1023:F1023"/>
    <mergeCell ref="E1024:F1024"/>
    <mergeCell ref="E1025:F1025"/>
    <mergeCell ref="E1026:F1026"/>
    <mergeCell ref="E1027:F1027"/>
    <mergeCell ref="A1028:C1028"/>
    <mergeCell ref="D1028:F1028"/>
    <mergeCell ref="D1029:F1029"/>
    <mergeCell ref="E1030:F1030"/>
    <mergeCell ref="E1031:F1031"/>
    <mergeCell ref="A1032:C1032"/>
    <mergeCell ref="D1032:F1032"/>
    <mergeCell ref="A1033:C1033"/>
    <mergeCell ref="D1033:F1033"/>
    <mergeCell ref="A1038:C1038"/>
    <mergeCell ref="A1041:C1041"/>
    <mergeCell ref="A1044:C1044"/>
    <mergeCell ref="A1045:C1045"/>
    <mergeCell ref="D1034:F1034"/>
    <mergeCell ref="E1035:F1035"/>
    <mergeCell ref="E1036:F1036"/>
    <mergeCell ref="E1037:F1037"/>
    <mergeCell ref="D1038:F1038"/>
    <mergeCell ref="D1039:F1039"/>
    <mergeCell ref="E1040:F1040"/>
    <mergeCell ref="D1041:F1041"/>
    <mergeCell ref="D1042:F1042"/>
    <mergeCell ref="E1043:F1043"/>
    <mergeCell ref="D1044:F1044"/>
    <mergeCell ref="D1045:F1045"/>
    <mergeCell ref="D1046:F1046"/>
    <mergeCell ref="E1047:F1047"/>
    <mergeCell ref="D1089:F1089"/>
    <mergeCell ref="D1090:F1090"/>
    <mergeCell ref="E1091:F1091"/>
    <mergeCell ref="E1092:F1092"/>
    <mergeCell ref="E1082:F1082"/>
    <mergeCell ref="D1083:F1083"/>
    <mergeCell ref="D1084:F1084"/>
    <mergeCell ref="D1085:F1085"/>
    <mergeCell ref="E1086:F1086"/>
    <mergeCell ref="E1087:F1087"/>
    <mergeCell ref="E1088:F1088"/>
  </mergeCells>
  <printOptions/>
  <pageMargins bottom="0.0" footer="0.0" header="0.0" left="0.0" right="0.0" top="0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0.14"/>
    <col customWidth="1" min="2" max="2" width="5.43"/>
    <col customWidth="1" min="3" max="3" width="12.57"/>
    <col customWidth="1" min="4" max="4" width="44.57"/>
    <col customWidth="1" min="5" max="6" width="4.14"/>
    <col customWidth="1" min="7" max="7" width="11.57"/>
    <col customWidth="1" min="8" max="8" width="14.14"/>
    <col customWidth="1" min="9" max="9" width="15.14"/>
    <col customWidth="1" min="10" max="12" width="10.86"/>
    <col customWidth="1" min="13" max="13" width="11.71"/>
    <col customWidth="1" min="14" max="14" width="14.71"/>
    <col customWidth="1" min="15" max="15" width="15.71"/>
    <col customWidth="1" min="16" max="16" width="17.71"/>
    <col customWidth="1" min="17" max="17" width="19.86"/>
    <col customWidth="1" min="18" max="18" width="17.14"/>
    <col customWidth="1" min="19" max="19" width="24.71"/>
    <col customWidth="1" min="20" max="21" width="21.29"/>
    <col customWidth="1" min="22" max="22" width="20.29"/>
    <col customWidth="1" min="23" max="25" width="17.14"/>
    <col customWidth="1" min="26" max="26" width="13.14"/>
    <col customWidth="1" min="27" max="27" width="18.14"/>
    <col customWidth="1" min="28" max="29" width="8.71"/>
  </cols>
  <sheetData>
    <row r="1" ht="14.25" customHeight="1">
      <c r="D1" s="159" t="s">
        <v>372</v>
      </c>
      <c r="L1" s="160"/>
    </row>
    <row r="2" ht="14.25" customHeight="1">
      <c r="C2" s="161"/>
      <c r="D2" s="162" t="s">
        <v>373</v>
      </c>
      <c r="E2" s="161"/>
      <c r="F2" s="161"/>
      <c r="G2" s="161"/>
      <c r="H2" s="161"/>
      <c r="I2" s="14" t="s">
        <v>374</v>
      </c>
      <c r="J2" s="14" t="s">
        <v>375</v>
      </c>
      <c r="K2" s="14" t="s">
        <v>376</v>
      </c>
      <c r="L2" s="14" t="s">
        <v>377</v>
      </c>
      <c r="M2" s="14" t="s">
        <v>378</v>
      </c>
      <c r="N2" s="163" t="s">
        <v>379</v>
      </c>
      <c r="O2" s="14" t="s">
        <v>380</v>
      </c>
      <c r="P2" s="14" t="s">
        <v>381</v>
      </c>
      <c r="Q2" s="14" t="s">
        <v>382</v>
      </c>
      <c r="R2" s="14" t="s">
        <v>383</v>
      </c>
      <c r="S2" s="14" t="s">
        <v>384</v>
      </c>
      <c r="T2" s="14" t="s">
        <v>385</v>
      </c>
      <c r="U2" s="14" t="s">
        <v>386</v>
      </c>
      <c r="V2" s="14" t="s">
        <v>387</v>
      </c>
      <c r="W2" s="163" t="s">
        <v>388</v>
      </c>
      <c r="X2" s="163" t="s">
        <v>389</v>
      </c>
      <c r="Y2" s="14" t="s">
        <v>390</v>
      </c>
      <c r="Z2" s="14" t="s">
        <v>223</v>
      </c>
    </row>
    <row r="3" ht="14.25" customHeight="1">
      <c r="C3" s="164" t="s">
        <v>391</v>
      </c>
      <c r="D3" s="159" t="s">
        <v>392</v>
      </c>
      <c r="E3" s="165"/>
      <c r="F3" s="12"/>
      <c r="G3" s="12"/>
      <c r="H3" s="13"/>
      <c r="I3" s="166"/>
      <c r="J3" s="166"/>
      <c r="K3" s="166"/>
      <c r="L3" s="167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</row>
    <row r="4" ht="14.25" customHeight="1">
      <c r="C4" s="168" t="s">
        <v>393</v>
      </c>
      <c r="D4" s="159" t="s">
        <v>394</v>
      </c>
      <c r="E4" s="169"/>
      <c r="F4" s="169"/>
      <c r="G4" s="169"/>
      <c r="H4" s="170">
        <f t="shared" ref="H4:M4" si="1">H6+H9+H12</f>
        <v>5686500000</v>
      </c>
      <c r="I4" s="170">
        <f t="shared" si="1"/>
        <v>24385727</v>
      </c>
      <c r="J4" s="170">
        <f t="shared" si="1"/>
        <v>0</v>
      </c>
      <c r="K4" s="170">
        <f t="shared" si="1"/>
        <v>600000</v>
      </c>
      <c r="L4" s="170">
        <f t="shared" si="1"/>
        <v>0</v>
      </c>
      <c r="M4" s="170">
        <f t="shared" si="1"/>
        <v>0</v>
      </c>
      <c r="N4" s="170">
        <f>N6+N9</f>
        <v>72404051</v>
      </c>
      <c r="O4" s="170">
        <f t="shared" ref="O4:X4" si="2">O6+O9+O12</f>
        <v>62626091</v>
      </c>
      <c r="P4" s="170">
        <f t="shared" si="2"/>
        <v>0</v>
      </c>
      <c r="Q4" s="170">
        <f t="shared" si="2"/>
        <v>0</v>
      </c>
      <c r="R4" s="170">
        <f t="shared" si="2"/>
        <v>0</v>
      </c>
      <c r="S4" s="170">
        <f t="shared" si="2"/>
        <v>0</v>
      </c>
      <c r="T4" s="170">
        <f t="shared" si="2"/>
        <v>0</v>
      </c>
      <c r="U4" s="170">
        <f t="shared" si="2"/>
        <v>0</v>
      </c>
      <c r="V4" s="170">
        <f t="shared" si="2"/>
        <v>0</v>
      </c>
      <c r="W4" s="170">
        <f t="shared" si="2"/>
        <v>94096178</v>
      </c>
      <c r="X4" s="170">
        <f t="shared" si="2"/>
        <v>177967879</v>
      </c>
      <c r="Y4" s="171">
        <f>SUM(I4:X4)</f>
        <v>432079926</v>
      </c>
      <c r="Z4" s="171">
        <f t="shared" ref="Z4:Z14" si="3">H4-Y4</f>
        <v>5254420074</v>
      </c>
    </row>
    <row r="5" ht="14.25" customHeight="1">
      <c r="C5" s="168" t="s">
        <v>82</v>
      </c>
      <c r="D5" s="159" t="s">
        <v>395</v>
      </c>
      <c r="E5" s="169"/>
      <c r="F5" s="169"/>
      <c r="G5" s="169"/>
      <c r="H5" s="169"/>
      <c r="I5" s="166"/>
      <c r="J5" s="166"/>
      <c r="K5" s="166"/>
      <c r="L5" s="167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71">
        <f>SUM(I5:W5)</f>
        <v>0</v>
      </c>
      <c r="Z5" s="172">
        <f t="shared" si="3"/>
        <v>0</v>
      </c>
    </row>
    <row r="6" ht="14.25" customHeight="1">
      <c r="C6" s="161">
        <v>521111.0</v>
      </c>
      <c r="D6" s="173" t="s">
        <v>396</v>
      </c>
      <c r="E6" s="174"/>
      <c r="F6" s="12"/>
      <c r="G6" s="13"/>
      <c r="H6" s="175">
        <f t="shared" ref="H6:M6" si="4">H7+H8</f>
        <v>2835000000</v>
      </c>
      <c r="I6" s="175">
        <f t="shared" si="4"/>
        <v>24385727</v>
      </c>
      <c r="J6" s="175">
        <f t="shared" si="4"/>
        <v>0</v>
      </c>
      <c r="K6" s="175">
        <f t="shared" si="4"/>
        <v>600000</v>
      </c>
      <c r="L6" s="175">
        <f t="shared" si="4"/>
        <v>0</v>
      </c>
      <c r="M6" s="175">
        <f t="shared" si="4"/>
        <v>0</v>
      </c>
      <c r="N6" s="175">
        <f>N7</f>
        <v>51804051</v>
      </c>
      <c r="O6" s="175">
        <f t="shared" ref="O6:X6" si="5">O7+O8</f>
        <v>19751171</v>
      </c>
      <c r="P6" s="175">
        <f t="shared" si="5"/>
        <v>0</v>
      </c>
      <c r="Q6" s="175">
        <f t="shared" si="5"/>
        <v>0</v>
      </c>
      <c r="R6" s="175">
        <f t="shared" si="5"/>
        <v>0</v>
      </c>
      <c r="S6" s="175">
        <f t="shared" si="5"/>
        <v>0</v>
      </c>
      <c r="T6" s="175">
        <f t="shared" si="5"/>
        <v>0</v>
      </c>
      <c r="U6" s="175">
        <f t="shared" si="5"/>
        <v>0</v>
      </c>
      <c r="V6" s="175">
        <f t="shared" si="5"/>
        <v>0</v>
      </c>
      <c r="W6" s="175">
        <f t="shared" si="5"/>
        <v>80258000</v>
      </c>
      <c r="X6" s="176">
        <f t="shared" si="5"/>
        <v>140259131</v>
      </c>
      <c r="Y6" s="171">
        <f t="shared" ref="Y6:Y14" si="6">SUM(I6:X6)</f>
        <v>317058080</v>
      </c>
      <c r="Z6" s="171">
        <f t="shared" si="3"/>
        <v>2517941920</v>
      </c>
    </row>
    <row r="7" ht="14.25" customHeight="1">
      <c r="C7" s="177"/>
      <c r="D7" s="178" t="s">
        <v>397</v>
      </c>
      <c r="E7" s="179">
        <v>180.0</v>
      </c>
      <c r="F7" s="180" t="s">
        <v>97</v>
      </c>
      <c r="G7" s="180">
        <v>1.5E7</v>
      </c>
      <c r="H7" s="181">
        <f t="shared" ref="H7:H8" si="7">G7*E7</f>
        <v>2700000000</v>
      </c>
      <c r="I7" s="182">
        <v>2.4385727E7</v>
      </c>
      <c r="J7" s="183"/>
      <c r="K7" s="166"/>
      <c r="L7" s="166"/>
      <c r="M7" s="166"/>
      <c r="N7" s="184">
        <v>5.1804051E7</v>
      </c>
      <c r="O7" s="184">
        <v>1.6360936E7</v>
      </c>
      <c r="P7" s="166"/>
      <c r="Q7" s="166"/>
      <c r="R7" s="166"/>
      <c r="S7" s="166"/>
      <c r="T7" s="166"/>
      <c r="U7" s="166"/>
      <c r="V7" s="166"/>
      <c r="W7" s="185">
        <v>7.9208E7</v>
      </c>
      <c r="X7" s="185">
        <v>1.40259131E8</v>
      </c>
      <c r="Y7" s="171">
        <f t="shared" si="6"/>
        <v>312017845</v>
      </c>
      <c r="Z7" s="172">
        <f t="shared" si="3"/>
        <v>2387982155</v>
      </c>
    </row>
    <row r="8" ht="14.25" customHeight="1">
      <c r="C8" s="18"/>
      <c r="D8" s="178" t="s">
        <v>398</v>
      </c>
      <c r="E8" s="179">
        <v>180.0</v>
      </c>
      <c r="F8" s="180" t="s">
        <v>97</v>
      </c>
      <c r="G8" s="180">
        <v>750000.0</v>
      </c>
      <c r="H8" s="181">
        <f t="shared" si="7"/>
        <v>135000000</v>
      </c>
      <c r="I8" s="166"/>
      <c r="J8" s="166"/>
      <c r="K8" s="186">
        <v>600000.0</v>
      </c>
      <c r="L8" s="166"/>
      <c r="M8" s="166"/>
      <c r="N8" s="184"/>
      <c r="O8" s="184">
        <v>3390235.0</v>
      </c>
      <c r="P8" s="166"/>
      <c r="Q8" s="166"/>
      <c r="R8" s="166"/>
      <c r="S8" s="166"/>
      <c r="T8" s="166"/>
      <c r="U8" s="166"/>
      <c r="V8" s="166"/>
      <c r="W8" s="186">
        <v>1050000.0</v>
      </c>
      <c r="X8" s="186"/>
      <c r="Y8" s="171">
        <f t="shared" si="6"/>
        <v>5040235</v>
      </c>
      <c r="Z8" s="172">
        <f t="shared" si="3"/>
        <v>129959765</v>
      </c>
    </row>
    <row r="9" ht="14.25" customHeight="1">
      <c r="C9" s="161">
        <v>522141.0</v>
      </c>
      <c r="D9" s="159" t="s">
        <v>48</v>
      </c>
      <c r="E9" s="165"/>
      <c r="F9" s="12"/>
      <c r="G9" s="13"/>
      <c r="H9" s="187">
        <f t="shared" ref="H9:M9" si="8">H10+H11</f>
        <v>151500000</v>
      </c>
      <c r="I9" s="187">
        <f t="shared" si="8"/>
        <v>0</v>
      </c>
      <c r="J9" s="187">
        <f t="shared" si="8"/>
        <v>0</v>
      </c>
      <c r="K9" s="187">
        <f t="shared" si="8"/>
        <v>0</v>
      </c>
      <c r="L9" s="187">
        <f t="shared" si="8"/>
        <v>0</v>
      </c>
      <c r="M9" s="187">
        <f t="shared" si="8"/>
        <v>0</v>
      </c>
      <c r="N9" s="188">
        <v>2.06E7</v>
      </c>
      <c r="O9" s="187">
        <f t="shared" ref="O9:X9" si="9">O10+O11</f>
        <v>0</v>
      </c>
      <c r="P9" s="187">
        <f t="shared" si="9"/>
        <v>0</v>
      </c>
      <c r="Q9" s="187">
        <f t="shared" si="9"/>
        <v>0</v>
      </c>
      <c r="R9" s="187">
        <f t="shared" si="9"/>
        <v>0</v>
      </c>
      <c r="S9" s="187">
        <f t="shared" si="9"/>
        <v>0</v>
      </c>
      <c r="T9" s="187">
        <f t="shared" si="9"/>
        <v>0</v>
      </c>
      <c r="U9" s="187">
        <f t="shared" si="9"/>
        <v>0</v>
      </c>
      <c r="V9" s="187">
        <f t="shared" si="9"/>
        <v>0</v>
      </c>
      <c r="W9" s="187">
        <f t="shared" si="9"/>
        <v>0</v>
      </c>
      <c r="X9" s="187">
        <f t="shared" si="9"/>
        <v>22000000</v>
      </c>
      <c r="Y9" s="171">
        <f t="shared" si="6"/>
        <v>42600000</v>
      </c>
      <c r="Z9" s="171">
        <f t="shared" si="3"/>
        <v>108900000</v>
      </c>
    </row>
    <row r="10" ht="14.25" customHeight="1">
      <c r="C10" s="177"/>
      <c r="D10" s="189" t="s">
        <v>399</v>
      </c>
      <c r="E10" s="179">
        <v>135.0</v>
      </c>
      <c r="F10" s="180" t="s">
        <v>97</v>
      </c>
      <c r="G10" s="180">
        <v>900000.0</v>
      </c>
      <c r="H10" s="190">
        <f t="shared" ref="H10:H11" si="10">G10*E10</f>
        <v>121500000</v>
      </c>
      <c r="I10" s="166"/>
      <c r="J10" s="166"/>
      <c r="K10" s="166"/>
      <c r="L10" s="166"/>
      <c r="M10" s="166"/>
      <c r="N10" s="191"/>
      <c r="O10" s="191"/>
      <c r="P10" s="166"/>
      <c r="Q10" s="166"/>
      <c r="R10" s="166"/>
      <c r="S10" s="166"/>
      <c r="T10" s="166"/>
      <c r="U10" s="166"/>
      <c r="V10" s="166"/>
      <c r="W10" s="166"/>
      <c r="X10" s="166"/>
      <c r="Y10" s="171">
        <f t="shared" si="6"/>
        <v>0</v>
      </c>
      <c r="Z10" s="172">
        <f t="shared" si="3"/>
        <v>121500000</v>
      </c>
    </row>
    <row r="11" ht="14.25" customHeight="1">
      <c r="C11" s="18"/>
      <c r="D11" s="189" t="s">
        <v>400</v>
      </c>
      <c r="E11" s="179">
        <v>15.0</v>
      </c>
      <c r="F11" s="180" t="s">
        <v>97</v>
      </c>
      <c r="G11" s="180">
        <v>2000000.0</v>
      </c>
      <c r="H11" s="190">
        <f t="shared" si="10"/>
        <v>30000000</v>
      </c>
      <c r="I11" s="166"/>
      <c r="J11" s="166"/>
      <c r="K11" s="166"/>
      <c r="L11" s="166"/>
      <c r="M11" s="166"/>
      <c r="N11" s="191"/>
      <c r="O11" s="191"/>
      <c r="P11" s="166"/>
      <c r="Q11" s="166"/>
      <c r="R11" s="166"/>
      <c r="S11" s="166"/>
      <c r="T11" s="166"/>
      <c r="U11" s="166"/>
      <c r="V11" s="166"/>
      <c r="W11" s="166"/>
      <c r="X11" s="186">
        <v>2.2E7</v>
      </c>
      <c r="Y11" s="171">
        <f t="shared" si="6"/>
        <v>22000000</v>
      </c>
      <c r="Z11" s="172">
        <f t="shared" si="3"/>
        <v>8000000</v>
      </c>
    </row>
    <row r="12" ht="14.25" customHeight="1">
      <c r="C12" s="161">
        <v>522191.0</v>
      </c>
      <c r="D12" s="173" t="s">
        <v>401</v>
      </c>
      <c r="E12" s="174"/>
      <c r="F12" s="12"/>
      <c r="G12" s="13"/>
      <c r="H12" s="175">
        <f t="shared" ref="H12:M12" si="11">H14</f>
        <v>2700000000</v>
      </c>
      <c r="I12" s="175" t="str">
        <f t="shared" si="11"/>
        <v/>
      </c>
      <c r="J12" s="175" t="str">
        <f t="shared" si="11"/>
        <v/>
      </c>
      <c r="K12" s="175" t="str">
        <f t="shared" si="11"/>
        <v/>
      </c>
      <c r="L12" s="175" t="str">
        <f t="shared" si="11"/>
        <v/>
      </c>
      <c r="M12" s="175" t="str">
        <f t="shared" si="11"/>
        <v/>
      </c>
      <c r="N12" s="192"/>
      <c r="O12" s="192">
        <v>4.287492E7</v>
      </c>
      <c r="P12" s="175" t="str">
        <f t="shared" ref="P12:X12" si="12">P14</f>
        <v/>
      </c>
      <c r="Q12" s="175" t="str">
        <f t="shared" si="12"/>
        <v/>
      </c>
      <c r="R12" s="175" t="str">
        <f t="shared" si="12"/>
        <v/>
      </c>
      <c r="S12" s="175" t="str">
        <f t="shared" si="12"/>
        <v/>
      </c>
      <c r="T12" s="175" t="str">
        <f t="shared" si="12"/>
        <v/>
      </c>
      <c r="U12" s="175" t="str">
        <f t="shared" si="12"/>
        <v/>
      </c>
      <c r="V12" s="175" t="str">
        <f t="shared" si="12"/>
        <v/>
      </c>
      <c r="W12" s="175">
        <f t="shared" si="12"/>
        <v>13838178</v>
      </c>
      <c r="X12" s="176">
        <f t="shared" si="12"/>
        <v>15708748</v>
      </c>
      <c r="Y12" s="171">
        <f t="shared" si="6"/>
        <v>72421846</v>
      </c>
      <c r="Z12" s="171">
        <f t="shared" si="3"/>
        <v>2627578154</v>
      </c>
    </row>
    <row r="13" ht="14.25" customHeight="1">
      <c r="C13" s="166"/>
      <c r="D13" s="166" t="s">
        <v>402</v>
      </c>
      <c r="E13" s="166"/>
      <c r="F13" s="166"/>
      <c r="G13" s="166"/>
      <c r="H13" s="166"/>
      <c r="I13" s="166"/>
      <c r="J13" s="166"/>
      <c r="K13" s="166"/>
      <c r="L13" s="167"/>
      <c r="M13" s="166"/>
      <c r="N13" s="191"/>
      <c r="O13" s="191"/>
      <c r="P13" s="166"/>
      <c r="Q13" s="166"/>
      <c r="R13" s="166"/>
      <c r="S13" s="166"/>
      <c r="T13" s="166"/>
      <c r="U13" s="166"/>
      <c r="V13" s="166"/>
      <c r="W13" s="166"/>
      <c r="X13" s="166"/>
      <c r="Y13" s="171">
        <f t="shared" si="6"/>
        <v>0</v>
      </c>
      <c r="Z13" s="172">
        <f t="shared" si="3"/>
        <v>0</v>
      </c>
    </row>
    <row r="14" ht="14.25" customHeight="1">
      <c r="C14" s="166"/>
      <c r="D14" s="166" t="s">
        <v>403</v>
      </c>
      <c r="E14" s="193">
        <v>180.0</v>
      </c>
      <c r="F14" s="166" t="s">
        <v>97</v>
      </c>
      <c r="G14" s="167">
        <v>1.5E7</v>
      </c>
      <c r="H14" s="167">
        <f>E14*G14</f>
        <v>2700000000</v>
      </c>
      <c r="I14" s="166"/>
      <c r="J14" s="166"/>
      <c r="K14" s="166"/>
      <c r="L14" s="167"/>
      <c r="M14" s="166"/>
      <c r="N14" s="184"/>
      <c r="O14" s="184">
        <f>7536510+9610060+8497760+17230590</f>
        <v>42874920</v>
      </c>
      <c r="P14" s="166"/>
      <c r="Q14" s="166"/>
      <c r="R14" s="166"/>
      <c r="S14" s="166"/>
      <c r="T14" s="166"/>
      <c r="U14" s="166"/>
      <c r="V14" s="166"/>
      <c r="W14" s="194">
        <v>1.3838178E7</v>
      </c>
      <c r="X14" s="194">
        <v>1.5708748E7</v>
      </c>
      <c r="Y14" s="171">
        <f t="shared" si="6"/>
        <v>72421846</v>
      </c>
      <c r="Z14" s="171">
        <f t="shared" si="3"/>
        <v>2627578154</v>
      </c>
    </row>
    <row r="15" ht="14.25" customHeight="1">
      <c r="L15" s="160"/>
      <c r="N15" s="195"/>
      <c r="O15" s="195"/>
    </row>
    <row r="16" ht="14.25" customHeight="1">
      <c r="L16" s="160"/>
      <c r="N16" s="195"/>
      <c r="O16" s="195"/>
    </row>
    <row r="17" ht="14.25" customHeight="1">
      <c r="L17" s="160"/>
      <c r="N17" s="196"/>
      <c r="O17" s="196" t="s">
        <v>404</v>
      </c>
    </row>
    <row r="18" ht="14.25" customHeight="1">
      <c r="L18" s="160"/>
      <c r="N18" s="196"/>
      <c r="O18" s="196">
        <v>76500.0</v>
      </c>
    </row>
    <row r="19" ht="14.25" customHeight="1">
      <c r="L19" s="160"/>
      <c r="N19" s="196"/>
      <c r="O19" s="196" t="s">
        <v>405</v>
      </c>
    </row>
    <row r="20" ht="14.25" customHeight="1">
      <c r="L20" s="160"/>
      <c r="N20" s="196"/>
      <c r="O20" s="196">
        <v>2800000.0</v>
      </c>
    </row>
    <row r="21" ht="14.25" customHeight="1">
      <c r="L21" s="160"/>
    </row>
    <row r="22" ht="14.25" customHeight="1">
      <c r="L22" s="160"/>
    </row>
    <row r="23" ht="14.25" customHeight="1">
      <c r="L23" s="160"/>
    </row>
    <row r="24" ht="14.25" customHeight="1">
      <c r="L24" s="160"/>
    </row>
    <row r="25" ht="14.25" customHeight="1">
      <c r="L25" s="160"/>
    </row>
    <row r="26" ht="14.25" customHeight="1">
      <c r="L26" s="160"/>
    </row>
    <row r="27" ht="14.25" customHeight="1">
      <c r="L27" s="160"/>
    </row>
    <row r="28" ht="14.25" customHeight="1">
      <c r="L28" s="160"/>
    </row>
    <row r="29" ht="14.25" customHeight="1">
      <c r="L29" s="160"/>
    </row>
    <row r="30" ht="14.25" customHeight="1">
      <c r="L30" s="160"/>
    </row>
    <row r="31" ht="14.25" customHeight="1">
      <c r="L31" s="160"/>
    </row>
    <row r="32" ht="14.25" customHeight="1">
      <c r="L32" s="160"/>
    </row>
    <row r="33" ht="14.25" customHeight="1">
      <c r="L33" s="160"/>
    </row>
    <row r="34" ht="14.25" customHeight="1">
      <c r="L34" s="160"/>
    </row>
    <row r="35" ht="14.25" customHeight="1">
      <c r="L35" s="160"/>
    </row>
    <row r="36" ht="14.25" customHeight="1">
      <c r="L36" s="160"/>
    </row>
    <row r="37" ht="14.25" customHeight="1">
      <c r="L37" s="160"/>
    </row>
    <row r="38" ht="14.25" customHeight="1">
      <c r="L38" s="160"/>
    </row>
    <row r="39" ht="14.25" customHeight="1">
      <c r="L39" s="160"/>
    </row>
    <row r="40" ht="14.25" customHeight="1">
      <c r="L40" s="160"/>
    </row>
    <row r="41" ht="14.25" customHeight="1">
      <c r="L41" s="160"/>
    </row>
    <row r="42" ht="14.25" customHeight="1">
      <c r="L42" s="160"/>
    </row>
    <row r="43" ht="14.25" customHeight="1">
      <c r="L43" s="160"/>
    </row>
    <row r="44" ht="14.25" customHeight="1">
      <c r="L44" s="160"/>
    </row>
    <row r="45" ht="14.25" customHeight="1">
      <c r="L45" s="160"/>
    </row>
    <row r="46" ht="14.25" customHeight="1">
      <c r="L46" s="160"/>
    </row>
    <row r="47" ht="14.25" customHeight="1">
      <c r="L47" s="160"/>
    </row>
    <row r="48" ht="14.25" customHeight="1">
      <c r="L48" s="160"/>
    </row>
    <row r="49" ht="14.25" customHeight="1">
      <c r="L49" s="160"/>
    </row>
    <row r="50" ht="14.25" customHeight="1">
      <c r="L50" s="160"/>
    </row>
    <row r="51" ht="14.25" customHeight="1">
      <c r="L51" s="160"/>
    </row>
    <row r="52" ht="14.25" customHeight="1">
      <c r="L52" s="160"/>
    </row>
    <row r="53" ht="14.25" customHeight="1">
      <c r="L53" s="160"/>
    </row>
    <row r="54" ht="14.25" customHeight="1">
      <c r="L54" s="160"/>
    </row>
    <row r="55" ht="14.25" customHeight="1">
      <c r="L55" s="160"/>
    </row>
    <row r="56" ht="14.25" customHeight="1">
      <c r="L56" s="160"/>
    </row>
    <row r="57" ht="14.25" customHeight="1">
      <c r="L57" s="160"/>
    </row>
    <row r="58" ht="14.25" customHeight="1">
      <c r="L58" s="160"/>
    </row>
    <row r="59" ht="14.25" customHeight="1">
      <c r="L59" s="160"/>
    </row>
    <row r="60" ht="14.25" customHeight="1">
      <c r="L60" s="160"/>
    </row>
    <row r="61" ht="14.25" customHeight="1">
      <c r="L61" s="160"/>
    </row>
    <row r="62" ht="14.25" customHeight="1">
      <c r="L62" s="160"/>
    </row>
    <row r="63" ht="14.25" customHeight="1">
      <c r="L63" s="160"/>
    </row>
    <row r="64" ht="14.25" customHeight="1">
      <c r="L64" s="160"/>
    </row>
    <row r="65" ht="14.25" customHeight="1">
      <c r="L65" s="160"/>
    </row>
    <row r="66" ht="14.25" customHeight="1">
      <c r="L66" s="160"/>
    </row>
    <row r="67" ht="14.25" customHeight="1">
      <c r="L67" s="160"/>
    </row>
    <row r="68" ht="14.25" customHeight="1">
      <c r="L68" s="160"/>
    </row>
    <row r="69" ht="14.25" customHeight="1">
      <c r="L69" s="160"/>
    </row>
    <row r="70" ht="14.25" customHeight="1">
      <c r="L70" s="160"/>
    </row>
    <row r="71" ht="14.25" customHeight="1">
      <c r="L71" s="160"/>
    </row>
    <row r="72" ht="14.25" customHeight="1">
      <c r="L72" s="160"/>
    </row>
    <row r="73" ht="14.25" customHeight="1">
      <c r="L73" s="160"/>
    </row>
    <row r="74" ht="14.25" customHeight="1">
      <c r="L74" s="160"/>
    </row>
    <row r="75" ht="14.25" customHeight="1">
      <c r="L75" s="160"/>
    </row>
    <row r="76" ht="14.25" customHeight="1">
      <c r="L76" s="160"/>
    </row>
    <row r="77" ht="14.25" customHeight="1">
      <c r="L77" s="160"/>
    </row>
    <row r="78" ht="14.25" customHeight="1">
      <c r="L78" s="160"/>
    </row>
    <row r="79" ht="14.25" customHeight="1">
      <c r="L79" s="160"/>
    </row>
    <row r="80" ht="14.25" customHeight="1">
      <c r="L80" s="160"/>
    </row>
    <row r="81" ht="14.25" customHeight="1">
      <c r="L81" s="160"/>
    </row>
    <row r="82" ht="14.25" customHeight="1">
      <c r="L82" s="160"/>
    </row>
    <row r="83" ht="14.25" customHeight="1">
      <c r="L83" s="160"/>
    </row>
    <row r="84" ht="14.25" customHeight="1">
      <c r="L84" s="160"/>
    </row>
    <row r="85" ht="14.25" customHeight="1">
      <c r="L85" s="160"/>
    </row>
    <row r="86" ht="14.25" customHeight="1">
      <c r="L86" s="160"/>
    </row>
    <row r="87" ht="14.25" customHeight="1">
      <c r="L87" s="160"/>
    </row>
    <row r="88" ht="14.25" customHeight="1">
      <c r="L88" s="160"/>
    </row>
    <row r="89" ht="14.25" customHeight="1">
      <c r="L89" s="160"/>
    </row>
    <row r="90" ht="14.25" customHeight="1">
      <c r="L90" s="160"/>
    </row>
    <row r="91" ht="14.25" customHeight="1">
      <c r="L91" s="160"/>
    </row>
    <row r="92" ht="14.25" customHeight="1">
      <c r="L92" s="160"/>
    </row>
    <row r="93" ht="14.25" customHeight="1">
      <c r="L93" s="160"/>
    </row>
    <row r="94" ht="14.25" customHeight="1">
      <c r="L94" s="160"/>
    </row>
    <row r="95" ht="14.25" customHeight="1">
      <c r="L95" s="160"/>
    </row>
    <row r="96" ht="14.25" customHeight="1">
      <c r="L96" s="160"/>
    </row>
    <row r="97" ht="14.25" customHeight="1">
      <c r="L97" s="160"/>
    </row>
    <row r="98" ht="14.25" customHeight="1">
      <c r="L98" s="160"/>
    </row>
    <row r="99" ht="14.25" customHeight="1">
      <c r="L99" s="160"/>
    </row>
    <row r="100" ht="14.25" customHeight="1">
      <c r="L100" s="160"/>
    </row>
    <row r="101" ht="14.25" customHeight="1">
      <c r="L101" s="160"/>
    </row>
    <row r="102" ht="14.25" customHeight="1">
      <c r="L102" s="160"/>
    </row>
    <row r="103" ht="14.25" customHeight="1">
      <c r="L103" s="160"/>
    </row>
    <row r="104" ht="14.25" customHeight="1">
      <c r="L104" s="160"/>
    </row>
    <row r="105" ht="14.25" customHeight="1">
      <c r="L105" s="160"/>
    </row>
    <row r="106" ht="14.25" customHeight="1">
      <c r="L106" s="160"/>
    </row>
    <row r="107" ht="14.25" customHeight="1">
      <c r="L107" s="160"/>
    </row>
    <row r="108" ht="14.25" customHeight="1">
      <c r="L108" s="160"/>
    </row>
    <row r="109" ht="14.25" customHeight="1">
      <c r="L109" s="160"/>
    </row>
    <row r="110" ht="14.25" customHeight="1">
      <c r="L110" s="160"/>
    </row>
    <row r="111" ht="14.25" customHeight="1">
      <c r="L111" s="160"/>
    </row>
    <row r="112" ht="14.25" customHeight="1">
      <c r="L112" s="160"/>
    </row>
    <row r="113" ht="14.25" customHeight="1">
      <c r="L113" s="160"/>
    </row>
    <row r="114" ht="14.25" customHeight="1">
      <c r="L114" s="160"/>
    </row>
    <row r="115" ht="14.25" customHeight="1">
      <c r="L115" s="160"/>
    </row>
    <row r="116" ht="14.25" customHeight="1">
      <c r="L116" s="160"/>
    </row>
    <row r="117" ht="14.25" customHeight="1">
      <c r="L117" s="160"/>
    </row>
    <row r="118" ht="14.25" customHeight="1">
      <c r="L118" s="160"/>
    </row>
    <row r="119" ht="14.25" customHeight="1">
      <c r="L119" s="160"/>
    </row>
    <row r="120" ht="14.25" customHeight="1">
      <c r="L120" s="160"/>
    </row>
    <row r="121" ht="14.25" customHeight="1">
      <c r="L121" s="160"/>
    </row>
    <row r="122" ht="14.25" customHeight="1">
      <c r="L122" s="160"/>
    </row>
    <row r="123" ht="14.25" customHeight="1">
      <c r="L123" s="160"/>
    </row>
    <row r="124" ht="14.25" customHeight="1">
      <c r="L124" s="160"/>
    </row>
    <row r="125" ht="14.25" customHeight="1">
      <c r="L125" s="160"/>
    </row>
    <row r="126" ht="14.25" customHeight="1">
      <c r="L126" s="160"/>
    </row>
    <row r="127" ht="14.25" customHeight="1">
      <c r="L127" s="160"/>
    </row>
    <row r="128" ht="14.25" customHeight="1">
      <c r="L128" s="160"/>
    </row>
    <row r="129" ht="14.25" customHeight="1">
      <c r="L129" s="160"/>
    </row>
    <row r="130" ht="14.25" customHeight="1">
      <c r="L130" s="160"/>
    </row>
    <row r="131" ht="14.25" customHeight="1">
      <c r="L131" s="160"/>
    </row>
    <row r="132" ht="14.25" customHeight="1">
      <c r="L132" s="160"/>
    </row>
    <row r="133" ht="14.25" customHeight="1">
      <c r="L133" s="160"/>
    </row>
    <row r="134" ht="14.25" customHeight="1">
      <c r="L134" s="160"/>
    </row>
    <row r="135" ht="14.25" customHeight="1">
      <c r="L135" s="160"/>
    </row>
    <row r="136" ht="14.25" customHeight="1">
      <c r="L136" s="160"/>
    </row>
    <row r="137" ht="14.25" customHeight="1">
      <c r="L137" s="160"/>
    </row>
    <row r="138" ht="14.25" customHeight="1">
      <c r="L138" s="160"/>
    </row>
    <row r="139" ht="14.25" customHeight="1">
      <c r="L139" s="160"/>
    </row>
    <row r="140" ht="14.25" customHeight="1">
      <c r="L140" s="160"/>
    </row>
    <row r="141" ht="14.25" customHeight="1">
      <c r="L141" s="160"/>
    </row>
    <row r="142" ht="14.25" customHeight="1">
      <c r="L142" s="160"/>
    </row>
    <row r="143" ht="14.25" customHeight="1">
      <c r="L143" s="160"/>
    </row>
    <row r="144" ht="14.25" customHeight="1">
      <c r="L144" s="160"/>
    </row>
    <row r="145" ht="14.25" customHeight="1">
      <c r="L145" s="160"/>
    </row>
    <row r="146" ht="14.25" customHeight="1">
      <c r="L146" s="160"/>
    </row>
    <row r="147" ht="14.25" customHeight="1">
      <c r="L147" s="160"/>
    </row>
    <row r="148" ht="14.25" customHeight="1">
      <c r="L148" s="160"/>
    </row>
    <row r="149" ht="14.25" customHeight="1">
      <c r="L149" s="160"/>
    </row>
    <row r="150" ht="14.25" customHeight="1">
      <c r="L150" s="160"/>
    </row>
    <row r="151" ht="14.25" customHeight="1">
      <c r="L151" s="160"/>
    </row>
    <row r="152" ht="14.25" customHeight="1">
      <c r="L152" s="160"/>
    </row>
    <row r="153" ht="14.25" customHeight="1">
      <c r="L153" s="160"/>
    </row>
    <row r="154" ht="14.25" customHeight="1">
      <c r="L154" s="160"/>
    </row>
    <row r="155" ht="14.25" customHeight="1">
      <c r="L155" s="160"/>
    </row>
    <row r="156" ht="14.25" customHeight="1">
      <c r="L156" s="160"/>
    </row>
    <row r="157" ht="14.25" customHeight="1">
      <c r="L157" s="160"/>
    </row>
    <row r="158" ht="14.25" customHeight="1">
      <c r="L158" s="160"/>
    </row>
    <row r="159" ht="14.25" customHeight="1">
      <c r="L159" s="160"/>
    </row>
    <row r="160" ht="14.25" customHeight="1">
      <c r="L160" s="160"/>
    </row>
    <row r="161" ht="14.25" customHeight="1">
      <c r="L161" s="160"/>
    </row>
    <row r="162" ht="14.25" customHeight="1">
      <c r="L162" s="160"/>
    </row>
    <row r="163" ht="14.25" customHeight="1">
      <c r="L163" s="160"/>
    </row>
    <row r="164" ht="14.25" customHeight="1">
      <c r="L164" s="160"/>
    </row>
    <row r="165" ht="14.25" customHeight="1">
      <c r="L165" s="160"/>
    </row>
    <row r="166" ht="14.25" customHeight="1">
      <c r="L166" s="160"/>
    </row>
    <row r="167" ht="14.25" customHeight="1">
      <c r="L167" s="160"/>
    </row>
    <row r="168" ht="14.25" customHeight="1">
      <c r="L168" s="160"/>
    </row>
    <row r="169" ht="14.25" customHeight="1">
      <c r="L169" s="160"/>
    </row>
    <row r="170" ht="14.25" customHeight="1">
      <c r="L170" s="160"/>
    </row>
    <row r="171" ht="14.25" customHeight="1">
      <c r="L171" s="160"/>
    </row>
    <row r="172" ht="14.25" customHeight="1">
      <c r="L172" s="160"/>
    </row>
    <row r="173" ht="14.25" customHeight="1">
      <c r="L173" s="160"/>
    </row>
    <row r="174" ht="14.25" customHeight="1">
      <c r="L174" s="160"/>
    </row>
    <row r="175" ht="14.25" customHeight="1">
      <c r="L175" s="160"/>
    </row>
    <row r="176" ht="14.25" customHeight="1">
      <c r="L176" s="160"/>
    </row>
    <row r="177" ht="14.25" customHeight="1">
      <c r="L177" s="160"/>
    </row>
    <row r="178" ht="14.25" customHeight="1">
      <c r="L178" s="160"/>
    </row>
    <row r="179" ht="14.25" customHeight="1">
      <c r="L179" s="160"/>
    </row>
    <row r="180" ht="14.25" customHeight="1">
      <c r="L180" s="160"/>
    </row>
    <row r="181" ht="14.25" customHeight="1">
      <c r="L181" s="160"/>
    </row>
    <row r="182" ht="14.25" customHeight="1">
      <c r="L182" s="160"/>
    </row>
    <row r="183" ht="14.25" customHeight="1">
      <c r="L183" s="160"/>
    </row>
    <row r="184" ht="14.25" customHeight="1">
      <c r="L184" s="160"/>
    </row>
    <row r="185" ht="14.25" customHeight="1">
      <c r="L185" s="160"/>
    </row>
    <row r="186" ht="14.25" customHeight="1">
      <c r="L186" s="160"/>
    </row>
    <row r="187" ht="14.25" customHeight="1">
      <c r="L187" s="160"/>
    </row>
    <row r="188" ht="14.25" customHeight="1">
      <c r="L188" s="160"/>
    </row>
    <row r="189" ht="14.25" customHeight="1">
      <c r="L189" s="160"/>
    </row>
    <row r="190" ht="14.25" customHeight="1">
      <c r="L190" s="160"/>
    </row>
    <row r="191" ht="14.25" customHeight="1">
      <c r="L191" s="160"/>
    </row>
    <row r="192" ht="14.25" customHeight="1">
      <c r="L192" s="160"/>
    </row>
    <row r="193" ht="14.25" customHeight="1">
      <c r="L193" s="160"/>
    </row>
    <row r="194" ht="14.25" customHeight="1">
      <c r="L194" s="160"/>
    </row>
    <row r="195" ht="14.25" customHeight="1">
      <c r="L195" s="160"/>
    </row>
    <row r="196" ht="14.25" customHeight="1">
      <c r="L196" s="160"/>
    </row>
    <row r="197" ht="14.25" customHeight="1">
      <c r="L197" s="160"/>
    </row>
    <row r="198" ht="14.25" customHeight="1">
      <c r="L198" s="160"/>
    </row>
    <row r="199" ht="14.25" customHeight="1">
      <c r="L199" s="160"/>
    </row>
    <row r="200" ht="14.25" customHeight="1">
      <c r="L200" s="160"/>
    </row>
    <row r="201" ht="14.25" customHeight="1">
      <c r="L201" s="160"/>
    </row>
    <row r="202" ht="14.25" customHeight="1">
      <c r="L202" s="160"/>
    </row>
    <row r="203" ht="14.25" customHeight="1">
      <c r="L203" s="160"/>
    </row>
    <row r="204" ht="14.25" customHeight="1">
      <c r="L204" s="160"/>
    </row>
    <row r="205" ht="14.25" customHeight="1">
      <c r="L205" s="160"/>
    </row>
    <row r="206" ht="14.25" customHeight="1">
      <c r="L206" s="160"/>
    </row>
    <row r="207" ht="14.25" customHeight="1">
      <c r="L207" s="160"/>
    </row>
    <row r="208" ht="14.25" customHeight="1">
      <c r="L208" s="160"/>
    </row>
    <row r="209" ht="14.25" customHeight="1">
      <c r="L209" s="160"/>
    </row>
    <row r="210" ht="14.25" customHeight="1">
      <c r="L210" s="160"/>
    </row>
    <row r="211" ht="14.25" customHeight="1">
      <c r="L211" s="160"/>
    </row>
    <row r="212" ht="14.25" customHeight="1">
      <c r="L212" s="160"/>
    </row>
    <row r="213" ht="14.25" customHeight="1">
      <c r="L213" s="160"/>
    </row>
    <row r="214" ht="14.25" customHeight="1">
      <c r="L214" s="160"/>
    </row>
    <row r="215" ht="14.25" customHeight="1">
      <c r="L215" s="160"/>
    </row>
    <row r="216" ht="14.25" customHeight="1">
      <c r="L216" s="160"/>
    </row>
    <row r="217" ht="14.25" customHeight="1">
      <c r="L217" s="160"/>
    </row>
    <row r="218" ht="14.25" customHeight="1">
      <c r="L218" s="160"/>
    </row>
    <row r="219" ht="14.25" customHeight="1">
      <c r="L219" s="160"/>
    </row>
    <row r="220" ht="14.25" customHeight="1">
      <c r="L220" s="160"/>
    </row>
    <row r="221" ht="14.25" customHeight="1">
      <c r="L221" s="160"/>
    </row>
    <row r="222" ht="14.25" customHeight="1">
      <c r="L222" s="160"/>
    </row>
    <row r="223" ht="14.25" customHeight="1">
      <c r="L223" s="160"/>
    </row>
    <row r="224" ht="14.25" customHeight="1">
      <c r="L224" s="160"/>
    </row>
    <row r="225" ht="14.25" customHeight="1">
      <c r="L225" s="160"/>
    </row>
    <row r="226" ht="14.25" customHeight="1">
      <c r="L226" s="160"/>
    </row>
    <row r="227" ht="14.25" customHeight="1">
      <c r="L227" s="160"/>
    </row>
    <row r="228" ht="14.25" customHeight="1">
      <c r="L228" s="160"/>
    </row>
    <row r="229" ht="14.25" customHeight="1">
      <c r="L229" s="160"/>
    </row>
    <row r="230" ht="14.25" customHeight="1">
      <c r="L230" s="160"/>
    </row>
    <row r="231" ht="14.25" customHeight="1">
      <c r="L231" s="160"/>
    </row>
    <row r="232" ht="14.25" customHeight="1">
      <c r="L232" s="160"/>
    </row>
    <row r="233" ht="14.25" customHeight="1">
      <c r="L233" s="160"/>
    </row>
    <row r="234" ht="14.25" customHeight="1">
      <c r="L234" s="160"/>
    </row>
    <row r="235" ht="14.25" customHeight="1">
      <c r="L235" s="160"/>
    </row>
    <row r="236" ht="14.25" customHeight="1">
      <c r="L236" s="160"/>
    </row>
    <row r="237" ht="14.25" customHeight="1">
      <c r="L237" s="160"/>
    </row>
    <row r="238" ht="14.25" customHeight="1">
      <c r="L238" s="160"/>
    </row>
    <row r="239" ht="14.25" customHeight="1">
      <c r="L239" s="160"/>
    </row>
    <row r="240" ht="14.25" customHeight="1">
      <c r="L240" s="160"/>
    </row>
    <row r="241" ht="14.25" customHeight="1">
      <c r="L241" s="160"/>
    </row>
    <row r="242" ht="14.25" customHeight="1">
      <c r="L242" s="160"/>
    </row>
    <row r="243" ht="14.25" customHeight="1">
      <c r="L243" s="160"/>
    </row>
    <row r="244" ht="14.25" customHeight="1">
      <c r="L244" s="160"/>
    </row>
    <row r="245" ht="14.25" customHeight="1">
      <c r="L245" s="160"/>
    </row>
    <row r="246" ht="14.25" customHeight="1">
      <c r="L246" s="160"/>
    </row>
    <row r="247" ht="14.25" customHeight="1">
      <c r="L247" s="160"/>
    </row>
    <row r="248" ht="14.25" customHeight="1">
      <c r="L248" s="160"/>
    </row>
    <row r="249" ht="14.25" customHeight="1">
      <c r="L249" s="160"/>
    </row>
    <row r="250" ht="14.25" customHeight="1">
      <c r="L250" s="160"/>
    </row>
    <row r="251" ht="14.25" customHeight="1">
      <c r="L251" s="160"/>
    </row>
    <row r="252" ht="14.25" customHeight="1">
      <c r="L252" s="160"/>
    </row>
    <row r="253" ht="14.25" customHeight="1">
      <c r="L253" s="160"/>
    </row>
    <row r="254" ht="14.25" customHeight="1">
      <c r="L254" s="160"/>
    </row>
    <row r="255" ht="14.25" customHeight="1">
      <c r="L255" s="160"/>
    </row>
    <row r="256" ht="14.25" customHeight="1">
      <c r="L256" s="160"/>
    </row>
    <row r="257" ht="14.25" customHeight="1">
      <c r="L257" s="160"/>
    </row>
    <row r="258" ht="14.25" customHeight="1">
      <c r="L258" s="160"/>
    </row>
    <row r="259" ht="14.25" customHeight="1">
      <c r="L259" s="160"/>
    </row>
    <row r="260" ht="14.25" customHeight="1">
      <c r="L260" s="160"/>
    </row>
    <row r="261" ht="14.25" customHeight="1">
      <c r="L261" s="160"/>
    </row>
    <row r="262" ht="14.25" customHeight="1">
      <c r="L262" s="160"/>
    </row>
    <row r="263" ht="14.25" customHeight="1">
      <c r="L263" s="160"/>
    </row>
    <row r="264" ht="14.25" customHeight="1">
      <c r="L264" s="160"/>
    </row>
    <row r="265" ht="14.25" customHeight="1">
      <c r="L265" s="160"/>
    </row>
    <row r="266" ht="14.25" customHeight="1">
      <c r="L266" s="160"/>
    </row>
    <row r="267" ht="14.25" customHeight="1">
      <c r="L267" s="160"/>
    </row>
    <row r="268" ht="14.25" customHeight="1">
      <c r="L268" s="160"/>
    </row>
    <row r="269" ht="14.25" customHeight="1">
      <c r="L269" s="160"/>
    </row>
    <row r="270" ht="14.25" customHeight="1">
      <c r="L270" s="160"/>
    </row>
    <row r="271" ht="14.25" customHeight="1">
      <c r="L271" s="160"/>
    </row>
    <row r="272" ht="14.25" customHeight="1">
      <c r="L272" s="160"/>
    </row>
    <row r="273" ht="14.25" customHeight="1">
      <c r="L273" s="160"/>
    </row>
    <row r="274" ht="14.25" customHeight="1">
      <c r="L274" s="160"/>
    </row>
    <row r="275" ht="14.25" customHeight="1">
      <c r="L275" s="160"/>
    </row>
    <row r="276" ht="14.25" customHeight="1">
      <c r="L276" s="160"/>
    </row>
    <row r="277" ht="14.25" customHeight="1">
      <c r="L277" s="160"/>
    </row>
    <row r="278" ht="14.25" customHeight="1">
      <c r="L278" s="160"/>
    </row>
    <row r="279" ht="14.25" customHeight="1">
      <c r="L279" s="160"/>
    </row>
    <row r="280" ht="14.25" customHeight="1">
      <c r="L280" s="160"/>
    </row>
    <row r="281" ht="14.25" customHeight="1">
      <c r="L281" s="160"/>
    </row>
    <row r="282" ht="14.25" customHeight="1">
      <c r="L282" s="160"/>
    </row>
    <row r="283" ht="14.25" customHeight="1">
      <c r="L283" s="160"/>
    </row>
    <row r="284" ht="14.25" customHeight="1">
      <c r="L284" s="160"/>
    </row>
    <row r="285" ht="14.25" customHeight="1">
      <c r="L285" s="160"/>
    </row>
    <row r="286" ht="14.25" customHeight="1">
      <c r="L286" s="160"/>
    </row>
    <row r="287" ht="14.25" customHeight="1">
      <c r="L287" s="160"/>
    </row>
    <row r="288" ht="14.25" customHeight="1">
      <c r="L288" s="160"/>
    </row>
    <row r="289" ht="14.25" customHeight="1">
      <c r="L289" s="160"/>
    </row>
    <row r="290" ht="14.25" customHeight="1">
      <c r="L290" s="160"/>
    </row>
    <row r="291" ht="14.25" customHeight="1">
      <c r="L291" s="160"/>
    </row>
    <row r="292" ht="14.25" customHeight="1">
      <c r="L292" s="160"/>
    </row>
    <row r="293" ht="14.25" customHeight="1">
      <c r="L293" s="160"/>
    </row>
    <row r="294" ht="14.25" customHeight="1">
      <c r="L294" s="160"/>
    </row>
    <row r="295" ht="14.25" customHeight="1">
      <c r="L295" s="160"/>
    </row>
    <row r="296" ht="14.25" customHeight="1">
      <c r="L296" s="160"/>
    </row>
    <row r="297" ht="14.25" customHeight="1">
      <c r="L297" s="160"/>
    </row>
    <row r="298" ht="14.25" customHeight="1">
      <c r="L298" s="160"/>
    </row>
    <row r="299" ht="14.25" customHeight="1">
      <c r="L299" s="160"/>
    </row>
    <row r="300" ht="14.25" customHeight="1">
      <c r="L300" s="160"/>
    </row>
    <row r="301" ht="14.25" customHeight="1">
      <c r="L301" s="160"/>
    </row>
    <row r="302" ht="14.25" customHeight="1">
      <c r="L302" s="160"/>
    </row>
    <row r="303" ht="14.25" customHeight="1">
      <c r="L303" s="160"/>
    </row>
    <row r="304" ht="14.25" customHeight="1">
      <c r="L304" s="160"/>
    </row>
    <row r="305" ht="14.25" customHeight="1">
      <c r="L305" s="160"/>
    </row>
    <row r="306" ht="14.25" customHeight="1">
      <c r="L306" s="160"/>
    </row>
    <row r="307" ht="14.25" customHeight="1">
      <c r="L307" s="160"/>
    </row>
    <row r="308" ht="14.25" customHeight="1">
      <c r="L308" s="160"/>
    </row>
    <row r="309" ht="14.25" customHeight="1">
      <c r="L309" s="160"/>
    </row>
    <row r="310" ht="14.25" customHeight="1">
      <c r="L310" s="160"/>
    </row>
    <row r="311" ht="14.25" customHeight="1">
      <c r="L311" s="160"/>
    </row>
    <row r="312" ht="14.25" customHeight="1">
      <c r="L312" s="160"/>
    </row>
    <row r="313" ht="14.25" customHeight="1">
      <c r="L313" s="160"/>
    </row>
    <row r="314" ht="14.25" customHeight="1">
      <c r="L314" s="160"/>
    </row>
    <row r="315" ht="14.25" customHeight="1">
      <c r="L315" s="160"/>
    </row>
    <row r="316" ht="14.25" customHeight="1">
      <c r="L316" s="160"/>
    </row>
    <row r="317" ht="14.25" customHeight="1">
      <c r="L317" s="160"/>
    </row>
    <row r="318" ht="14.25" customHeight="1">
      <c r="L318" s="160"/>
    </row>
    <row r="319" ht="14.25" customHeight="1">
      <c r="L319" s="160"/>
    </row>
    <row r="320" ht="14.25" customHeight="1">
      <c r="L320" s="160"/>
    </row>
    <row r="321" ht="14.25" customHeight="1">
      <c r="L321" s="160"/>
    </row>
    <row r="322" ht="14.25" customHeight="1">
      <c r="L322" s="160"/>
    </row>
    <row r="323" ht="14.25" customHeight="1">
      <c r="L323" s="160"/>
    </row>
    <row r="324" ht="14.25" customHeight="1">
      <c r="L324" s="160"/>
    </row>
    <row r="325" ht="14.25" customHeight="1">
      <c r="L325" s="160"/>
    </row>
    <row r="326" ht="14.25" customHeight="1">
      <c r="L326" s="160"/>
    </row>
    <row r="327" ht="14.25" customHeight="1">
      <c r="L327" s="160"/>
    </row>
    <row r="328" ht="14.25" customHeight="1">
      <c r="L328" s="160"/>
    </row>
    <row r="329" ht="14.25" customHeight="1">
      <c r="L329" s="160"/>
    </row>
    <row r="330" ht="14.25" customHeight="1">
      <c r="L330" s="160"/>
    </row>
    <row r="331" ht="14.25" customHeight="1">
      <c r="L331" s="160"/>
    </row>
    <row r="332" ht="14.25" customHeight="1">
      <c r="L332" s="160"/>
    </row>
    <row r="333" ht="14.25" customHeight="1">
      <c r="L333" s="160"/>
    </row>
    <row r="334" ht="14.25" customHeight="1">
      <c r="L334" s="160"/>
    </row>
    <row r="335" ht="14.25" customHeight="1">
      <c r="L335" s="160"/>
    </row>
    <row r="336" ht="14.25" customHeight="1">
      <c r="L336" s="160"/>
    </row>
    <row r="337" ht="14.25" customHeight="1">
      <c r="L337" s="160"/>
    </row>
    <row r="338" ht="14.25" customHeight="1">
      <c r="L338" s="160"/>
    </row>
    <row r="339" ht="14.25" customHeight="1">
      <c r="L339" s="160"/>
    </row>
    <row r="340" ht="14.25" customHeight="1">
      <c r="L340" s="160"/>
    </row>
    <row r="341" ht="14.25" customHeight="1">
      <c r="L341" s="160"/>
    </row>
    <row r="342" ht="14.25" customHeight="1">
      <c r="L342" s="160"/>
    </row>
    <row r="343" ht="14.25" customHeight="1">
      <c r="L343" s="160"/>
    </row>
    <row r="344" ht="14.25" customHeight="1">
      <c r="L344" s="160"/>
    </row>
    <row r="345" ht="14.25" customHeight="1">
      <c r="L345" s="160"/>
    </row>
    <row r="346" ht="14.25" customHeight="1">
      <c r="L346" s="160"/>
    </row>
    <row r="347" ht="14.25" customHeight="1">
      <c r="L347" s="160"/>
    </row>
    <row r="348" ht="14.25" customHeight="1">
      <c r="L348" s="160"/>
    </row>
    <row r="349" ht="14.25" customHeight="1">
      <c r="L349" s="160"/>
    </row>
    <row r="350" ht="14.25" customHeight="1">
      <c r="L350" s="160"/>
    </row>
    <row r="351" ht="14.25" customHeight="1">
      <c r="L351" s="160"/>
    </row>
    <row r="352" ht="14.25" customHeight="1">
      <c r="L352" s="160"/>
    </row>
    <row r="353" ht="14.25" customHeight="1">
      <c r="L353" s="160"/>
    </row>
    <row r="354" ht="14.25" customHeight="1">
      <c r="L354" s="160"/>
    </row>
    <row r="355" ht="14.25" customHeight="1">
      <c r="L355" s="160"/>
    </row>
    <row r="356" ht="14.25" customHeight="1">
      <c r="L356" s="160"/>
    </row>
    <row r="357" ht="14.25" customHeight="1">
      <c r="L357" s="160"/>
    </row>
    <row r="358" ht="14.25" customHeight="1">
      <c r="L358" s="160"/>
    </row>
    <row r="359" ht="14.25" customHeight="1">
      <c r="L359" s="160"/>
    </row>
    <row r="360" ht="14.25" customHeight="1">
      <c r="L360" s="160"/>
    </row>
    <row r="361" ht="14.25" customHeight="1">
      <c r="L361" s="160"/>
    </row>
    <row r="362" ht="14.25" customHeight="1">
      <c r="L362" s="160"/>
    </row>
    <row r="363" ht="14.25" customHeight="1">
      <c r="L363" s="160"/>
    </row>
    <row r="364" ht="14.25" customHeight="1">
      <c r="L364" s="160"/>
    </row>
    <row r="365" ht="14.25" customHeight="1">
      <c r="L365" s="160"/>
    </row>
    <row r="366" ht="14.25" customHeight="1">
      <c r="L366" s="160"/>
    </row>
    <row r="367" ht="14.25" customHeight="1">
      <c r="L367" s="160"/>
    </row>
    <row r="368" ht="14.25" customHeight="1">
      <c r="L368" s="160"/>
    </row>
    <row r="369" ht="14.25" customHeight="1">
      <c r="L369" s="160"/>
    </row>
    <row r="370" ht="14.25" customHeight="1">
      <c r="L370" s="160"/>
    </row>
    <row r="371" ht="14.25" customHeight="1">
      <c r="L371" s="160"/>
    </row>
    <row r="372" ht="14.25" customHeight="1">
      <c r="L372" s="160"/>
    </row>
    <row r="373" ht="14.25" customHeight="1">
      <c r="L373" s="160"/>
    </row>
    <row r="374" ht="14.25" customHeight="1">
      <c r="L374" s="160"/>
    </row>
    <row r="375" ht="14.25" customHeight="1">
      <c r="L375" s="160"/>
    </row>
    <row r="376" ht="14.25" customHeight="1">
      <c r="L376" s="160"/>
    </row>
    <row r="377" ht="14.25" customHeight="1">
      <c r="L377" s="160"/>
    </row>
    <row r="378" ht="14.25" customHeight="1">
      <c r="L378" s="160"/>
    </row>
    <row r="379" ht="14.25" customHeight="1">
      <c r="L379" s="160"/>
    </row>
    <row r="380" ht="14.25" customHeight="1">
      <c r="L380" s="160"/>
    </row>
    <row r="381" ht="14.25" customHeight="1">
      <c r="L381" s="160"/>
    </row>
    <row r="382" ht="14.25" customHeight="1">
      <c r="L382" s="160"/>
    </row>
    <row r="383" ht="14.25" customHeight="1">
      <c r="L383" s="160"/>
    </row>
    <row r="384" ht="14.25" customHeight="1">
      <c r="L384" s="160"/>
    </row>
    <row r="385" ht="14.25" customHeight="1">
      <c r="L385" s="160"/>
    </row>
    <row r="386" ht="14.25" customHeight="1">
      <c r="L386" s="160"/>
    </row>
    <row r="387" ht="14.25" customHeight="1">
      <c r="L387" s="160"/>
    </row>
    <row r="388" ht="14.25" customHeight="1">
      <c r="L388" s="160"/>
    </row>
    <row r="389" ht="14.25" customHeight="1">
      <c r="L389" s="160"/>
    </row>
    <row r="390" ht="14.25" customHeight="1">
      <c r="L390" s="160"/>
    </row>
    <row r="391" ht="14.25" customHeight="1">
      <c r="L391" s="160"/>
    </row>
    <row r="392" ht="14.25" customHeight="1">
      <c r="L392" s="160"/>
    </row>
    <row r="393" ht="14.25" customHeight="1">
      <c r="L393" s="160"/>
    </row>
    <row r="394" ht="14.25" customHeight="1">
      <c r="L394" s="160"/>
    </row>
    <row r="395" ht="14.25" customHeight="1">
      <c r="L395" s="160"/>
    </row>
    <row r="396" ht="14.25" customHeight="1">
      <c r="L396" s="160"/>
    </row>
    <row r="397" ht="14.25" customHeight="1">
      <c r="L397" s="160"/>
    </row>
    <row r="398" ht="14.25" customHeight="1">
      <c r="L398" s="160"/>
    </row>
    <row r="399" ht="14.25" customHeight="1">
      <c r="L399" s="160"/>
    </row>
    <row r="400" ht="14.25" customHeight="1">
      <c r="L400" s="160"/>
    </row>
    <row r="401" ht="14.25" customHeight="1">
      <c r="L401" s="160"/>
    </row>
    <row r="402" ht="14.25" customHeight="1">
      <c r="L402" s="160"/>
    </row>
    <row r="403" ht="14.25" customHeight="1">
      <c r="L403" s="160"/>
    </row>
    <row r="404" ht="14.25" customHeight="1">
      <c r="L404" s="160"/>
    </row>
    <row r="405" ht="14.25" customHeight="1">
      <c r="L405" s="160"/>
    </row>
    <row r="406" ht="14.25" customHeight="1">
      <c r="L406" s="160"/>
    </row>
    <row r="407" ht="14.25" customHeight="1">
      <c r="L407" s="160"/>
    </row>
    <row r="408" ht="14.25" customHeight="1">
      <c r="L408" s="160"/>
    </row>
    <row r="409" ht="14.25" customHeight="1">
      <c r="L409" s="160"/>
    </row>
    <row r="410" ht="14.25" customHeight="1">
      <c r="L410" s="160"/>
    </row>
    <row r="411" ht="14.25" customHeight="1">
      <c r="L411" s="160"/>
    </row>
    <row r="412" ht="14.25" customHeight="1">
      <c r="L412" s="160"/>
    </row>
    <row r="413" ht="14.25" customHeight="1">
      <c r="L413" s="160"/>
    </row>
    <row r="414" ht="14.25" customHeight="1">
      <c r="L414" s="160"/>
    </row>
    <row r="415" ht="14.25" customHeight="1">
      <c r="L415" s="160"/>
    </row>
    <row r="416" ht="14.25" customHeight="1">
      <c r="L416" s="160"/>
    </row>
    <row r="417" ht="14.25" customHeight="1">
      <c r="L417" s="160"/>
    </row>
    <row r="418" ht="14.25" customHeight="1">
      <c r="L418" s="160"/>
    </row>
    <row r="419" ht="14.25" customHeight="1">
      <c r="L419" s="160"/>
    </row>
    <row r="420" ht="14.25" customHeight="1">
      <c r="L420" s="160"/>
    </row>
    <row r="421" ht="14.25" customHeight="1">
      <c r="L421" s="160"/>
    </row>
    <row r="422" ht="14.25" customHeight="1">
      <c r="L422" s="160"/>
    </row>
    <row r="423" ht="14.25" customHeight="1">
      <c r="L423" s="160"/>
    </row>
    <row r="424" ht="14.25" customHeight="1">
      <c r="L424" s="160"/>
    </row>
    <row r="425" ht="14.25" customHeight="1">
      <c r="L425" s="160"/>
    </row>
    <row r="426" ht="14.25" customHeight="1">
      <c r="L426" s="160"/>
    </row>
    <row r="427" ht="14.25" customHeight="1">
      <c r="L427" s="160"/>
    </row>
    <row r="428" ht="14.25" customHeight="1">
      <c r="L428" s="160"/>
    </row>
    <row r="429" ht="14.25" customHeight="1">
      <c r="L429" s="160"/>
    </row>
    <row r="430" ht="14.25" customHeight="1">
      <c r="L430" s="160"/>
    </row>
    <row r="431" ht="14.25" customHeight="1">
      <c r="L431" s="160"/>
    </row>
    <row r="432" ht="14.25" customHeight="1">
      <c r="L432" s="160"/>
    </row>
    <row r="433" ht="14.25" customHeight="1">
      <c r="L433" s="160"/>
    </row>
    <row r="434" ht="14.25" customHeight="1">
      <c r="L434" s="160"/>
    </row>
    <row r="435" ht="14.25" customHeight="1">
      <c r="L435" s="160"/>
    </row>
    <row r="436" ht="14.25" customHeight="1">
      <c r="L436" s="160"/>
    </row>
    <row r="437" ht="14.25" customHeight="1">
      <c r="L437" s="160"/>
    </row>
    <row r="438" ht="14.25" customHeight="1">
      <c r="L438" s="160"/>
    </row>
    <row r="439" ht="14.25" customHeight="1">
      <c r="L439" s="160"/>
    </row>
    <row r="440" ht="14.25" customHeight="1">
      <c r="L440" s="160"/>
    </row>
    <row r="441" ht="14.25" customHeight="1">
      <c r="L441" s="160"/>
    </row>
    <row r="442" ht="14.25" customHeight="1">
      <c r="L442" s="160"/>
    </row>
    <row r="443" ht="14.25" customHeight="1">
      <c r="L443" s="160"/>
    </row>
    <row r="444" ht="14.25" customHeight="1">
      <c r="L444" s="160"/>
    </row>
    <row r="445" ht="14.25" customHeight="1">
      <c r="L445" s="160"/>
    </row>
    <row r="446" ht="14.25" customHeight="1">
      <c r="L446" s="160"/>
    </row>
    <row r="447" ht="14.25" customHeight="1">
      <c r="L447" s="160"/>
    </row>
    <row r="448" ht="14.25" customHeight="1">
      <c r="L448" s="160"/>
    </row>
    <row r="449" ht="14.25" customHeight="1">
      <c r="L449" s="160"/>
    </row>
    <row r="450" ht="14.25" customHeight="1">
      <c r="L450" s="160"/>
    </row>
    <row r="451" ht="14.25" customHeight="1">
      <c r="L451" s="160"/>
    </row>
    <row r="452" ht="14.25" customHeight="1">
      <c r="L452" s="160"/>
    </row>
    <row r="453" ht="14.25" customHeight="1">
      <c r="L453" s="160"/>
    </row>
    <row r="454" ht="14.25" customHeight="1">
      <c r="L454" s="160"/>
    </row>
    <row r="455" ht="14.25" customHeight="1">
      <c r="L455" s="160"/>
    </row>
    <row r="456" ht="14.25" customHeight="1">
      <c r="L456" s="160"/>
    </row>
    <row r="457" ht="14.25" customHeight="1">
      <c r="L457" s="160"/>
    </row>
    <row r="458" ht="14.25" customHeight="1">
      <c r="L458" s="160"/>
    </row>
    <row r="459" ht="14.25" customHeight="1">
      <c r="L459" s="160"/>
    </row>
    <row r="460" ht="14.25" customHeight="1">
      <c r="L460" s="160"/>
    </row>
    <row r="461" ht="14.25" customHeight="1">
      <c r="L461" s="160"/>
    </row>
    <row r="462" ht="14.25" customHeight="1">
      <c r="L462" s="160"/>
    </row>
    <row r="463" ht="14.25" customHeight="1">
      <c r="L463" s="160"/>
    </row>
    <row r="464" ht="14.25" customHeight="1">
      <c r="L464" s="160"/>
    </row>
    <row r="465" ht="14.25" customHeight="1">
      <c r="L465" s="160"/>
    </row>
    <row r="466" ht="14.25" customHeight="1">
      <c r="L466" s="160"/>
    </row>
    <row r="467" ht="14.25" customHeight="1">
      <c r="L467" s="160"/>
    </row>
    <row r="468" ht="14.25" customHeight="1">
      <c r="L468" s="160"/>
    </row>
    <row r="469" ht="14.25" customHeight="1">
      <c r="L469" s="160"/>
    </row>
    <row r="470" ht="14.25" customHeight="1">
      <c r="L470" s="160"/>
    </row>
    <row r="471" ht="14.25" customHeight="1">
      <c r="L471" s="160"/>
    </row>
    <row r="472" ht="14.25" customHeight="1">
      <c r="L472" s="160"/>
    </row>
    <row r="473" ht="14.25" customHeight="1">
      <c r="L473" s="160"/>
    </row>
    <row r="474" ht="14.25" customHeight="1">
      <c r="L474" s="160"/>
    </row>
    <row r="475" ht="14.25" customHeight="1">
      <c r="L475" s="160"/>
    </row>
    <row r="476" ht="14.25" customHeight="1">
      <c r="L476" s="160"/>
    </row>
    <row r="477" ht="14.25" customHeight="1">
      <c r="L477" s="160"/>
    </row>
    <row r="478" ht="14.25" customHeight="1">
      <c r="L478" s="160"/>
    </row>
    <row r="479" ht="14.25" customHeight="1">
      <c r="L479" s="160"/>
    </row>
    <row r="480" ht="14.25" customHeight="1">
      <c r="L480" s="160"/>
    </row>
    <row r="481" ht="14.25" customHeight="1">
      <c r="L481" s="160"/>
    </row>
    <row r="482" ht="14.25" customHeight="1">
      <c r="L482" s="160"/>
    </row>
    <row r="483" ht="14.25" customHeight="1">
      <c r="L483" s="160"/>
    </row>
    <row r="484" ht="14.25" customHeight="1">
      <c r="L484" s="160"/>
    </row>
    <row r="485" ht="14.25" customHeight="1">
      <c r="L485" s="160"/>
    </row>
    <row r="486" ht="14.25" customHeight="1">
      <c r="L486" s="160"/>
    </row>
    <row r="487" ht="14.25" customHeight="1">
      <c r="L487" s="160"/>
    </row>
    <row r="488" ht="14.25" customHeight="1">
      <c r="L488" s="160"/>
    </row>
    <row r="489" ht="14.25" customHeight="1">
      <c r="L489" s="160"/>
    </row>
    <row r="490" ht="14.25" customHeight="1">
      <c r="L490" s="160"/>
    </row>
    <row r="491" ht="14.25" customHeight="1">
      <c r="L491" s="160"/>
    </row>
    <row r="492" ht="14.25" customHeight="1">
      <c r="L492" s="160"/>
    </row>
    <row r="493" ht="14.25" customHeight="1">
      <c r="L493" s="160"/>
    </row>
    <row r="494" ht="14.25" customHeight="1">
      <c r="L494" s="160"/>
    </row>
    <row r="495" ht="14.25" customHeight="1">
      <c r="L495" s="160"/>
    </row>
    <row r="496" ht="14.25" customHeight="1">
      <c r="L496" s="160"/>
    </row>
    <row r="497" ht="14.25" customHeight="1">
      <c r="L497" s="160"/>
    </row>
    <row r="498" ht="14.25" customHeight="1">
      <c r="L498" s="160"/>
    </row>
    <row r="499" ht="14.25" customHeight="1">
      <c r="L499" s="160"/>
    </row>
    <row r="500" ht="14.25" customHeight="1">
      <c r="L500" s="160"/>
    </row>
    <row r="501" ht="14.25" customHeight="1">
      <c r="L501" s="160"/>
    </row>
    <row r="502" ht="14.25" customHeight="1">
      <c r="L502" s="160"/>
    </row>
    <row r="503" ht="14.25" customHeight="1">
      <c r="L503" s="160"/>
    </row>
    <row r="504" ht="14.25" customHeight="1">
      <c r="L504" s="160"/>
    </row>
    <row r="505" ht="14.25" customHeight="1">
      <c r="L505" s="160"/>
    </row>
    <row r="506" ht="14.25" customHeight="1">
      <c r="L506" s="160"/>
    </row>
    <row r="507" ht="14.25" customHeight="1">
      <c r="L507" s="160"/>
    </row>
    <row r="508" ht="14.25" customHeight="1">
      <c r="L508" s="160"/>
    </row>
    <row r="509" ht="14.25" customHeight="1">
      <c r="L509" s="160"/>
    </row>
    <row r="510" ht="14.25" customHeight="1">
      <c r="L510" s="160"/>
    </row>
    <row r="511" ht="14.25" customHeight="1">
      <c r="L511" s="160"/>
    </row>
    <row r="512" ht="14.25" customHeight="1">
      <c r="L512" s="160"/>
    </row>
    <row r="513" ht="14.25" customHeight="1">
      <c r="L513" s="160"/>
    </row>
    <row r="514" ht="14.25" customHeight="1">
      <c r="L514" s="160"/>
    </row>
    <row r="515" ht="14.25" customHeight="1">
      <c r="L515" s="160"/>
    </row>
    <row r="516" ht="14.25" customHeight="1">
      <c r="L516" s="160"/>
    </row>
    <row r="517" ht="14.25" customHeight="1">
      <c r="L517" s="160"/>
    </row>
    <row r="518" ht="14.25" customHeight="1">
      <c r="L518" s="160"/>
    </row>
    <row r="519" ht="14.25" customHeight="1">
      <c r="L519" s="160"/>
    </row>
    <row r="520" ht="14.25" customHeight="1">
      <c r="L520" s="160"/>
    </row>
    <row r="521" ht="14.25" customHeight="1">
      <c r="L521" s="160"/>
    </row>
    <row r="522" ht="14.25" customHeight="1">
      <c r="L522" s="160"/>
    </row>
    <row r="523" ht="14.25" customHeight="1">
      <c r="L523" s="160"/>
    </row>
    <row r="524" ht="14.25" customHeight="1">
      <c r="L524" s="160"/>
    </row>
    <row r="525" ht="14.25" customHeight="1">
      <c r="L525" s="160"/>
    </row>
    <row r="526" ht="14.25" customHeight="1">
      <c r="L526" s="160"/>
    </row>
    <row r="527" ht="14.25" customHeight="1">
      <c r="L527" s="160"/>
    </row>
    <row r="528" ht="14.25" customHeight="1">
      <c r="L528" s="160"/>
    </row>
    <row r="529" ht="14.25" customHeight="1">
      <c r="L529" s="160"/>
    </row>
    <row r="530" ht="14.25" customHeight="1">
      <c r="L530" s="160"/>
    </row>
    <row r="531" ht="14.25" customHeight="1">
      <c r="L531" s="160"/>
    </row>
    <row r="532" ht="14.25" customHeight="1">
      <c r="L532" s="160"/>
    </row>
    <row r="533" ht="14.25" customHeight="1">
      <c r="L533" s="160"/>
    </row>
    <row r="534" ht="14.25" customHeight="1">
      <c r="L534" s="160"/>
    </row>
    <row r="535" ht="14.25" customHeight="1">
      <c r="L535" s="160"/>
    </row>
    <row r="536" ht="14.25" customHeight="1">
      <c r="L536" s="160"/>
    </row>
    <row r="537" ht="14.25" customHeight="1">
      <c r="L537" s="160"/>
    </row>
    <row r="538" ht="14.25" customHeight="1">
      <c r="L538" s="160"/>
    </row>
    <row r="539" ht="14.25" customHeight="1">
      <c r="L539" s="160"/>
    </row>
    <row r="540" ht="14.25" customHeight="1">
      <c r="L540" s="160"/>
    </row>
    <row r="541" ht="14.25" customHeight="1">
      <c r="L541" s="160"/>
    </row>
    <row r="542" ht="14.25" customHeight="1">
      <c r="L542" s="160"/>
    </row>
    <row r="543" ht="14.25" customHeight="1">
      <c r="L543" s="160"/>
    </row>
    <row r="544" ht="14.25" customHeight="1">
      <c r="L544" s="160"/>
    </row>
    <row r="545" ht="14.25" customHeight="1">
      <c r="L545" s="160"/>
    </row>
    <row r="546" ht="14.25" customHeight="1">
      <c r="L546" s="160"/>
    </row>
    <row r="547" ht="14.25" customHeight="1">
      <c r="L547" s="160"/>
    </row>
    <row r="548" ht="14.25" customHeight="1">
      <c r="L548" s="160"/>
    </row>
    <row r="549" ht="14.25" customHeight="1">
      <c r="L549" s="160"/>
    </row>
    <row r="550" ht="14.25" customHeight="1">
      <c r="L550" s="160"/>
    </row>
    <row r="551" ht="14.25" customHeight="1">
      <c r="L551" s="160"/>
    </row>
    <row r="552" ht="14.25" customHeight="1">
      <c r="L552" s="160"/>
    </row>
    <row r="553" ht="14.25" customHeight="1">
      <c r="L553" s="160"/>
    </row>
    <row r="554" ht="14.25" customHeight="1">
      <c r="L554" s="160"/>
    </row>
    <row r="555" ht="14.25" customHeight="1">
      <c r="L555" s="160"/>
    </row>
    <row r="556" ht="14.25" customHeight="1">
      <c r="L556" s="160"/>
    </row>
    <row r="557" ht="14.25" customHeight="1">
      <c r="L557" s="160"/>
    </row>
    <row r="558" ht="14.25" customHeight="1">
      <c r="L558" s="160"/>
    </row>
    <row r="559" ht="14.25" customHeight="1">
      <c r="L559" s="160"/>
    </row>
    <row r="560" ht="14.25" customHeight="1">
      <c r="L560" s="160"/>
    </row>
    <row r="561" ht="14.25" customHeight="1">
      <c r="L561" s="160"/>
    </row>
    <row r="562" ht="14.25" customHeight="1">
      <c r="L562" s="160"/>
    </row>
    <row r="563" ht="14.25" customHeight="1">
      <c r="L563" s="160"/>
    </row>
    <row r="564" ht="14.25" customHeight="1">
      <c r="L564" s="160"/>
    </row>
    <row r="565" ht="14.25" customHeight="1">
      <c r="L565" s="160"/>
    </row>
    <row r="566" ht="14.25" customHeight="1">
      <c r="L566" s="160"/>
    </row>
    <row r="567" ht="14.25" customHeight="1">
      <c r="L567" s="160"/>
    </row>
    <row r="568" ht="14.25" customHeight="1">
      <c r="L568" s="160"/>
    </row>
    <row r="569" ht="14.25" customHeight="1">
      <c r="L569" s="160"/>
    </row>
    <row r="570" ht="14.25" customHeight="1">
      <c r="L570" s="160"/>
    </row>
    <row r="571" ht="14.25" customHeight="1">
      <c r="L571" s="160"/>
    </row>
    <row r="572" ht="14.25" customHeight="1">
      <c r="L572" s="160"/>
    </row>
    <row r="573" ht="14.25" customHeight="1">
      <c r="L573" s="160"/>
    </row>
    <row r="574" ht="14.25" customHeight="1">
      <c r="L574" s="160"/>
    </row>
    <row r="575" ht="14.25" customHeight="1">
      <c r="L575" s="160"/>
    </row>
    <row r="576" ht="14.25" customHeight="1">
      <c r="L576" s="160"/>
    </row>
    <row r="577" ht="14.25" customHeight="1">
      <c r="L577" s="160"/>
    </row>
    <row r="578" ht="14.25" customHeight="1">
      <c r="L578" s="160"/>
    </row>
    <row r="579" ht="14.25" customHeight="1">
      <c r="L579" s="160"/>
    </row>
    <row r="580" ht="14.25" customHeight="1">
      <c r="L580" s="160"/>
    </row>
    <row r="581" ht="14.25" customHeight="1">
      <c r="L581" s="160"/>
    </row>
    <row r="582" ht="14.25" customHeight="1">
      <c r="L582" s="160"/>
    </row>
    <row r="583" ht="14.25" customHeight="1">
      <c r="L583" s="160"/>
    </row>
    <row r="584" ht="14.25" customHeight="1">
      <c r="L584" s="160"/>
    </row>
    <row r="585" ht="14.25" customHeight="1">
      <c r="L585" s="160"/>
    </row>
    <row r="586" ht="14.25" customHeight="1">
      <c r="L586" s="160"/>
    </row>
    <row r="587" ht="14.25" customHeight="1">
      <c r="L587" s="160"/>
    </row>
    <row r="588" ht="14.25" customHeight="1">
      <c r="L588" s="160"/>
    </row>
    <row r="589" ht="14.25" customHeight="1">
      <c r="L589" s="160"/>
    </row>
    <row r="590" ht="14.25" customHeight="1">
      <c r="L590" s="160"/>
    </row>
    <row r="591" ht="14.25" customHeight="1">
      <c r="L591" s="160"/>
    </row>
    <row r="592" ht="14.25" customHeight="1">
      <c r="L592" s="160"/>
    </row>
    <row r="593" ht="14.25" customHeight="1">
      <c r="L593" s="160"/>
    </row>
    <row r="594" ht="14.25" customHeight="1">
      <c r="L594" s="160"/>
    </row>
    <row r="595" ht="14.25" customHeight="1">
      <c r="L595" s="160"/>
    </row>
    <row r="596" ht="14.25" customHeight="1">
      <c r="L596" s="160"/>
    </row>
    <row r="597" ht="14.25" customHeight="1">
      <c r="L597" s="160"/>
    </row>
    <row r="598" ht="14.25" customHeight="1">
      <c r="L598" s="160"/>
    </row>
    <row r="599" ht="14.25" customHeight="1">
      <c r="L599" s="160"/>
    </row>
    <row r="600" ht="14.25" customHeight="1">
      <c r="L600" s="160"/>
    </row>
    <row r="601" ht="14.25" customHeight="1">
      <c r="L601" s="160"/>
    </row>
    <row r="602" ht="14.25" customHeight="1">
      <c r="L602" s="160"/>
    </row>
    <row r="603" ht="14.25" customHeight="1">
      <c r="L603" s="160"/>
    </row>
    <row r="604" ht="14.25" customHeight="1">
      <c r="L604" s="160"/>
    </row>
    <row r="605" ht="14.25" customHeight="1">
      <c r="L605" s="160"/>
    </row>
    <row r="606" ht="14.25" customHeight="1">
      <c r="L606" s="160"/>
    </row>
    <row r="607" ht="14.25" customHeight="1">
      <c r="L607" s="160"/>
    </row>
    <row r="608" ht="14.25" customHeight="1">
      <c r="L608" s="160"/>
    </row>
    <row r="609" ht="14.25" customHeight="1">
      <c r="L609" s="160"/>
    </row>
    <row r="610" ht="14.25" customHeight="1">
      <c r="L610" s="160"/>
    </row>
    <row r="611" ht="14.25" customHeight="1">
      <c r="L611" s="160"/>
    </row>
    <row r="612" ht="14.25" customHeight="1">
      <c r="L612" s="160"/>
    </row>
    <row r="613" ht="14.25" customHeight="1">
      <c r="L613" s="160"/>
    </row>
    <row r="614" ht="14.25" customHeight="1">
      <c r="L614" s="160"/>
    </row>
    <row r="615" ht="14.25" customHeight="1">
      <c r="L615" s="160"/>
    </row>
    <row r="616" ht="14.25" customHeight="1">
      <c r="L616" s="160"/>
    </row>
    <row r="617" ht="14.25" customHeight="1">
      <c r="L617" s="160"/>
    </row>
    <row r="618" ht="14.25" customHeight="1">
      <c r="L618" s="160"/>
    </row>
    <row r="619" ht="14.25" customHeight="1">
      <c r="L619" s="160"/>
    </row>
    <row r="620" ht="14.25" customHeight="1">
      <c r="L620" s="160"/>
    </row>
    <row r="621" ht="14.25" customHeight="1">
      <c r="L621" s="160"/>
    </row>
    <row r="622" ht="14.25" customHeight="1">
      <c r="L622" s="160"/>
    </row>
    <row r="623" ht="14.25" customHeight="1">
      <c r="L623" s="160"/>
    </row>
    <row r="624" ht="14.25" customHeight="1">
      <c r="L624" s="160"/>
    </row>
    <row r="625" ht="14.25" customHeight="1">
      <c r="L625" s="160"/>
    </row>
    <row r="626" ht="14.25" customHeight="1">
      <c r="L626" s="160"/>
    </row>
    <row r="627" ht="14.25" customHeight="1">
      <c r="L627" s="160"/>
    </row>
    <row r="628" ht="14.25" customHeight="1">
      <c r="L628" s="160"/>
    </row>
    <row r="629" ht="14.25" customHeight="1">
      <c r="L629" s="160"/>
    </row>
    <row r="630" ht="14.25" customHeight="1">
      <c r="L630" s="160"/>
    </row>
    <row r="631" ht="14.25" customHeight="1">
      <c r="L631" s="160"/>
    </row>
    <row r="632" ht="14.25" customHeight="1">
      <c r="L632" s="160"/>
    </row>
    <row r="633" ht="14.25" customHeight="1">
      <c r="L633" s="160"/>
    </row>
    <row r="634" ht="14.25" customHeight="1">
      <c r="L634" s="160"/>
    </row>
    <row r="635" ht="14.25" customHeight="1">
      <c r="L635" s="160"/>
    </row>
    <row r="636" ht="14.25" customHeight="1">
      <c r="L636" s="160"/>
    </row>
    <row r="637" ht="14.25" customHeight="1">
      <c r="L637" s="160"/>
    </row>
    <row r="638" ht="14.25" customHeight="1">
      <c r="L638" s="160"/>
    </row>
    <row r="639" ht="14.25" customHeight="1">
      <c r="L639" s="160"/>
    </row>
    <row r="640" ht="14.25" customHeight="1">
      <c r="L640" s="160"/>
    </row>
    <row r="641" ht="14.25" customHeight="1">
      <c r="L641" s="160"/>
    </row>
    <row r="642" ht="14.25" customHeight="1">
      <c r="L642" s="160"/>
    </row>
    <row r="643" ht="14.25" customHeight="1">
      <c r="L643" s="160"/>
    </row>
    <row r="644" ht="14.25" customHeight="1">
      <c r="L644" s="160"/>
    </row>
    <row r="645" ht="14.25" customHeight="1">
      <c r="L645" s="160"/>
    </row>
    <row r="646" ht="14.25" customHeight="1">
      <c r="L646" s="160"/>
    </row>
    <row r="647" ht="14.25" customHeight="1">
      <c r="L647" s="160"/>
    </row>
    <row r="648" ht="14.25" customHeight="1">
      <c r="L648" s="160"/>
    </row>
    <row r="649" ht="14.25" customHeight="1">
      <c r="L649" s="160"/>
    </row>
    <row r="650" ht="14.25" customHeight="1">
      <c r="L650" s="160"/>
    </row>
    <row r="651" ht="14.25" customHeight="1">
      <c r="L651" s="160"/>
    </row>
    <row r="652" ht="14.25" customHeight="1">
      <c r="L652" s="160"/>
    </row>
    <row r="653" ht="14.25" customHeight="1">
      <c r="L653" s="160"/>
    </row>
    <row r="654" ht="14.25" customHeight="1">
      <c r="L654" s="160"/>
    </row>
    <row r="655" ht="14.25" customHeight="1">
      <c r="L655" s="160"/>
    </row>
    <row r="656" ht="14.25" customHeight="1">
      <c r="L656" s="160"/>
    </row>
    <row r="657" ht="14.25" customHeight="1">
      <c r="L657" s="160"/>
    </row>
    <row r="658" ht="14.25" customHeight="1">
      <c r="L658" s="160"/>
    </row>
    <row r="659" ht="14.25" customHeight="1">
      <c r="L659" s="160"/>
    </row>
    <row r="660" ht="14.25" customHeight="1">
      <c r="L660" s="160"/>
    </row>
    <row r="661" ht="14.25" customHeight="1">
      <c r="L661" s="160"/>
    </row>
    <row r="662" ht="14.25" customHeight="1">
      <c r="L662" s="160"/>
    </row>
    <row r="663" ht="14.25" customHeight="1">
      <c r="L663" s="160"/>
    </row>
    <row r="664" ht="14.25" customHeight="1">
      <c r="L664" s="160"/>
    </row>
    <row r="665" ht="14.25" customHeight="1">
      <c r="L665" s="160"/>
    </row>
    <row r="666" ht="14.25" customHeight="1">
      <c r="L666" s="160"/>
    </row>
    <row r="667" ht="14.25" customHeight="1">
      <c r="L667" s="160"/>
    </row>
    <row r="668" ht="14.25" customHeight="1">
      <c r="L668" s="160"/>
    </row>
    <row r="669" ht="14.25" customHeight="1">
      <c r="L669" s="160"/>
    </row>
    <row r="670" ht="14.25" customHeight="1">
      <c r="L670" s="160"/>
    </row>
    <row r="671" ht="14.25" customHeight="1">
      <c r="L671" s="160"/>
    </row>
    <row r="672" ht="14.25" customHeight="1">
      <c r="L672" s="160"/>
    </row>
    <row r="673" ht="14.25" customHeight="1">
      <c r="L673" s="160"/>
    </row>
    <row r="674" ht="14.25" customHeight="1">
      <c r="L674" s="160"/>
    </row>
    <row r="675" ht="14.25" customHeight="1">
      <c r="L675" s="160"/>
    </row>
    <row r="676" ht="14.25" customHeight="1">
      <c r="L676" s="160"/>
    </row>
    <row r="677" ht="14.25" customHeight="1">
      <c r="L677" s="160"/>
    </row>
    <row r="678" ht="14.25" customHeight="1">
      <c r="L678" s="160"/>
    </row>
    <row r="679" ht="14.25" customHeight="1">
      <c r="L679" s="160"/>
    </row>
    <row r="680" ht="14.25" customHeight="1">
      <c r="L680" s="160"/>
    </row>
    <row r="681" ht="14.25" customHeight="1">
      <c r="L681" s="160"/>
    </row>
    <row r="682" ht="14.25" customHeight="1">
      <c r="L682" s="160"/>
    </row>
    <row r="683" ht="14.25" customHeight="1">
      <c r="L683" s="160"/>
    </row>
    <row r="684" ht="14.25" customHeight="1">
      <c r="L684" s="160"/>
    </row>
    <row r="685" ht="14.25" customHeight="1">
      <c r="L685" s="160"/>
    </row>
    <row r="686" ht="14.25" customHeight="1">
      <c r="L686" s="160"/>
    </row>
    <row r="687" ht="14.25" customHeight="1">
      <c r="L687" s="160"/>
    </row>
    <row r="688" ht="14.25" customHeight="1">
      <c r="L688" s="160"/>
    </row>
    <row r="689" ht="14.25" customHeight="1">
      <c r="L689" s="160"/>
    </row>
    <row r="690" ht="14.25" customHeight="1">
      <c r="L690" s="160"/>
    </row>
    <row r="691" ht="14.25" customHeight="1">
      <c r="L691" s="160"/>
    </row>
    <row r="692" ht="14.25" customHeight="1">
      <c r="L692" s="160"/>
    </row>
    <row r="693" ht="14.25" customHeight="1">
      <c r="L693" s="160"/>
    </row>
    <row r="694" ht="14.25" customHeight="1">
      <c r="L694" s="160"/>
    </row>
    <row r="695" ht="14.25" customHeight="1">
      <c r="L695" s="160"/>
    </row>
    <row r="696" ht="14.25" customHeight="1">
      <c r="L696" s="160"/>
    </row>
    <row r="697" ht="14.25" customHeight="1">
      <c r="L697" s="160"/>
    </row>
    <row r="698" ht="14.25" customHeight="1">
      <c r="L698" s="160"/>
    </row>
    <row r="699" ht="14.25" customHeight="1">
      <c r="L699" s="160"/>
    </row>
    <row r="700" ht="14.25" customHeight="1">
      <c r="L700" s="160"/>
    </row>
    <row r="701" ht="14.25" customHeight="1">
      <c r="L701" s="160"/>
    </row>
    <row r="702" ht="14.25" customHeight="1">
      <c r="L702" s="160"/>
    </row>
    <row r="703" ht="14.25" customHeight="1">
      <c r="L703" s="160"/>
    </row>
    <row r="704" ht="14.25" customHeight="1">
      <c r="L704" s="160"/>
    </row>
    <row r="705" ht="14.25" customHeight="1">
      <c r="L705" s="160"/>
    </row>
    <row r="706" ht="14.25" customHeight="1">
      <c r="L706" s="160"/>
    </row>
    <row r="707" ht="14.25" customHeight="1">
      <c r="L707" s="160"/>
    </row>
    <row r="708" ht="14.25" customHeight="1">
      <c r="L708" s="160"/>
    </row>
    <row r="709" ht="14.25" customHeight="1">
      <c r="L709" s="160"/>
    </row>
    <row r="710" ht="14.25" customHeight="1">
      <c r="L710" s="160"/>
    </row>
    <row r="711" ht="14.25" customHeight="1">
      <c r="L711" s="160"/>
    </row>
    <row r="712" ht="14.25" customHeight="1">
      <c r="L712" s="160"/>
    </row>
    <row r="713" ht="14.25" customHeight="1">
      <c r="L713" s="160"/>
    </row>
    <row r="714" ht="14.25" customHeight="1">
      <c r="L714" s="160"/>
    </row>
    <row r="715" ht="14.25" customHeight="1">
      <c r="L715" s="160"/>
    </row>
    <row r="716" ht="14.25" customHeight="1">
      <c r="L716" s="160"/>
    </row>
    <row r="717" ht="14.25" customHeight="1">
      <c r="L717" s="160"/>
    </row>
    <row r="718" ht="14.25" customHeight="1">
      <c r="L718" s="160"/>
    </row>
    <row r="719" ht="14.25" customHeight="1">
      <c r="L719" s="160"/>
    </row>
    <row r="720" ht="14.25" customHeight="1">
      <c r="L720" s="160"/>
    </row>
    <row r="721" ht="14.25" customHeight="1">
      <c r="L721" s="160"/>
    </row>
    <row r="722" ht="14.25" customHeight="1">
      <c r="L722" s="160"/>
    </row>
    <row r="723" ht="14.25" customHeight="1">
      <c r="L723" s="160"/>
    </row>
    <row r="724" ht="14.25" customHeight="1">
      <c r="L724" s="160"/>
    </row>
    <row r="725" ht="14.25" customHeight="1">
      <c r="L725" s="160"/>
    </row>
    <row r="726" ht="14.25" customHeight="1">
      <c r="L726" s="160"/>
    </row>
    <row r="727" ht="14.25" customHeight="1">
      <c r="L727" s="160"/>
    </row>
    <row r="728" ht="14.25" customHeight="1">
      <c r="L728" s="160"/>
    </row>
    <row r="729" ht="14.25" customHeight="1">
      <c r="L729" s="160"/>
    </row>
    <row r="730" ht="14.25" customHeight="1">
      <c r="L730" s="160"/>
    </row>
    <row r="731" ht="14.25" customHeight="1">
      <c r="L731" s="160"/>
    </row>
    <row r="732" ht="14.25" customHeight="1">
      <c r="L732" s="160"/>
    </row>
    <row r="733" ht="14.25" customHeight="1">
      <c r="L733" s="160"/>
    </row>
    <row r="734" ht="14.25" customHeight="1">
      <c r="L734" s="160"/>
    </row>
    <row r="735" ht="14.25" customHeight="1">
      <c r="L735" s="160"/>
    </row>
    <row r="736" ht="14.25" customHeight="1">
      <c r="L736" s="160"/>
    </row>
    <row r="737" ht="14.25" customHeight="1">
      <c r="L737" s="160"/>
    </row>
    <row r="738" ht="14.25" customHeight="1">
      <c r="L738" s="160"/>
    </row>
    <row r="739" ht="14.25" customHeight="1">
      <c r="L739" s="160"/>
    </row>
    <row r="740" ht="14.25" customHeight="1">
      <c r="L740" s="160"/>
    </row>
    <row r="741" ht="14.25" customHeight="1">
      <c r="L741" s="160"/>
    </row>
    <row r="742" ht="14.25" customHeight="1">
      <c r="L742" s="160"/>
    </row>
    <row r="743" ht="14.25" customHeight="1">
      <c r="L743" s="160"/>
    </row>
    <row r="744" ht="14.25" customHeight="1">
      <c r="L744" s="160"/>
    </row>
    <row r="745" ht="14.25" customHeight="1">
      <c r="L745" s="160"/>
    </row>
    <row r="746" ht="14.25" customHeight="1">
      <c r="L746" s="160"/>
    </row>
    <row r="747" ht="14.25" customHeight="1">
      <c r="L747" s="160"/>
    </row>
    <row r="748" ht="14.25" customHeight="1">
      <c r="L748" s="160"/>
    </row>
    <row r="749" ht="14.25" customHeight="1">
      <c r="L749" s="160"/>
    </row>
    <row r="750" ht="14.25" customHeight="1">
      <c r="L750" s="160"/>
    </row>
    <row r="751" ht="14.25" customHeight="1">
      <c r="L751" s="160"/>
    </row>
    <row r="752" ht="14.25" customHeight="1">
      <c r="L752" s="160"/>
    </row>
    <row r="753" ht="14.25" customHeight="1">
      <c r="L753" s="160"/>
    </row>
    <row r="754" ht="14.25" customHeight="1">
      <c r="L754" s="160"/>
    </row>
    <row r="755" ht="14.25" customHeight="1">
      <c r="L755" s="160"/>
    </row>
    <row r="756" ht="14.25" customHeight="1">
      <c r="L756" s="160"/>
    </row>
    <row r="757" ht="14.25" customHeight="1">
      <c r="L757" s="160"/>
    </row>
    <row r="758" ht="14.25" customHeight="1">
      <c r="L758" s="160"/>
    </row>
    <row r="759" ht="14.25" customHeight="1">
      <c r="L759" s="160"/>
    </row>
    <row r="760" ht="14.25" customHeight="1">
      <c r="L760" s="160"/>
    </row>
    <row r="761" ht="14.25" customHeight="1">
      <c r="L761" s="160"/>
    </row>
    <row r="762" ht="14.25" customHeight="1">
      <c r="L762" s="160"/>
    </row>
    <row r="763" ht="14.25" customHeight="1">
      <c r="L763" s="160"/>
    </row>
    <row r="764" ht="14.25" customHeight="1">
      <c r="L764" s="160"/>
    </row>
    <row r="765" ht="14.25" customHeight="1">
      <c r="L765" s="160"/>
    </row>
    <row r="766" ht="14.25" customHeight="1">
      <c r="L766" s="160"/>
    </row>
    <row r="767" ht="14.25" customHeight="1">
      <c r="L767" s="160"/>
    </row>
    <row r="768" ht="14.25" customHeight="1">
      <c r="L768" s="160"/>
    </row>
    <row r="769" ht="14.25" customHeight="1">
      <c r="L769" s="160"/>
    </row>
    <row r="770" ht="14.25" customHeight="1">
      <c r="L770" s="160"/>
    </row>
    <row r="771" ht="14.25" customHeight="1">
      <c r="L771" s="160"/>
    </row>
    <row r="772" ht="14.25" customHeight="1">
      <c r="L772" s="160"/>
    </row>
    <row r="773" ht="14.25" customHeight="1">
      <c r="L773" s="160"/>
    </row>
    <row r="774" ht="14.25" customHeight="1">
      <c r="L774" s="160"/>
    </row>
    <row r="775" ht="14.25" customHeight="1">
      <c r="L775" s="160"/>
    </row>
    <row r="776" ht="14.25" customHeight="1">
      <c r="L776" s="160"/>
    </row>
    <row r="777" ht="14.25" customHeight="1">
      <c r="L777" s="160"/>
    </row>
    <row r="778" ht="14.25" customHeight="1">
      <c r="L778" s="160"/>
    </row>
    <row r="779" ht="14.25" customHeight="1">
      <c r="L779" s="160"/>
    </row>
    <row r="780" ht="14.25" customHeight="1">
      <c r="L780" s="160"/>
    </row>
    <row r="781" ht="14.25" customHeight="1">
      <c r="L781" s="160"/>
    </row>
    <row r="782" ht="14.25" customHeight="1">
      <c r="L782" s="160"/>
    </row>
    <row r="783" ht="14.25" customHeight="1">
      <c r="L783" s="160"/>
    </row>
    <row r="784" ht="14.25" customHeight="1">
      <c r="L784" s="160"/>
    </row>
    <row r="785" ht="14.25" customHeight="1">
      <c r="L785" s="160"/>
    </row>
    <row r="786" ht="14.25" customHeight="1">
      <c r="L786" s="160"/>
    </row>
    <row r="787" ht="14.25" customHeight="1">
      <c r="L787" s="160"/>
    </row>
    <row r="788" ht="14.25" customHeight="1">
      <c r="L788" s="160"/>
    </row>
    <row r="789" ht="14.25" customHeight="1">
      <c r="L789" s="160"/>
    </row>
    <row r="790" ht="14.25" customHeight="1">
      <c r="L790" s="160"/>
    </row>
    <row r="791" ht="14.25" customHeight="1">
      <c r="L791" s="160"/>
    </row>
    <row r="792" ht="14.25" customHeight="1">
      <c r="L792" s="160"/>
    </row>
    <row r="793" ht="14.25" customHeight="1">
      <c r="L793" s="160"/>
    </row>
    <row r="794" ht="14.25" customHeight="1">
      <c r="L794" s="160"/>
    </row>
    <row r="795" ht="14.25" customHeight="1">
      <c r="L795" s="160"/>
    </row>
    <row r="796" ht="14.25" customHeight="1">
      <c r="L796" s="160"/>
    </row>
    <row r="797" ht="14.25" customHeight="1">
      <c r="L797" s="160"/>
    </row>
    <row r="798" ht="14.25" customHeight="1">
      <c r="L798" s="160"/>
    </row>
    <row r="799" ht="14.25" customHeight="1">
      <c r="L799" s="160"/>
    </row>
    <row r="800" ht="14.25" customHeight="1">
      <c r="L800" s="160"/>
    </row>
    <row r="801" ht="14.25" customHeight="1">
      <c r="L801" s="160"/>
    </row>
    <row r="802" ht="14.25" customHeight="1">
      <c r="L802" s="160"/>
    </row>
    <row r="803" ht="14.25" customHeight="1">
      <c r="L803" s="160"/>
    </row>
    <row r="804" ht="14.25" customHeight="1">
      <c r="L804" s="160"/>
    </row>
    <row r="805" ht="14.25" customHeight="1">
      <c r="L805" s="160"/>
    </row>
    <row r="806" ht="14.25" customHeight="1">
      <c r="L806" s="160"/>
    </row>
    <row r="807" ht="14.25" customHeight="1">
      <c r="L807" s="160"/>
    </row>
    <row r="808" ht="14.25" customHeight="1">
      <c r="L808" s="160"/>
    </row>
    <row r="809" ht="14.25" customHeight="1">
      <c r="L809" s="160"/>
    </row>
    <row r="810" ht="14.25" customHeight="1">
      <c r="L810" s="160"/>
    </row>
    <row r="811" ht="14.25" customHeight="1">
      <c r="L811" s="160"/>
    </row>
    <row r="812" ht="14.25" customHeight="1">
      <c r="L812" s="160"/>
    </row>
    <row r="813" ht="14.25" customHeight="1">
      <c r="L813" s="160"/>
    </row>
    <row r="814" ht="14.25" customHeight="1">
      <c r="L814" s="160"/>
    </row>
    <row r="815" ht="14.25" customHeight="1">
      <c r="L815" s="160"/>
    </row>
    <row r="816" ht="14.25" customHeight="1">
      <c r="L816" s="160"/>
    </row>
    <row r="817" ht="14.25" customHeight="1">
      <c r="L817" s="160"/>
    </row>
    <row r="818" ht="14.25" customHeight="1">
      <c r="L818" s="160"/>
    </row>
    <row r="819" ht="14.25" customHeight="1">
      <c r="L819" s="160"/>
    </row>
    <row r="820" ht="14.25" customHeight="1">
      <c r="L820" s="160"/>
    </row>
    <row r="821" ht="14.25" customHeight="1">
      <c r="L821" s="160"/>
    </row>
    <row r="822" ht="14.25" customHeight="1">
      <c r="L822" s="160"/>
    </row>
    <row r="823" ht="14.25" customHeight="1">
      <c r="L823" s="160"/>
    </row>
    <row r="824" ht="14.25" customHeight="1">
      <c r="L824" s="160"/>
    </row>
    <row r="825" ht="14.25" customHeight="1">
      <c r="L825" s="160"/>
    </row>
    <row r="826" ht="14.25" customHeight="1">
      <c r="L826" s="160"/>
    </row>
    <row r="827" ht="14.25" customHeight="1">
      <c r="L827" s="160"/>
    </row>
    <row r="828" ht="14.25" customHeight="1">
      <c r="L828" s="160"/>
    </row>
    <row r="829" ht="14.25" customHeight="1">
      <c r="L829" s="160"/>
    </row>
    <row r="830" ht="14.25" customHeight="1">
      <c r="L830" s="160"/>
    </row>
    <row r="831" ht="14.25" customHeight="1">
      <c r="L831" s="160"/>
    </row>
    <row r="832" ht="14.25" customHeight="1">
      <c r="L832" s="160"/>
    </row>
    <row r="833" ht="14.25" customHeight="1">
      <c r="L833" s="160"/>
    </row>
    <row r="834" ht="14.25" customHeight="1">
      <c r="L834" s="160"/>
    </row>
    <row r="835" ht="14.25" customHeight="1">
      <c r="L835" s="160"/>
    </row>
    <row r="836" ht="14.25" customHeight="1">
      <c r="L836" s="160"/>
    </row>
    <row r="837" ht="14.25" customHeight="1">
      <c r="L837" s="160"/>
    </row>
    <row r="838" ht="14.25" customHeight="1">
      <c r="L838" s="160"/>
    </row>
    <row r="839" ht="14.25" customHeight="1">
      <c r="L839" s="160"/>
    </row>
    <row r="840" ht="14.25" customHeight="1">
      <c r="L840" s="160"/>
    </row>
    <row r="841" ht="14.25" customHeight="1">
      <c r="L841" s="160"/>
    </row>
    <row r="842" ht="14.25" customHeight="1">
      <c r="L842" s="160"/>
    </row>
    <row r="843" ht="14.25" customHeight="1">
      <c r="L843" s="160"/>
    </row>
    <row r="844" ht="14.25" customHeight="1">
      <c r="L844" s="160"/>
    </row>
    <row r="845" ht="14.25" customHeight="1">
      <c r="L845" s="160"/>
    </row>
    <row r="846" ht="14.25" customHeight="1">
      <c r="L846" s="160"/>
    </row>
    <row r="847" ht="14.25" customHeight="1">
      <c r="L847" s="160"/>
    </row>
    <row r="848" ht="14.25" customHeight="1">
      <c r="L848" s="160"/>
    </row>
    <row r="849" ht="14.25" customHeight="1">
      <c r="L849" s="160"/>
    </row>
    <row r="850" ht="14.25" customHeight="1">
      <c r="L850" s="160"/>
    </row>
    <row r="851" ht="14.25" customHeight="1">
      <c r="L851" s="160"/>
    </row>
    <row r="852" ht="14.25" customHeight="1">
      <c r="L852" s="160"/>
    </row>
    <row r="853" ht="14.25" customHeight="1">
      <c r="L853" s="160"/>
    </row>
    <row r="854" ht="14.25" customHeight="1">
      <c r="L854" s="160"/>
    </row>
    <row r="855" ht="14.25" customHeight="1">
      <c r="L855" s="160"/>
    </row>
    <row r="856" ht="14.25" customHeight="1">
      <c r="L856" s="160"/>
    </row>
    <row r="857" ht="14.25" customHeight="1">
      <c r="L857" s="160"/>
    </row>
    <row r="858" ht="14.25" customHeight="1">
      <c r="L858" s="160"/>
    </row>
    <row r="859" ht="14.25" customHeight="1">
      <c r="L859" s="160"/>
    </row>
    <row r="860" ht="14.25" customHeight="1">
      <c r="L860" s="160"/>
    </row>
    <row r="861" ht="14.25" customHeight="1">
      <c r="L861" s="160"/>
    </row>
    <row r="862" ht="14.25" customHeight="1">
      <c r="L862" s="160"/>
    </row>
    <row r="863" ht="14.25" customHeight="1">
      <c r="L863" s="160"/>
    </row>
    <row r="864" ht="14.25" customHeight="1">
      <c r="L864" s="160"/>
    </row>
    <row r="865" ht="14.25" customHeight="1">
      <c r="L865" s="160"/>
    </row>
    <row r="866" ht="14.25" customHeight="1">
      <c r="L866" s="160"/>
    </row>
    <row r="867" ht="14.25" customHeight="1">
      <c r="L867" s="160"/>
    </row>
    <row r="868" ht="14.25" customHeight="1">
      <c r="L868" s="160"/>
    </row>
    <row r="869" ht="14.25" customHeight="1">
      <c r="L869" s="160"/>
    </row>
    <row r="870" ht="14.25" customHeight="1">
      <c r="L870" s="160"/>
    </row>
    <row r="871" ht="14.25" customHeight="1">
      <c r="L871" s="160"/>
    </row>
    <row r="872" ht="14.25" customHeight="1">
      <c r="L872" s="160"/>
    </row>
    <row r="873" ht="14.25" customHeight="1">
      <c r="L873" s="160"/>
    </row>
    <row r="874" ht="14.25" customHeight="1">
      <c r="L874" s="160"/>
    </row>
    <row r="875" ht="14.25" customHeight="1">
      <c r="L875" s="160"/>
    </row>
    <row r="876" ht="14.25" customHeight="1">
      <c r="L876" s="160"/>
    </row>
    <row r="877" ht="14.25" customHeight="1">
      <c r="L877" s="160"/>
    </row>
    <row r="878" ht="14.25" customHeight="1">
      <c r="L878" s="160"/>
    </row>
    <row r="879" ht="14.25" customHeight="1">
      <c r="L879" s="160"/>
    </row>
    <row r="880" ht="14.25" customHeight="1">
      <c r="L880" s="160"/>
    </row>
    <row r="881" ht="14.25" customHeight="1">
      <c r="L881" s="160"/>
    </row>
    <row r="882" ht="14.25" customHeight="1">
      <c r="L882" s="160"/>
    </row>
    <row r="883" ht="14.25" customHeight="1">
      <c r="L883" s="160"/>
    </row>
    <row r="884" ht="14.25" customHeight="1">
      <c r="L884" s="160"/>
    </row>
    <row r="885" ht="14.25" customHeight="1">
      <c r="L885" s="160"/>
    </row>
    <row r="886" ht="14.25" customHeight="1">
      <c r="L886" s="160"/>
    </row>
    <row r="887" ht="14.25" customHeight="1">
      <c r="L887" s="160"/>
    </row>
    <row r="888" ht="14.25" customHeight="1">
      <c r="L888" s="160"/>
    </row>
    <row r="889" ht="14.25" customHeight="1">
      <c r="L889" s="160"/>
    </row>
    <row r="890" ht="14.25" customHeight="1">
      <c r="L890" s="160"/>
    </row>
    <row r="891" ht="14.25" customHeight="1">
      <c r="L891" s="160"/>
    </row>
    <row r="892" ht="14.25" customHeight="1">
      <c r="L892" s="160"/>
    </row>
    <row r="893" ht="14.25" customHeight="1">
      <c r="L893" s="160"/>
    </row>
    <row r="894" ht="14.25" customHeight="1">
      <c r="L894" s="160"/>
    </row>
    <row r="895" ht="14.25" customHeight="1">
      <c r="L895" s="160"/>
    </row>
    <row r="896" ht="14.25" customHeight="1">
      <c r="L896" s="160"/>
    </row>
    <row r="897" ht="14.25" customHeight="1">
      <c r="L897" s="160"/>
    </row>
    <row r="898" ht="14.25" customHeight="1">
      <c r="L898" s="160"/>
    </row>
    <row r="899" ht="14.25" customHeight="1">
      <c r="L899" s="160"/>
    </row>
    <row r="900" ht="14.25" customHeight="1">
      <c r="L900" s="160"/>
    </row>
    <row r="901" ht="14.25" customHeight="1">
      <c r="L901" s="160"/>
    </row>
    <row r="902" ht="14.25" customHeight="1">
      <c r="L902" s="160"/>
    </row>
    <row r="903" ht="14.25" customHeight="1">
      <c r="L903" s="160"/>
    </row>
    <row r="904" ht="14.25" customHeight="1">
      <c r="L904" s="160"/>
    </row>
    <row r="905" ht="14.25" customHeight="1">
      <c r="L905" s="160"/>
    </row>
    <row r="906" ht="14.25" customHeight="1">
      <c r="L906" s="160"/>
    </row>
    <row r="907" ht="14.25" customHeight="1">
      <c r="L907" s="160"/>
    </row>
    <row r="908" ht="14.25" customHeight="1">
      <c r="L908" s="160"/>
    </row>
    <row r="909" ht="14.25" customHeight="1">
      <c r="L909" s="160"/>
    </row>
    <row r="910" ht="14.25" customHeight="1">
      <c r="L910" s="160"/>
    </row>
    <row r="911" ht="14.25" customHeight="1">
      <c r="L911" s="160"/>
    </row>
    <row r="912" ht="14.25" customHeight="1">
      <c r="L912" s="160"/>
    </row>
    <row r="913" ht="14.25" customHeight="1">
      <c r="L913" s="160"/>
    </row>
    <row r="914" ht="14.25" customHeight="1">
      <c r="L914" s="160"/>
    </row>
    <row r="915" ht="14.25" customHeight="1">
      <c r="L915" s="160"/>
    </row>
    <row r="916" ht="14.25" customHeight="1">
      <c r="L916" s="160"/>
    </row>
    <row r="917" ht="14.25" customHeight="1">
      <c r="L917" s="160"/>
    </row>
    <row r="918" ht="14.25" customHeight="1">
      <c r="L918" s="160"/>
    </row>
    <row r="919" ht="14.25" customHeight="1">
      <c r="L919" s="160"/>
    </row>
    <row r="920" ht="14.25" customHeight="1">
      <c r="L920" s="160"/>
    </row>
    <row r="921" ht="14.25" customHeight="1">
      <c r="L921" s="160"/>
    </row>
    <row r="922" ht="14.25" customHeight="1">
      <c r="L922" s="160"/>
    </row>
    <row r="923" ht="14.25" customHeight="1">
      <c r="L923" s="160"/>
    </row>
    <row r="924" ht="14.25" customHeight="1">
      <c r="L924" s="160"/>
    </row>
    <row r="925" ht="14.25" customHeight="1">
      <c r="L925" s="160"/>
    </row>
    <row r="926" ht="14.25" customHeight="1">
      <c r="L926" s="160"/>
    </row>
    <row r="927" ht="14.25" customHeight="1">
      <c r="L927" s="160"/>
    </row>
    <row r="928" ht="14.25" customHeight="1">
      <c r="L928" s="160"/>
    </row>
    <row r="929" ht="14.25" customHeight="1">
      <c r="L929" s="160"/>
    </row>
    <row r="930" ht="14.25" customHeight="1">
      <c r="L930" s="160"/>
    </row>
    <row r="931" ht="14.25" customHeight="1">
      <c r="L931" s="160"/>
    </row>
    <row r="932" ht="14.25" customHeight="1">
      <c r="L932" s="160"/>
    </row>
    <row r="933" ht="14.25" customHeight="1">
      <c r="L933" s="160"/>
    </row>
    <row r="934" ht="14.25" customHeight="1">
      <c r="L934" s="160"/>
    </row>
    <row r="935" ht="14.25" customHeight="1">
      <c r="L935" s="160"/>
    </row>
    <row r="936" ht="14.25" customHeight="1">
      <c r="L936" s="160"/>
    </row>
    <row r="937" ht="14.25" customHeight="1">
      <c r="L937" s="160"/>
    </row>
    <row r="938" ht="14.25" customHeight="1">
      <c r="L938" s="160"/>
    </row>
    <row r="939" ht="14.25" customHeight="1">
      <c r="L939" s="160"/>
    </row>
    <row r="940" ht="14.25" customHeight="1">
      <c r="L940" s="160"/>
    </row>
    <row r="941" ht="14.25" customHeight="1">
      <c r="L941" s="160"/>
    </row>
    <row r="942" ht="14.25" customHeight="1">
      <c r="L942" s="160"/>
    </row>
    <row r="943" ht="14.25" customHeight="1">
      <c r="L943" s="160"/>
    </row>
    <row r="944" ht="14.25" customHeight="1">
      <c r="L944" s="160"/>
    </row>
    <row r="945" ht="14.25" customHeight="1">
      <c r="L945" s="160"/>
    </row>
    <row r="946" ht="14.25" customHeight="1">
      <c r="L946" s="160"/>
    </row>
    <row r="947" ht="14.25" customHeight="1">
      <c r="L947" s="160"/>
    </row>
    <row r="948" ht="14.25" customHeight="1">
      <c r="L948" s="160"/>
    </row>
    <row r="949" ht="14.25" customHeight="1">
      <c r="L949" s="160"/>
    </row>
    <row r="950" ht="14.25" customHeight="1">
      <c r="L950" s="160"/>
    </row>
    <row r="951" ht="14.25" customHeight="1">
      <c r="L951" s="160"/>
    </row>
    <row r="952" ht="14.25" customHeight="1">
      <c r="L952" s="160"/>
    </row>
    <row r="953" ht="14.25" customHeight="1">
      <c r="L953" s="160"/>
    </row>
    <row r="954" ht="14.25" customHeight="1">
      <c r="L954" s="160"/>
    </row>
    <row r="955" ht="14.25" customHeight="1">
      <c r="L955" s="160"/>
    </row>
    <row r="956" ht="14.25" customHeight="1">
      <c r="L956" s="160"/>
    </row>
    <row r="957" ht="14.25" customHeight="1">
      <c r="L957" s="160"/>
    </row>
    <row r="958" ht="14.25" customHeight="1">
      <c r="L958" s="160"/>
    </row>
    <row r="959" ht="14.25" customHeight="1">
      <c r="L959" s="160"/>
    </row>
    <row r="960" ht="14.25" customHeight="1">
      <c r="L960" s="160"/>
    </row>
    <row r="961" ht="14.25" customHeight="1">
      <c r="L961" s="160"/>
    </row>
    <row r="962" ht="14.25" customHeight="1">
      <c r="L962" s="160"/>
    </row>
    <row r="963" ht="14.25" customHeight="1">
      <c r="L963" s="160"/>
    </row>
    <row r="964" ht="14.25" customHeight="1">
      <c r="L964" s="160"/>
    </row>
    <row r="965" ht="14.25" customHeight="1">
      <c r="L965" s="160"/>
    </row>
    <row r="966" ht="14.25" customHeight="1">
      <c r="L966" s="160"/>
    </row>
    <row r="967" ht="14.25" customHeight="1">
      <c r="L967" s="160"/>
    </row>
    <row r="968" ht="14.25" customHeight="1">
      <c r="L968" s="160"/>
    </row>
    <row r="969" ht="14.25" customHeight="1">
      <c r="L969" s="160"/>
    </row>
    <row r="970" ht="14.25" customHeight="1">
      <c r="L970" s="160"/>
    </row>
    <row r="971" ht="14.25" customHeight="1">
      <c r="L971" s="160"/>
    </row>
    <row r="972" ht="14.25" customHeight="1">
      <c r="L972" s="160"/>
    </row>
    <row r="973" ht="14.25" customHeight="1">
      <c r="L973" s="160"/>
    </row>
    <row r="974" ht="14.25" customHeight="1">
      <c r="L974" s="160"/>
    </row>
    <row r="975" ht="14.25" customHeight="1">
      <c r="L975" s="160"/>
    </row>
    <row r="976" ht="14.25" customHeight="1">
      <c r="L976" s="160"/>
    </row>
    <row r="977" ht="14.25" customHeight="1">
      <c r="L977" s="160"/>
    </row>
    <row r="978" ht="14.25" customHeight="1">
      <c r="L978" s="160"/>
    </row>
    <row r="979" ht="14.25" customHeight="1">
      <c r="L979" s="160"/>
    </row>
    <row r="980" ht="14.25" customHeight="1">
      <c r="L980" s="160"/>
    </row>
    <row r="981" ht="14.25" customHeight="1">
      <c r="L981" s="160"/>
    </row>
    <row r="982" ht="14.25" customHeight="1">
      <c r="L982" s="160"/>
    </row>
    <row r="983" ht="14.25" customHeight="1">
      <c r="L983" s="160"/>
    </row>
    <row r="984" ht="14.25" customHeight="1">
      <c r="L984" s="160"/>
    </row>
    <row r="985" ht="14.25" customHeight="1">
      <c r="L985" s="160"/>
    </row>
    <row r="986" ht="14.25" customHeight="1">
      <c r="L986" s="160"/>
    </row>
    <row r="987" ht="14.25" customHeight="1">
      <c r="L987" s="160"/>
    </row>
    <row r="988" ht="14.25" customHeight="1">
      <c r="L988" s="160"/>
    </row>
    <row r="989" ht="14.25" customHeight="1">
      <c r="L989" s="160"/>
    </row>
    <row r="990" ht="14.25" customHeight="1">
      <c r="L990" s="160"/>
    </row>
    <row r="991" ht="14.25" customHeight="1">
      <c r="L991" s="160"/>
    </row>
    <row r="992" ht="14.25" customHeight="1">
      <c r="L992" s="160"/>
    </row>
    <row r="993" ht="14.25" customHeight="1">
      <c r="L993" s="160"/>
    </row>
    <row r="994" ht="14.25" customHeight="1">
      <c r="L994" s="160"/>
    </row>
    <row r="995" ht="14.25" customHeight="1">
      <c r="L995" s="160"/>
    </row>
    <row r="996" ht="14.25" customHeight="1">
      <c r="L996" s="160"/>
    </row>
    <row r="997" ht="14.25" customHeight="1">
      <c r="L997" s="160"/>
    </row>
    <row r="998" ht="14.25" customHeight="1">
      <c r="L998" s="160"/>
    </row>
    <row r="999" ht="14.25" customHeight="1">
      <c r="L999" s="160"/>
    </row>
    <row r="1000" ht="14.25" customHeight="1">
      <c r="L1000" s="160"/>
    </row>
  </sheetData>
  <mergeCells count="6">
    <mergeCell ref="E3:H3"/>
    <mergeCell ref="E6:G6"/>
    <mergeCell ref="C7:C8"/>
    <mergeCell ref="E9:G9"/>
    <mergeCell ref="C10:C11"/>
    <mergeCell ref="E12:G12"/>
  </mergeCells>
  <printOptions/>
  <pageMargins bottom="0.0" footer="0.0" header="0.0" left="0.0" right="0.0" top="0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1.14"/>
    <col customWidth="1" min="3" max="3" width="48.71"/>
    <col customWidth="1" min="4" max="4" width="14.71"/>
    <col customWidth="1" min="5" max="5" width="12.57"/>
    <col customWidth="1" min="6" max="6" width="3.14"/>
    <col customWidth="1" min="7" max="7" width="12.86"/>
    <col customWidth="1" min="8" max="8" width="4.43"/>
    <col customWidth="1" min="9" max="9" width="14.57"/>
    <col customWidth="1" min="10" max="10" width="14.71"/>
    <col customWidth="1" min="11" max="11" width="15.14"/>
    <col customWidth="1" min="12" max="26" width="8.71"/>
  </cols>
  <sheetData>
    <row r="1" ht="12.0" customHeight="1">
      <c r="A1" s="197"/>
      <c r="B1" s="198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</row>
    <row r="2" ht="12.0" customHeight="1">
      <c r="A2" s="197"/>
      <c r="B2" s="198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</row>
    <row r="3" ht="12.0" customHeight="1">
      <c r="A3" s="197"/>
      <c r="B3" s="199" t="s">
        <v>406</v>
      </c>
      <c r="C3" s="199" t="s">
        <v>407</v>
      </c>
      <c r="D3" s="199" t="s">
        <v>5</v>
      </c>
      <c r="E3" s="200" t="s">
        <v>6</v>
      </c>
      <c r="F3" s="12"/>
      <c r="G3" s="13"/>
      <c r="H3" s="201"/>
      <c r="I3" s="200" t="s">
        <v>7</v>
      </c>
      <c r="J3" s="12"/>
      <c r="K3" s="13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</row>
    <row r="4" ht="12.0" customHeight="1">
      <c r="A4" s="202"/>
      <c r="B4" s="18"/>
      <c r="C4" s="18"/>
      <c r="D4" s="18"/>
      <c r="E4" s="203" t="s">
        <v>8</v>
      </c>
      <c r="F4" s="203"/>
      <c r="G4" s="203" t="s">
        <v>10</v>
      </c>
      <c r="H4" s="203"/>
      <c r="I4" s="203" t="s">
        <v>8</v>
      </c>
      <c r="J4" s="203" t="s">
        <v>10</v>
      </c>
      <c r="K4" s="203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</row>
    <row r="5" ht="12.0" customHeight="1">
      <c r="A5" s="197"/>
      <c r="B5" s="204" t="s">
        <v>11</v>
      </c>
      <c r="C5" s="205" t="s">
        <v>12</v>
      </c>
      <c r="D5" s="205"/>
      <c r="E5" s="205"/>
      <c r="F5" s="206"/>
      <c r="G5" s="206"/>
      <c r="H5" s="206"/>
      <c r="I5" s="206"/>
      <c r="J5" s="206"/>
      <c r="K5" s="206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</row>
    <row r="6" ht="12.0" customHeight="1">
      <c r="A6" s="197"/>
      <c r="B6" s="207" t="s">
        <v>13</v>
      </c>
      <c r="C6" s="208" t="s">
        <v>14</v>
      </c>
      <c r="D6" s="209"/>
      <c r="E6" s="209"/>
      <c r="F6" s="206"/>
      <c r="G6" s="206"/>
      <c r="H6" s="206"/>
      <c r="I6" s="206"/>
      <c r="J6" s="206"/>
      <c r="K6" s="206"/>
      <c r="L6" s="197"/>
      <c r="M6" s="197"/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  <c r="Y6" s="197"/>
      <c r="Z6" s="197"/>
    </row>
    <row r="7" ht="25.5" customHeight="1">
      <c r="A7" s="197"/>
      <c r="B7" s="210" t="s">
        <v>15</v>
      </c>
      <c r="C7" s="211" t="s">
        <v>16</v>
      </c>
      <c r="D7" s="212"/>
      <c r="E7" s="212"/>
      <c r="F7" s="206"/>
      <c r="G7" s="206"/>
      <c r="H7" s="206"/>
      <c r="I7" s="206"/>
      <c r="J7" s="206"/>
      <c r="K7" s="206"/>
      <c r="L7" s="197"/>
      <c r="M7" s="197"/>
      <c r="N7" s="197"/>
      <c r="O7" s="197"/>
      <c r="P7" s="197"/>
      <c r="Q7" s="197"/>
      <c r="R7" s="197"/>
      <c r="S7" s="197"/>
      <c r="T7" s="197"/>
      <c r="U7" s="197"/>
      <c r="V7" s="197"/>
      <c r="W7" s="197"/>
      <c r="X7" s="197"/>
      <c r="Y7" s="197"/>
      <c r="Z7" s="197"/>
    </row>
    <row r="8" ht="14.25" customHeight="1">
      <c r="A8" s="197"/>
      <c r="B8" s="213" t="s">
        <v>18</v>
      </c>
      <c r="C8" s="214" t="s">
        <v>19</v>
      </c>
      <c r="D8" s="215">
        <f>SD!J8</f>
        <v>2060121000</v>
      </c>
      <c r="E8" s="216">
        <f>SD!K8</f>
        <v>44809500</v>
      </c>
      <c r="F8" s="216" t="str">
        <f>SD!L8</f>
        <v/>
      </c>
      <c r="G8" s="216">
        <f>SD!M8</f>
        <v>172139900</v>
      </c>
      <c r="H8" s="216" t="str">
        <f>SD!N8</f>
        <v/>
      </c>
      <c r="I8" s="216">
        <f>SD!O8</f>
        <v>2015311500</v>
      </c>
      <c r="J8" s="216">
        <f>SD!P8</f>
        <v>1887981100</v>
      </c>
      <c r="K8" s="217" t="str">
        <f>SD!Q8</f>
        <v/>
      </c>
      <c r="L8" s="197"/>
      <c r="M8" s="197"/>
      <c r="N8" s="197"/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  <c r="Z8" s="197"/>
    </row>
    <row r="9" ht="12.0" customHeight="1">
      <c r="A9" s="197"/>
      <c r="B9" s="218" t="str">
        <f>SD!B152</f>
        <v>407</v>
      </c>
      <c r="C9" s="219" t="str">
        <f>SD!D152</f>
        <v>Sekolah Rakyat 1C Terintegrasi 07 Kabupaten Banyuwangi</v>
      </c>
      <c r="D9" s="215">
        <f>SD!J152</f>
        <v>3064496000</v>
      </c>
      <c r="E9" s="215">
        <f>SD!K152</f>
        <v>53112000</v>
      </c>
      <c r="F9" s="215" t="str">
        <f>SD!L152</f>
        <v/>
      </c>
      <c r="G9" s="215">
        <f>SD!M152</f>
        <v>137854831</v>
      </c>
      <c r="H9" s="215" t="str">
        <f>SD!N152</f>
        <v/>
      </c>
      <c r="I9" s="215">
        <f>SD!O152</f>
        <v>3011384000</v>
      </c>
      <c r="J9" s="215">
        <f>SD!P152</f>
        <v>2926641169</v>
      </c>
      <c r="K9" s="215" t="str">
        <f>SD!Q152</f>
        <v/>
      </c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</row>
    <row r="10" ht="12.0" customHeight="1">
      <c r="A10" s="197"/>
      <c r="B10" s="218" t="str">
        <f>SD!B296</f>
        <v>408</v>
      </c>
      <c r="C10" s="219" t="str">
        <f>SD!D296</f>
        <v>Sekolah Rakyat 1C Terintegrasi 08 Kabupaten Pasuruan</v>
      </c>
      <c r="D10" s="215">
        <f>SD!J296</f>
        <v>3064496000</v>
      </c>
      <c r="E10" s="215">
        <f>SD!K296</f>
        <v>170789000</v>
      </c>
      <c r="F10" s="215" t="str">
        <f>SD!L296</f>
        <v/>
      </c>
      <c r="G10" s="215">
        <f>SD!M296</f>
        <v>295770418</v>
      </c>
      <c r="H10" s="215" t="str">
        <f>SD!N296</f>
        <v/>
      </c>
      <c r="I10" s="215">
        <f>SD!O296</f>
        <v>2893707000</v>
      </c>
      <c r="J10" s="215">
        <f>SD!P296</f>
        <v>2768725582</v>
      </c>
      <c r="K10" s="215" t="str">
        <f>SD!Q296</f>
        <v/>
      </c>
      <c r="L10" s="197"/>
      <c r="M10" s="197"/>
      <c r="N10" s="197"/>
      <c r="O10" s="197"/>
      <c r="P10" s="197"/>
      <c r="Q10" s="197"/>
      <c r="R10" s="197"/>
      <c r="S10" s="197"/>
      <c r="T10" s="197"/>
      <c r="U10" s="197"/>
      <c r="V10" s="197"/>
      <c r="W10" s="197"/>
      <c r="X10" s="197"/>
      <c r="Y10" s="197"/>
      <c r="Z10" s="197"/>
    </row>
    <row r="11" ht="12.0" customHeight="1">
      <c r="A11" s="197"/>
      <c r="B11" s="218" t="str">
        <f>SD!B440</f>
        <v>409</v>
      </c>
      <c r="C11" s="219" t="str">
        <f>SD!D440</f>
        <v>Sekolah Rakyat 1C Terintegrasi 09 Kabupaten Malang</v>
      </c>
      <c r="D11" s="215">
        <f>SD!J440</f>
        <v>2060121000</v>
      </c>
      <c r="E11" s="215">
        <f>SD!K440</f>
        <v>39475500</v>
      </c>
      <c r="F11" s="215" t="str">
        <f>SD!L440</f>
        <v/>
      </c>
      <c r="G11" s="215">
        <f>SD!M440</f>
        <v>75503736</v>
      </c>
      <c r="H11" s="215" t="str">
        <f>SD!N440</f>
        <v/>
      </c>
      <c r="I11" s="215">
        <f>SD!O440</f>
        <v>2020645500</v>
      </c>
      <c r="J11" s="215">
        <f>SD!P440</f>
        <v>1984617264</v>
      </c>
      <c r="K11" s="215" t="str">
        <f>SD!Q440</f>
        <v/>
      </c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7"/>
      <c r="Z11" s="197"/>
    </row>
    <row r="12" ht="12.0" customHeight="1">
      <c r="A12" s="197"/>
      <c r="B12" s="218" t="str">
        <f>SD!B584</f>
        <v>425</v>
      </c>
      <c r="C12" s="219" t="str">
        <f>SD!D584</f>
        <v>Sekolah Rakyat 1C Terintegrasi 25 Kabupaten Sumenep</v>
      </c>
      <c r="D12" s="215">
        <f>SD!J584</f>
        <v>3064496000</v>
      </c>
      <c r="E12" s="215">
        <f>SD!K584</f>
        <v>40651000</v>
      </c>
      <c r="F12" s="215" t="str">
        <f>SD!L584</f>
        <v/>
      </c>
      <c r="G12" s="215">
        <f>SD!M584</f>
        <v>56500261</v>
      </c>
      <c r="H12" s="215" t="str">
        <f>SD!N584</f>
        <v/>
      </c>
      <c r="I12" s="215">
        <f>SD!O584</f>
        <v>3023845000</v>
      </c>
      <c r="J12" s="215">
        <f>SD!P584</f>
        <v>3007995739</v>
      </c>
      <c r="K12" s="215" t="str">
        <f>SD!Q584</f>
        <v/>
      </c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197"/>
      <c r="W12" s="197"/>
      <c r="X12" s="197"/>
      <c r="Y12" s="197"/>
      <c r="Z12" s="197"/>
    </row>
    <row r="13" ht="12.0" customHeight="1">
      <c r="A13" s="197"/>
      <c r="B13" s="218" t="str">
        <f>SD!B728</f>
        <v>426</v>
      </c>
      <c r="C13" s="219" t="str">
        <f>SD!D728</f>
        <v>Sekolah Rakyat 1C Terintegrasi 26 Kabupaten Trenggalek</v>
      </c>
      <c r="D13" s="215">
        <f>SD!J728</f>
        <v>3064496000</v>
      </c>
      <c r="E13" s="215">
        <f>SD!K728</f>
        <v>147431000</v>
      </c>
      <c r="F13" s="215" t="str">
        <f>SD!L728</f>
        <v/>
      </c>
      <c r="G13" s="215">
        <f>SD!M728</f>
        <v>281790116</v>
      </c>
      <c r="H13" s="215" t="str">
        <f>SD!N728</f>
        <v/>
      </c>
      <c r="I13" s="215">
        <f>SD!O728</f>
        <v>2917065000</v>
      </c>
      <c r="J13" s="215">
        <f>SD!P728</f>
        <v>2782705884</v>
      </c>
      <c r="K13" s="215" t="str">
        <f>SD!Q728</f>
        <v/>
      </c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7"/>
    </row>
    <row r="14" ht="12.0" customHeight="1">
      <c r="A14" s="197"/>
      <c r="B14" s="218" t="str">
        <f>SD!B872</f>
        <v>427</v>
      </c>
      <c r="C14" s="219" t="str">
        <f>SD!D872</f>
        <v>Sekolah Rakyat 1C Terintegrasi 27 Kab Bangkalan</v>
      </c>
      <c r="D14" s="215">
        <f>SD!J872</f>
        <v>3064496000</v>
      </c>
      <c r="E14" s="215">
        <f>SD!K872</f>
        <v>86340000</v>
      </c>
      <c r="F14" s="215" t="str">
        <f>SD!L872</f>
        <v/>
      </c>
      <c r="G14" s="215">
        <f>SD!M872</f>
        <v>200051918</v>
      </c>
      <c r="H14" s="215" t="str">
        <f>SD!N872</f>
        <v/>
      </c>
      <c r="I14" s="215">
        <f>SD!O872</f>
        <v>2978156000</v>
      </c>
      <c r="J14" s="215">
        <f>SD!P872</f>
        <v>2864444082</v>
      </c>
      <c r="K14" s="215" t="str">
        <f>SD!Q872</f>
        <v/>
      </c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</row>
    <row r="15" ht="12.0" customHeight="1">
      <c r="A15" s="197"/>
      <c r="B15" s="218" t="str">
        <f>SD!D1016</f>
        <v/>
      </c>
      <c r="C15" s="219" t="str">
        <f>SD!E1016</f>
        <v>Sekolah Rakyat Terintegrasi 5 Ponorogo</v>
      </c>
      <c r="D15" s="215">
        <f>SD!J1016</f>
        <v>2060121000</v>
      </c>
      <c r="E15" s="215">
        <f>SD!K1016</f>
        <v>120244000</v>
      </c>
      <c r="F15" s="215" t="str">
        <f>SD!L1016</f>
        <v/>
      </c>
      <c r="G15" s="215">
        <f>SD!M1016</f>
        <v>135116311</v>
      </c>
      <c r="H15" s="215" t="str">
        <f>SD!N1016</f>
        <v/>
      </c>
      <c r="I15" s="215">
        <f>SD!O1016</f>
        <v>1939877000</v>
      </c>
      <c r="J15" s="215">
        <f>SD!P1016</f>
        <v>1925004689</v>
      </c>
      <c r="K15" s="215" t="str">
        <f>SD!Q1016</f>
        <v/>
      </c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</row>
    <row r="16" ht="12.0" customHeight="1">
      <c r="A16" s="197"/>
      <c r="B16" s="218"/>
      <c r="C16" s="206"/>
      <c r="D16" s="220">
        <f>SUM(D8:D15)</f>
        <v>21502843000</v>
      </c>
      <c r="E16" s="206"/>
      <c r="F16" s="206"/>
      <c r="G16" s="206"/>
      <c r="H16" s="206"/>
      <c r="I16" s="206"/>
      <c r="J16" s="206"/>
      <c r="K16" s="206"/>
      <c r="L16" s="197"/>
      <c r="M16" s="197"/>
      <c r="N16" s="197"/>
      <c r="O16" s="197"/>
      <c r="P16" s="197"/>
      <c r="Q16" s="197"/>
      <c r="R16" s="197"/>
      <c r="S16" s="197"/>
      <c r="T16" s="197"/>
      <c r="U16" s="197"/>
      <c r="V16" s="197"/>
      <c r="W16" s="197"/>
      <c r="X16" s="197"/>
      <c r="Y16" s="197"/>
      <c r="Z16" s="197"/>
    </row>
    <row r="17" ht="12.0" customHeight="1">
      <c r="A17" s="197"/>
      <c r="B17" s="221" t="str">
        <f>SMP!A5</f>
        <v>7936.SBE</v>
      </c>
      <c r="C17" s="222" t="str">
        <f>SMP!D7</f>
        <v>Penyelenggaraan Pendidikan Menengah Pertama Sekolah Rakyat		</v>
      </c>
      <c r="D17" s="218"/>
      <c r="E17" s="206"/>
      <c r="F17" s="206"/>
      <c r="G17" s="206"/>
      <c r="H17" s="206"/>
      <c r="I17" s="206"/>
      <c r="J17" s="206"/>
      <c r="K17" s="206"/>
      <c r="L17" s="197"/>
      <c r="M17" s="197"/>
      <c r="N17" s="197"/>
      <c r="O17" s="197"/>
      <c r="P17" s="197"/>
      <c r="Q17" s="197"/>
      <c r="R17" s="197"/>
      <c r="S17" s="197"/>
      <c r="T17" s="197"/>
      <c r="U17" s="197"/>
      <c r="V17" s="197"/>
      <c r="W17" s="197"/>
      <c r="X17" s="197"/>
      <c r="Y17" s="197"/>
      <c r="Z17" s="197"/>
    </row>
    <row r="18" ht="12.0" customHeight="1">
      <c r="A18" s="197"/>
      <c r="B18" s="218" t="str">
        <f>SMP!A8</f>
        <v>128</v>
      </c>
      <c r="C18" s="219" t="str">
        <f>SMP!D8</f>
        <v>Sekolah Rakyat Menengah Pertama 28 Pasuruan</v>
      </c>
      <c r="D18" s="223">
        <f>SMP!J8</f>
        <v>3064496000</v>
      </c>
      <c r="E18" s="223">
        <f>SMP!K8</f>
        <v>193110000</v>
      </c>
      <c r="F18" s="223" t="str">
        <f>SMP!L8</f>
        <v/>
      </c>
      <c r="G18" s="223">
        <f>SMP!M8</f>
        <v>319604995</v>
      </c>
      <c r="H18" s="223" t="str">
        <f>SMP!N8</f>
        <v/>
      </c>
      <c r="I18" s="223">
        <f>SMP!O8</f>
        <v>2871386000</v>
      </c>
      <c r="J18" s="223">
        <f>SMP!P8</f>
        <v>2744891005</v>
      </c>
      <c r="K18" s="223" t="str">
        <f>SMP!Q8</f>
        <v/>
      </c>
      <c r="L18" s="197"/>
      <c r="M18" s="197"/>
      <c r="N18" s="197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197"/>
      <c r="Z18" s="197"/>
    </row>
    <row r="19" ht="12.0" customHeight="1">
      <c r="A19" s="197"/>
      <c r="B19" s="218" t="str">
        <f>SMP!A152</f>
        <v>129</v>
      </c>
      <c r="C19" s="219" t="str">
        <f>SMP!D152</f>
        <v>Sekolah Rakyat Menengah Pertama 29 Pamekasan</v>
      </c>
      <c r="D19" s="223">
        <f>SMP!J152</f>
        <v>3064496000</v>
      </c>
      <c r="E19" s="223">
        <f>SMP!K152</f>
        <v>122890200</v>
      </c>
      <c r="F19" s="223" t="str">
        <f>SMP!L152</f>
        <v/>
      </c>
      <c r="G19" s="223">
        <f>SMP!M152</f>
        <v>261884590</v>
      </c>
      <c r="H19" s="223" t="str">
        <f>SMP!N152</f>
        <v/>
      </c>
      <c r="I19" s="223">
        <f>SMP!O152</f>
        <v>2941605800</v>
      </c>
      <c r="J19" s="223">
        <f>SMP!P152</f>
        <v>2802611410</v>
      </c>
      <c r="K19" s="223" t="str">
        <f>SMP!Q152</f>
        <v/>
      </c>
      <c r="L19" s="197"/>
      <c r="M19" s="197"/>
      <c r="N19" s="197"/>
      <c r="O19" s="197"/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</row>
    <row r="20" ht="12.0" customHeight="1">
      <c r="A20" s="197"/>
      <c r="B20" s="218" t="str">
        <f>SMP!A296</f>
        <v>302</v>
      </c>
      <c r="C20" s="219" t="str">
        <f>SMP!D296</f>
        <v>Sekolah Rakyat Terintegrasi 2 Banyuwangi</v>
      </c>
      <c r="D20" s="215">
        <f>SMP!J296</f>
        <v>3064496000</v>
      </c>
      <c r="E20" s="215">
        <f>SMP!K296</f>
        <v>83250000</v>
      </c>
      <c r="F20" s="215" t="str">
        <f>SMP!L296</f>
        <v/>
      </c>
      <c r="G20" s="215">
        <f>SMP!M296</f>
        <v>198653500</v>
      </c>
      <c r="H20" s="215" t="str">
        <f>SMP!N296</f>
        <v/>
      </c>
      <c r="I20" s="215">
        <f>SMP!O296</f>
        <v>2981246000</v>
      </c>
      <c r="J20" s="215">
        <f>SMP!P296</f>
        <v>2865842500</v>
      </c>
      <c r="K20" s="215" t="str">
        <f>SMP!Q296</f>
        <v/>
      </c>
      <c r="L20" s="197"/>
      <c r="M20" s="197"/>
      <c r="N20" s="197"/>
      <c r="O20" s="197"/>
      <c r="P20" s="197"/>
      <c r="Q20" s="197"/>
      <c r="R20" s="197"/>
      <c r="S20" s="197"/>
      <c r="T20" s="197"/>
      <c r="U20" s="197"/>
      <c r="V20" s="197"/>
      <c r="W20" s="197"/>
      <c r="X20" s="197"/>
      <c r="Y20" s="197"/>
      <c r="Z20" s="197"/>
    </row>
    <row r="21" ht="12.0" customHeight="1">
      <c r="A21" s="197"/>
      <c r="B21" s="218" t="str">
        <f>SMP!A440</f>
        <v>303</v>
      </c>
      <c r="C21" s="219" t="str">
        <f>SMP!D440</f>
        <v>Sekolah Rakyat Terintegrasi 3 Pasuruan</v>
      </c>
      <c r="D21" s="215">
        <f>SMP!J440</f>
        <v>4068871000</v>
      </c>
      <c r="E21" s="215">
        <f>SMP!K440</f>
        <v>209098300</v>
      </c>
      <c r="F21" s="215" t="str">
        <f>SMP!L440</f>
        <v/>
      </c>
      <c r="G21" s="215">
        <f>SMP!M440</f>
        <v>291470438</v>
      </c>
      <c r="H21" s="215" t="str">
        <f>SMP!N440</f>
        <v/>
      </c>
      <c r="I21" s="215">
        <f>SMP!O440</f>
        <v>3859772700</v>
      </c>
      <c r="J21" s="215">
        <f>SMP!P440</f>
        <v>3777400562</v>
      </c>
      <c r="K21" s="215" t="str">
        <f>SMP!Q440</f>
        <v/>
      </c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</row>
    <row r="22" ht="12.0" customHeight="1">
      <c r="A22" s="197"/>
      <c r="B22" s="218" t="str">
        <f>SMP!A584</f>
        <v>426</v>
      </c>
      <c r="C22" s="219" t="str">
        <f>SMP!D584</f>
        <v>Sekolah Rakyat 1C Terintegrasi 26 Kabupaten Trenggalek</v>
      </c>
      <c r="D22" s="215">
        <f>SMP!J584</f>
        <v>2035121000</v>
      </c>
      <c r="E22" s="215">
        <f>SMP!K584</f>
        <v>33612000</v>
      </c>
      <c r="F22" s="215" t="str">
        <f>SMP!L584</f>
        <v/>
      </c>
      <c r="G22" s="215">
        <f>SMP!M584</f>
        <v>477651045</v>
      </c>
      <c r="H22" s="215" t="str">
        <f>SMP!N584</f>
        <v/>
      </c>
      <c r="I22" s="215">
        <f>SMP!O584</f>
        <v>2001509000</v>
      </c>
      <c r="J22" s="215">
        <f>SMP!P584</f>
        <v>1557469955</v>
      </c>
      <c r="K22" s="215" t="str">
        <f>SMP!Q584</f>
        <v/>
      </c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</row>
    <row r="23" ht="12.0" customHeight="1">
      <c r="A23" s="197"/>
      <c r="B23" s="218" t="str">
        <f>SMP!A728</f>
        <v>427</v>
      </c>
      <c r="C23" s="219" t="str">
        <f>SMP!D728</f>
        <v>Sekolah Rakyat 1C Terintegrasi 27 Kabupaten Bangkalan</v>
      </c>
      <c r="D23" s="215">
        <f>SMP!J728</f>
        <v>3064496000</v>
      </c>
      <c r="E23" s="215">
        <f>SMP!K728</f>
        <v>73800000</v>
      </c>
      <c r="F23" s="215" t="str">
        <f>SMP!L728</f>
        <v/>
      </c>
      <c r="G23" s="215">
        <f>SMP!M728</f>
        <v>960940010</v>
      </c>
      <c r="H23" s="215" t="str">
        <f>SMP!N728</f>
        <v/>
      </c>
      <c r="I23" s="215">
        <f>SMP!O728</f>
        <v>2990696000</v>
      </c>
      <c r="J23" s="215">
        <f>SMP!P728</f>
        <v>2103555990</v>
      </c>
      <c r="K23" s="215" t="str">
        <f>SMP!Q728</f>
        <v/>
      </c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</row>
    <row r="24" ht="12.0" customHeight="1">
      <c r="A24" s="197"/>
      <c r="B24" s="218" t="str">
        <f>SMP!C872</f>
        <v/>
      </c>
      <c r="C24" s="219" t="str">
        <f>SMP!E872</f>
        <v>Sekolah Rakyat Terintegrasi 5 Ponorogo</v>
      </c>
      <c r="D24" s="215">
        <f>SMP!J872</f>
        <v>3064496000</v>
      </c>
      <c r="E24" s="215">
        <f>SMP!K872</f>
        <v>100440000</v>
      </c>
      <c r="F24" s="215" t="str">
        <f>SMP!L872</f>
        <v/>
      </c>
      <c r="G24" s="215">
        <f>SMP!M872</f>
        <v>219022054</v>
      </c>
      <c r="H24" s="215" t="str">
        <f>SMP!N872</f>
        <v/>
      </c>
      <c r="I24" s="215">
        <f>SMP!O872</f>
        <v>2964056000</v>
      </c>
      <c r="J24" s="215">
        <f>SMP!P872</f>
        <v>2845473946</v>
      </c>
      <c r="K24" s="215" t="str">
        <f>SMP!Q872</f>
        <v/>
      </c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</row>
    <row r="25" ht="12.0" customHeight="1">
      <c r="A25" s="197"/>
      <c r="B25" s="218" t="str">
        <f>SMP!C1016</f>
        <v>307</v>
      </c>
      <c r="C25" s="219" t="str">
        <f>SMP!E1016</f>
        <v>Sekolah Rakyat Terintegrasi 7 Probolinggo</v>
      </c>
      <c r="D25" s="215">
        <f>SMP!J1016</f>
        <v>3064496000</v>
      </c>
      <c r="E25" s="215">
        <f>SMP!K1016</f>
        <v>54390000</v>
      </c>
      <c r="F25" s="215" t="str">
        <f>SMP!L1016</f>
        <v/>
      </c>
      <c r="G25" s="215">
        <f>SMP!M1016</f>
        <v>198342323</v>
      </c>
      <c r="H25" s="215" t="str">
        <f>SMP!N1016</f>
        <v/>
      </c>
      <c r="I25" s="215">
        <f>SMP!O1016</f>
        <v>3010106000</v>
      </c>
      <c r="J25" s="215">
        <f>SMP!P1016</f>
        <v>2866153677</v>
      </c>
      <c r="K25" s="215" t="str">
        <f>SMP!Q1016</f>
        <v/>
      </c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</row>
    <row r="26" ht="12.0" customHeight="1">
      <c r="A26" s="197"/>
      <c r="B26" s="218" t="str">
        <f>SMP!C1160</f>
        <v>425</v>
      </c>
      <c r="C26" s="219" t="str">
        <f>SMP!E1160</f>
        <v>Sekolah Rakyat 1C Terintegrasi 25 Kabupaten Sumenep</v>
      </c>
      <c r="D26" s="215">
        <f>SMP!J1160</f>
        <v>3064496000</v>
      </c>
      <c r="E26" s="215">
        <f>SMP!K1160</f>
        <v>242259500</v>
      </c>
      <c r="F26" s="215" t="str">
        <f>SMP!L1160</f>
        <v/>
      </c>
      <c r="G26" s="215">
        <f>SMP!M1160</f>
        <v>182673279</v>
      </c>
      <c r="H26" s="215" t="str">
        <f>SMP!N1160</f>
        <v/>
      </c>
      <c r="I26" s="215">
        <f>SMP!O1160</f>
        <v>2822236500</v>
      </c>
      <c r="J26" s="215">
        <f>SMP!P1160</f>
        <v>2881822721</v>
      </c>
      <c r="K26" s="215" t="str">
        <f>SMP!Q1160</f>
        <v/>
      </c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</row>
    <row r="27" ht="12.0" customHeight="1">
      <c r="A27" s="197"/>
      <c r="B27" s="218"/>
      <c r="C27" s="206"/>
      <c r="D27" s="220">
        <f>SUM(D18:D26)</f>
        <v>27555464000</v>
      </c>
      <c r="E27" s="206"/>
      <c r="F27" s="206"/>
      <c r="G27" s="206"/>
      <c r="H27" s="206"/>
      <c r="I27" s="206"/>
      <c r="J27" s="206"/>
      <c r="K27" s="206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</row>
    <row r="28" ht="12.0" customHeight="1">
      <c r="A28" s="197"/>
      <c r="B28" s="221" t="str">
        <f>SMA!A6</f>
        <v>7936.SBB</v>
      </c>
      <c r="C28" s="224" t="str">
        <f>SMA!D6</f>
        <v>Pendidikan Menengah[Penambahan alokasi dari SABA 999.08 ke 9A]</v>
      </c>
      <c r="D28" s="206"/>
      <c r="E28" s="206"/>
      <c r="F28" s="206"/>
      <c r="G28" s="206"/>
      <c r="H28" s="206"/>
      <c r="I28" s="206"/>
      <c r="J28" s="206"/>
      <c r="K28" s="206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</row>
    <row r="29" ht="12.0" customHeight="1">
      <c r="A29" s="197"/>
      <c r="B29" s="218" t="str">
        <f>SMA!A9</f>
        <v>210</v>
      </c>
      <c r="C29" s="206" t="str">
        <f>SMA!D9</f>
        <v>Sekolah Rakyat Menengah Atas 10 Jakarta Selatan</v>
      </c>
      <c r="D29" s="215">
        <f>SMA!J9</f>
        <v>5105246000</v>
      </c>
      <c r="E29" s="215">
        <f>SMA!K9</f>
        <v>314938900</v>
      </c>
      <c r="F29" s="215">
        <f>SMA!L9</f>
        <v>6.168927021</v>
      </c>
      <c r="G29" s="215">
        <f>SMA!M9</f>
        <v>775505596</v>
      </c>
      <c r="H29" s="215">
        <f>SMA!N9</f>
        <v>6.168927021</v>
      </c>
      <c r="I29" s="215">
        <f>SMA!O9</f>
        <v>4758307100</v>
      </c>
      <c r="J29" s="215">
        <f>SMA!P9</f>
        <v>4297740404</v>
      </c>
      <c r="K29" s="215">
        <f>SMA!Q9</f>
        <v>5073246000</v>
      </c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</row>
    <row r="30" ht="12.0" customHeight="1">
      <c r="A30" s="197"/>
      <c r="B30" s="218" t="str">
        <f>SMA!A153</f>
        <v>221</v>
      </c>
      <c r="C30" s="206" t="str">
        <f>SMA!D153</f>
        <v>Sekolah Rakyat Menengah Atas 21 Surabaya</v>
      </c>
      <c r="D30" s="215">
        <f>SMA!J153</f>
        <v>5073246000</v>
      </c>
      <c r="E30" s="215">
        <f>SMA!K153</f>
        <v>190117500</v>
      </c>
      <c r="F30" s="215">
        <f>SMA!L153</f>
        <v>3.747452814</v>
      </c>
      <c r="G30" s="215" t="str">
        <f>SMA!M153</f>
        <v/>
      </c>
      <c r="H30" s="215">
        <f>SMA!N153</f>
        <v>3.747452814</v>
      </c>
      <c r="I30" s="215">
        <f>SMA!O153</f>
        <v>4883128500</v>
      </c>
      <c r="J30" s="215">
        <f>SMA!P153</f>
        <v>5073246000</v>
      </c>
      <c r="K30" s="215">
        <f>SMA!Q153</f>
        <v>5073246000</v>
      </c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</row>
    <row r="31" ht="12.0" customHeight="1">
      <c r="A31" s="197"/>
      <c r="B31" s="218" t="str">
        <f>SMA!A297</f>
        <v>225</v>
      </c>
      <c r="C31" s="206" t="str">
        <f>SMA!D297</f>
        <v>Sekolah Rakyat Menengah Atas 25 Lamongan</v>
      </c>
      <c r="D31" s="215">
        <f>SMA!J297</f>
        <v>4068871000</v>
      </c>
      <c r="E31" s="215">
        <f>SMA!K297</f>
        <v>221025500</v>
      </c>
      <c r="F31" s="215">
        <f>SMA!L297</f>
        <v>5.432108809</v>
      </c>
      <c r="G31" s="215" t="str">
        <f>SMA!M297</f>
        <v/>
      </c>
      <c r="H31" s="215" t="str">
        <f>SMA!N297</f>
        <v/>
      </c>
      <c r="I31" s="215">
        <f>SMA!O297</f>
        <v>3847845500</v>
      </c>
      <c r="J31" s="215">
        <f>SMA!P297</f>
        <v>4068871000</v>
      </c>
      <c r="K31" s="215">
        <f>SMA!Q297</f>
        <v>4068871000</v>
      </c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</row>
    <row r="32" ht="12.0" customHeight="1">
      <c r="A32" s="197"/>
      <c r="B32" s="218" t="str">
        <f>SMA!A441</f>
        <v>302</v>
      </c>
      <c r="C32" s="206" t="str">
        <f>SMA!D441</f>
        <v>Sekolah Rakyat Terintegrasi 2 Banyuwangi </v>
      </c>
      <c r="D32" s="215">
        <f>SMA!J441</f>
        <v>3064496000</v>
      </c>
      <c r="E32" s="215">
        <f>SMA!K441</f>
        <v>150042000</v>
      </c>
      <c r="F32" s="215">
        <f>SMA!L441</f>
        <v>4.896139528</v>
      </c>
      <c r="G32" s="215" t="str">
        <f>SMA!M441</f>
        <v/>
      </c>
      <c r="H32" s="215" t="str">
        <f>SMA!N441</f>
        <v/>
      </c>
      <c r="I32" s="215">
        <f>SMA!O441</f>
        <v>2914454000</v>
      </c>
      <c r="J32" s="215">
        <f>SMA!P441</f>
        <v>3064496000</v>
      </c>
      <c r="K32" s="215">
        <f>SMA!Q441</f>
        <v>3064496000</v>
      </c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</row>
    <row r="33" ht="12.0" customHeight="1">
      <c r="A33" s="197"/>
      <c r="B33" s="218" t="str">
        <f>SMA!A585</f>
        <v>303</v>
      </c>
      <c r="C33" s="206" t="str">
        <f>SMA!D585</f>
        <v>Sekolah Rakyat Terintegrasi 3 Pasuruan</v>
      </c>
      <c r="D33" s="215">
        <f>SMA!J585</f>
        <v>4068871000</v>
      </c>
      <c r="E33" s="215">
        <f>SMA!K585</f>
        <v>198367500</v>
      </c>
      <c r="F33" s="215" t="str">
        <f>SMA!L585</f>
        <v/>
      </c>
      <c r="G33" s="215" t="str">
        <f>SMA!M585</f>
        <v/>
      </c>
      <c r="H33" s="215" t="str">
        <f>SMA!N585</f>
        <v/>
      </c>
      <c r="I33" s="215">
        <f>SMA!O585</f>
        <v>3870503500</v>
      </c>
      <c r="J33" s="215">
        <f>SMA!P585</f>
        <v>4068871000</v>
      </c>
      <c r="K33" s="215">
        <f>SMA!Q585</f>
        <v>4068871000</v>
      </c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</row>
    <row r="34" ht="12.0" customHeight="1">
      <c r="A34" s="197"/>
      <c r="B34" s="218" t="str">
        <f>SMA!A729</f>
        <v>305</v>
      </c>
      <c r="C34" s="206" t="str">
        <f>SMA!D729</f>
        <v>Sekolah Rakyat Terintegrasi 5 Ponorogo</v>
      </c>
      <c r="D34" s="215">
        <f>SMA!J729</f>
        <v>3064496000</v>
      </c>
      <c r="E34" s="215">
        <f>SMA!K729</f>
        <v>110895000</v>
      </c>
      <c r="F34" s="215" t="str">
        <f>SMA!L729</f>
        <v/>
      </c>
      <c r="G34" s="215" t="str">
        <f>SMA!M729</f>
        <v/>
      </c>
      <c r="H34" s="215" t="str">
        <f>SMA!N729</f>
        <v/>
      </c>
      <c r="I34" s="215">
        <f>SMA!O729</f>
        <v>2953601000</v>
      </c>
      <c r="J34" s="215">
        <f>SMA!P729</f>
        <v>2785651862</v>
      </c>
      <c r="K34" s="215">
        <f>SMA!Q729</f>
        <v>3064496000</v>
      </c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</row>
    <row r="35" ht="12.0" customHeight="1">
      <c r="A35" s="197"/>
      <c r="B35" s="218" t="str">
        <f>SMA!A873</f>
        <v>307</v>
      </c>
      <c r="C35" s="206" t="str">
        <f>SMA!D873</f>
        <v>Sekolah Rakyat Terintegrasi 7 Probolinggo</v>
      </c>
      <c r="D35" s="215">
        <f>SMA!J873</f>
        <v>3064496000</v>
      </c>
      <c r="E35" s="215">
        <f>SMA!K873</f>
        <v>0</v>
      </c>
      <c r="F35" s="215" t="str">
        <f>SMA!L873</f>
        <v/>
      </c>
      <c r="G35" s="215" t="str">
        <f>SMA!M873</f>
        <v/>
      </c>
      <c r="H35" s="215" t="str">
        <f>SMA!N873</f>
        <v/>
      </c>
      <c r="I35" s="215">
        <f>SMA!O873</f>
        <v>3064496000</v>
      </c>
      <c r="J35" s="215">
        <f>SMA!P873</f>
        <v>2944898884</v>
      </c>
      <c r="K35" s="215">
        <f>SMA!Q873</f>
        <v>3064496000</v>
      </c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</row>
    <row r="36" ht="12.0" customHeight="1">
      <c r="A36" s="197"/>
      <c r="B36" s="218" t="str">
        <f>SMA!A1017</f>
        <v>407</v>
      </c>
      <c r="C36" s="206" t="str">
        <f>SMA!D1017</f>
        <v>Sekolah Rakyat 1C Terintegrasi 07 Kabupaten Banyuwangi</v>
      </c>
      <c r="D36" s="215">
        <f>SMA!J1017</f>
        <v>3064496000</v>
      </c>
      <c r="E36" s="215">
        <f>SMA!K1017</f>
        <v>0</v>
      </c>
      <c r="F36" s="215" t="str">
        <f>SMA!L1017</f>
        <v/>
      </c>
      <c r="G36" s="215" t="str">
        <f>SMA!M1017</f>
        <v/>
      </c>
      <c r="H36" s="215" t="str">
        <f>SMA!N1017</f>
        <v/>
      </c>
      <c r="I36" s="215">
        <f>SMA!O1017</f>
        <v>3064496000</v>
      </c>
      <c r="J36" s="215">
        <f>SMA!P1017</f>
        <v>3064496000</v>
      </c>
      <c r="K36" s="215">
        <f>SMA!Q1017</f>
        <v>3064496000</v>
      </c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</row>
    <row r="37" ht="12.0" customHeight="1">
      <c r="A37" s="197"/>
      <c r="B37" s="218" t="str">
        <f>SMA!A1161</f>
        <v>408</v>
      </c>
      <c r="C37" s="206" t="str">
        <f>SMA!D1161</f>
        <v>Sekolah Rakyat 1C Terintegrasi 48 Kabupaten Pasuruan</v>
      </c>
      <c r="D37" s="215">
        <f>SMA!J1161</f>
        <v>3064496000</v>
      </c>
      <c r="E37" s="215">
        <f>SMA!K1161</f>
        <v>0</v>
      </c>
      <c r="F37" s="215" t="str">
        <f>SMA!L1161</f>
        <v/>
      </c>
      <c r="G37" s="215" t="str">
        <f>SMA!M1161</f>
        <v/>
      </c>
      <c r="H37" s="215" t="str">
        <f>SMA!N1161</f>
        <v/>
      </c>
      <c r="I37" s="215">
        <f>SMA!O1161</f>
        <v>3064496000</v>
      </c>
      <c r="J37" s="215">
        <f>SMA!P1161</f>
        <v>2606523376</v>
      </c>
      <c r="K37" s="215">
        <f>SMA!Q1161</f>
        <v>3064496000</v>
      </c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</row>
    <row r="38" ht="12.0" customHeight="1">
      <c r="A38" s="197"/>
      <c r="B38" s="218" t="str">
        <f>SMA!A1305</f>
        <v>409</v>
      </c>
      <c r="C38" s="206" t="str">
        <f>SMA!D1305</f>
        <v>Sekolah Rakyat 1C Terintegrasi 09 Kabupaten Malang</v>
      </c>
      <c r="D38" s="215">
        <f>SMA!J1305</f>
        <v>4068871000</v>
      </c>
      <c r="E38" s="215">
        <f>SMA!K1305</f>
        <v>0</v>
      </c>
      <c r="F38" s="215" t="str">
        <f>SMA!L1305</f>
        <v/>
      </c>
      <c r="G38" s="215" t="str">
        <f>SMA!M1305</f>
        <v/>
      </c>
      <c r="H38" s="215" t="str">
        <f>SMA!N1305</f>
        <v/>
      </c>
      <c r="I38" s="215">
        <f>SMA!O1305</f>
        <v>4068871000</v>
      </c>
      <c r="J38" s="215">
        <f>SMA!P1305</f>
        <v>4068871000</v>
      </c>
      <c r="K38" s="215">
        <f>SMA!Q1305</f>
        <v>4068871000</v>
      </c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</row>
    <row r="39" ht="12.0" customHeight="1">
      <c r="A39" s="197"/>
      <c r="B39" s="218" t="str">
        <f>SMA!A1449</f>
        <v>464</v>
      </c>
      <c r="C39" s="206" t="str">
        <f>SMA!D1449</f>
        <v>Sekolah Rakyat 1C Terintegrasi 64 Kabupaten Pacitan</v>
      </c>
      <c r="D39" s="215">
        <f>SMA!J1449</f>
        <v>5073246000</v>
      </c>
      <c r="E39" s="215">
        <f>SMA!K1449</f>
        <v>150682310</v>
      </c>
      <c r="F39" s="215" t="str">
        <f>SMA!L1449</f>
        <v/>
      </c>
      <c r="G39" s="215" t="str">
        <f>SMA!M1449</f>
        <v/>
      </c>
      <c r="H39" s="215" t="str">
        <f>SMA!N1449</f>
        <v/>
      </c>
      <c r="I39" s="215">
        <f>SMA!O1449</f>
        <v>4922563690</v>
      </c>
      <c r="J39" s="215">
        <f>SMA!P1449</f>
        <v>5073246000</v>
      </c>
      <c r="K39" s="215">
        <f>SMA!Q1449</f>
        <v>5073246000</v>
      </c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</row>
    <row r="40" ht="12.0" customHeight="1">
      <c r="A40" s="197"/>
      <c r="B40" s="218"/>
      <c r="C40" s="206"/>
      <c r="D40" s="220">
        <f>SUM(D29:D39)</f>
        <v>42780831000</v>
      </c>
      <c r="E40" s="206"/>
      <c r="F40" s="206"/>
      <c r="G40" s="206"/>
      <c r="H40" s="206"/>
      <c r="I40" s="206"/>
      <c r="J40" s="206"/>
      <c r="K40" s="206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</row>
    <row r="41" ht="12.0" customHeight="1">
      <c r="A41" s="197"/>
      <c r="B41" s="198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</row>
    <row r="42" ht="12.0" customHeight="1">
      <c r="A42" s="197"/>
      <c r="B42" s="198"/>
      <c r="C42" s="197"/>
      <c r="D42" s="225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</row>
    <row r="43" ht="12.0" customHeight="1">
      <c r="A43" s="197"/>
      <c r="B43" s="198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</row>
    <row r="44" ht="12.0" customHeight="1">
      <c r="A44" s="197"/>
      <c r="B44" s="198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</row>
    <row r="45" ht="12.0" customHeight="1">
      <c r="A45" s="197"/>
      <c r="B45" s="198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</row>
    <row r="46" ht="12.0" customHeight="1">
      <c r="A46" s="197"/>
      <c r="B46" s="198"/>
      <c r="C46" s="197"/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</row>
    <row r="47" ht="12.0" customHeight="1">
      <c r="A47" s="197"/>
      <c r="B47" s="198"/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</row>
    <row r="48" ht="12.0" customHeight="1">
      <c r="A48" s="197"/>
      <c r="B48" s="198"/>
      <c r="C48" s="197"/>
      <c r="D48" s="197"/>
      <c r="E48" s="197"/>
      <c r="F48" s="197"/>
      <c r="G48" s="197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</row>
    <row r="49" ht="12.0" customHeight="1">
      <c r="A49" s="197"/>
      <c r="B49" s="198"/>
      <c r="C49" s="197"/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</row>
    <row r="50" ht="12.0" customHeight="1">
      <c r="A50" s="197"/>
      <c r="B50" s="198"/>
      <c r="C50" s="197"/>
      <c r="D50" s="197"/>
      <c r="E50" s="197"/>
      <c r="F50" s="197"/>
      <c r="G50" s="197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</row>
    <row r="51" ht="12.0" customHeight="1">
      <c r="A51" s="197"/>
      <c r="B51" s="198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</row>
    <row r="52" ht="12.0" customHeight="1">
      <c r="A52" s="197"/>
      <c r="B52" s="198"/>
      <c r="C52" s="197"/>
      <c r="D52" s="197"/>
      <c r="E52" s="197"/>
      <c r="F52" s="197"/>
      <c r="G52" s="197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</row>
    <row r="53" ht="12.0" customHeight="1">
      <c r="A53" s="197"/>
      <c r="B53" s="198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</row>
    <row r="54" ht="12.0" customHeight="1">
      <c r="A54" s="197"/>
      <c r="B54" s="198"/>
      <c r="C54" s="197"/>
      <c r="D54" s="197"/>
      <c r="E54" s="197"/>
      <c r="F54" s="197"/>
      <c r="G54" s="197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</row>
    <row r="55" ht="12.0" customHeight="1">
      <c r="A55" s="197"/>
      <c r="B55" s="198"/>
      <c r="C55" s="197"/>
      <c r="D55" s="197"/>
      <c r="E55" s="197"/>
      <c r="F55" s="197"/>
      <c r="G55" s="197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</row>
    <row r="56" ht="12.0" customHeight="1">
      <c r="A56" s="197"/>
      <c r="B56" s="198"/>
      <c r="C56" s="197"/>
      <c r="D56" s="197"/>
      <c r="E56" s="197"/>
      <c r="F56" s="197"/>
      <c r="G56" s="197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</row>
    <row r="57" ht="12.0" customHeight="1">
      <c r="A57" s="197"/>
      <c r="B57" s="198"/>
      <c r="C57" s="197"/>
      <c r="D57" s="197"/>
      <c r="E57" s="197"/>
      <c r="F57" s="197"/>
      <c r="G57" s="197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</row>
    <row r="58" ht="12.0" customHeight="1">
      <c r="A58" s="197"/>
      <c r="B58" s="198"/>
      <c r="C58" s="197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</row>
    <row r="59" ht="12.0" customHeight="1">
      <c r="A59" s="197"/>
      <c r="B59" s="198"/>
      <c r="C59" s="197"/>
      <c r="D59" s="197"/>
      <c r="E59" s="197"/>
      <c r="F59" s="197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</row>
    <row r="60" ht="12.0" customHeight="1">
      <c r="A60" s="197"/>
      <c r="B60" s="198"/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</row>
    <row r="61" ht="12.0" customHeight="1">
      <c r="A61" s="197"/>
      <c r="B61" s="198"/>
      <c r="C61" s="197"/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</row>
    <row r="62" ht="12.0" customHeight="1">
      <c r="A62" s="197"/>
      <c r="B62" s="198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</row>
    <row r="63" ht="12.0" customHeight="1">
      <c r="A63" s="197"/>
      <c r="B63" s="198"/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</row>
    <row r="64" ht="12.0" customHeight="1">
      <c r="A64" s="197"/>
      <c r="B64" s="198"/>
      <c r="C64" s="197"/>
      <c r="D64" s="197"/>
      <c r="E64" s="197"/>
      <c r="F64" s="197"/>
      <c r="G64" s="197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</row>
    <row r="65" ht="12.0" customHeight="1">
      <c r="A65" s="197"/>
      <c r="B65" s="198"/>
      <c r="C65" s="197"/>
      <c r="D65" s="197"/>
      <c r="E65" s="197"/>
      <c r="F65" s="197"/>
      <c r="G65" s="197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</row>
    <row r="66" ht="12.0" customHeight="1">
      <c r="A66" s="197"/>
      <c r="B66" s="198"/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</row>
    <row r="67" ht="12.0" customHeight="1">
      <c r="A67" s="197"/>
      <c r="B67" s="198"/>
      <c r="C67" s="197"/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</row>
    <row r="68" ht="12.0" customHeight="1">
      <c r="A68" s="197"/>
      <c r="B68" s="198"/>
      <c r="C68" s="197"/>
      <c r="D68" s="197"/>
      <c r="E68" s="197"/>
      <c r="F68" s="197"/>
      <c r="G68" s="197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</row>
    <row r="69" ht="12.0" customHeight="1">
      <c r="A69" s="197"/>
      <c r="B69" s="198"/>
      <c r="C69" s="197"/>
      <c r="D69" s="197"/>
      <c r="E69" s="197"/>
      <c r="F69" s="197"/>
      <c r="G69" s="197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</row>
    <row r="70" ht="12.0" customHeight="1">
      <c r="A70" s="197"/>
      <c r="B70" s="198"/>
      <c r="C70" s="197"/>
      <c r="D70" s="197"/>
      <c r="E70" s="197"/>
      <c r="F70" s="197"/>
      <c r="G70" s="197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</row>
    <row r="71" ht="12.0" customHeight="1">
      <c r="A71" s="197"/>
      <c r="B71" s="198"/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</row>
    <row r="72" ht="12.0" customHeight="1">
      <c r="A72" s="197"/>
      <c r="B72" s="198"/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</row>
    <row r="73" ht="12.0" customHeight="1">
      <c r="A73" s="197"/>
      <c r="B73" s="198"/>
      <c r="C73" s="197"/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</row>
    <row r="74" ht="12.0" customHeight="1">
      <c r="A74" s="197"/>
      <c r="B74" s="198"/>
      <c r="C74" s="197"/>
      <c r="D74" s="197"/>
      <c r="E74" s="197"/>
      <c r="F74" s="197"/>
      <c r="G74" s="197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</row>
    <row r="75" ht="12.0" customHeight="1">
      <c r="A75" s="197"/>
      <c r="B75" s="198"/>
      <c r="C75" s="197"/>
      <c r="D75" s="197"/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</row>
    <row r="76" ht="12.0" customHeight="1">
      <c r="A76" s="197"/>
      <c r="B76" s="198"/>
      <c r="C76" s="197"/>
      <c r="D76" s="197"/>
      <c r="E76" s="197"/>
      <c r="F76" s="197"/>
      <c r="G76" s="197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</row>
    <row r="77" ht="12.0" customHeight="1">
      <c r="A77" s="197"/>
      <c r="B77" s="198"/>
      <c r="C77" s="197"/>
      <c r="D77" s="197"/>
      <c r="E77" s="197"/>
      <c r="F77" s="197"/>
      <c r="G77" s="197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</row>
    <row r="78" ht="12.0" customHeight="1">
      <c r="A78" s="197"/>
      <c r="B78" s="198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</row>
    <row r="79" ht="12.0" customHeight="1">
      <c r="A79" s="197"/>
      <c r="B79" s="198"/>
      <c r="C79" s="197"/>
      <c r="D79" s="197"/>
      <c r="E79" s="197"/>
      <c r="F79" s="197"/>
      <c r="G79" s="197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</row>
    <row r="80" ht="12.0" customHeight="1">
      <c r="A80" s="197"/>
      <c r="B80" s="198"/>
      <c r="C80" s="197"/>
      <c r="D80" s="197"/>
      <c r="E80" s="197"/>
      <c r="F80" s="197"/>
      <c r="G80" s="197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</row>
    <row r="81" ht="12.0" customHeight="1">
      <c r="A81" s="197"/>
      <c r="B81" s="198"/>
      <c r="C81" s="197"/>
      <c r="D81" s="197"/>
      <c r="E81" s="197"/>
      <c r="F81" s="197"/>
      <c r="G81" s="197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</row>
    <row r="82" ht="12.0" customHeight="1">
      <c r="A82" s="197"/>
      <c r="B82" s="198"/>
      <c r="C82" s="197"/>
      <c r="D82" s="197"/>
      <c r="E82" s="197"/>
      <c r="F82" s="197"/>
      <c r="G82" s="197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</row>
    <row r="83" ht="12.0" customHeight="1">
      <c r="A83" s="197"/>
      <c r="B83" s="198"/>
      <c r="C83" s="197"/>
      <c r="D83" s="197"/>
      <c r="E83" s="197"/>
      <c r="F83" s="197"/>
      <c r="G83" s="197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</row>
    <row r="84" ht="12.0" customHeight="1">
      <c r="A84" s="197"/>
      <c r="B84" s="198"/>
      <c r="C84" s="197"/>
      <c r="D84" s="197"/>
      <c r="E84" s="197"/>
      <c r="F84" s="197"/>
      <c r="G84" s="197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</row>
    <row r="85" ht="12.0" customHeight="1">
      <c r="A85" s="197"/>
      <c r="B85" s="198"/>
      <c r="C85" s="197"/>
      <c r="D85" s="197"/>
      <c r="E85" s="197"/>
      <c r="F85" s="197"/>
      <c r="G85" s="197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</row>
    <row r="86" ht="12.0" customHeight="1">
      <c r="A86" s="197"/>
      <c r="B86" s="198"/>
      <c r="C86" s="197"/>
      <c r="D86" s="197"/>
      <c r="E86" s="197"/>
      <c r="F86" s="197"/>
      <c r="G86" s="197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</row>
    <row r="87" ht="12.0" customHeight="1">
      <c r="A87" s="197"/>
      <c r="B87" s="198"/>
      <c r="C87" s="197"/>
      <c r="D87" s="197"/>
      <c r="E87" s="197"/>
      <c r="F87" s="197"/>
      <c r="G87" s="197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</row>
    <row r="88" ht="12.0" customHeight="1">
      <c r="A88" s="197"/>
      <c r="B88" s="198"/>
      <c r="C88" s="197"/>
      <c r="D88" s="197"/>
      <c r="E88" s="197"/>
      <c r="F88" s="197"/>
      <c r="G88" s="197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</row>
    <row r="89" ht="12.0" customHeight="1">
      <c r="A89" s="197"/>
      <c r="B89" s="198"/>
      <c r="C89" s="197"/>
      <c r="D89" s="197"/>
      <c r="E89" s="197"/>
      <c r="F89" s="197"/>
      <c r="G89" s="197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</row>
    <row r="90" ht="12.0" customHeight="1">
      <c r="A90" s="197"/>
      <c r="B90" s="198"/>
      <c r="C90" s="197"/>
      <c r="D90" s="197"/>
      <c r="E90" s="197"/>
      <c r="F90" s="197"/>
      <c r="G90" s="197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</row>
    <row r="91" ht="12.0" customHeight="1">
      <c r="A91" s="197"/>
      <c r="B91" s="198"/>
      <c r="C91" s="197"/>
      <c r="D91" s="197"/>
      <c r="E91" s="197"/>
      <c r="F91" s="197"/>
      <c r="G91" s="197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</row>
    <row r="92" ht="12.0" customHeight="1">
      <c r="A92" s="197"/>
      <c r="B92" s="198"/>
      <c r="C92" s="197"/>
      <c r="D92" s="197"/>
      <c r="E92" s="197"/>
      <c r="F92" s="197"/>
      <c r="G92" s="197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</row>
    <row r="93" ht="12.0" customHeight="1">
      <c r="A93" s="197"/>
      <c r="B93" s="198"/>
      <c r="C93" s="197"/>
      <c r="D93" s="197"/>
      <c r="E93" s="197"/>
      <c r="F93" s="197"/>
      <c r="G93" s="197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</row>
    <row r="94" ht="12.0" customHeight="1">
      <c r="A94" s="197"/>
      <c r="B94" s="198"/>
      <c r="C94" s="197"/>
      <c r="D94" s="197"/>
      <c r="E94" s="197"/>
      <c r="F94" s="197"/>
      <c r="G94" s="197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</row>
    <row r="95" ht="12.0" customHeight="1">
      <c r="A95" s="197"/>
      <c r="B95" s="198"/>
      <c r="C95" s="197"/>
      <c r="D95" s="197"/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</row>
    <row r="96" ht="12.0" customHeight="1">
      <c r="A96" s="197"/>
      <c r="B96" s="198"/>
      <c r="C96" s="197"/>
      <c r="D96" s="197"/>
      <c r="E96" s="197"/>
      <c r="F96" s="197"/>
      <c r="G96" s="197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</row>
    <row r="97" ht="12.0" customHeight="1">
      <c r="A97" s="197"/>
      <c r="B97" s="198"/>
      <c r="C97" s="197"/>
      <c r="D97" s="197"/>
      <c r="E97" s="197"/>
      <c r="F97" s="197"/>
      <c r="G97" s="197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</row>
    <row r="98" ht="12.0" customHeight="1">
      <c r="A98" s="197"/>
      <c r="B98" s="198"/>
      <c r="C98" s="197"/>
      <c r="D98" s="197"/>
      <c r="E98" s="197"/>
      <c r="F98" s="197"/>
      <c r="G98" s="197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</row>
    <row r="99" ht="12.0" customHeight="1">
      <c r="A99" s="197"/>
      <c r="B99" s="198"/>
      <c r="C99" s="197"/>
      <c r="D99" s="197"/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</row>
    <row r="100" ht="12.0" customHeight="1">
      <c r="A100" s="197"/>
      <c r="B100" s="198"/>
      <c r="C100" s="197"/>
      <c r="D100" s="197"/>
      <c r="E100" s="197"/>
      <c r="F100" s="197"/>
      <c r="G100" s="197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</row>
    <row r="101" ht="12.0" customHeight="1">
      <c r="A101" s="197"/>
      <c r="B101" s="198"/>
      <c r="C101" s="197"/>
      <c r="D101" s="197"/>
      <c r="E101" s="197"/>
      <c r="F101" s="197"/>
      <c r="G101" s="197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</row>
    <row r="102" ht="12.0" customHeight="1">
      <c r="A102" s="197"/>
      <c r="B102" s="198"/>
      <c r="C102" s="197"/>
      <c r="D102" s="197"/>
      <c r="E102" s="197"/>
      <c r="F102" s="197"/>
      <c r="G102" s="197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</row>
    <row r="103" ht="12.0" customHeight="1">
      <c r="A103" s="197"/>
      <c r="B103" s="198"/>
      <c r="C103" s="197"/>
      <c r="D103" s="197"/>
      <c r="E103" s="197"/>
      <c r="F103" s="197"/>
      <c r="G103" s="197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</row>
    <row r="104" ht="12.0" customHeight="1">
      <c r="A104" s="197"/>
      <c r="B104" s="198"/>
      <c r="C104" s="197"/>
      <c r="D104" s="197"/>
      <c r="E104" s="197"/>
      <c r="F104" s="197"/>
      <c r="G104" s="197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</row>
    <row r="105" ht="12.0" customHeight="1">
      <c r="A105" s="197"/>
      <c r="B105" s="198"/>
      <c r="C105" s="197"/>
      <c r="D105" s="197"/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</row>
    <row r="106" ht="12.0" customHeight="1">
      <c r="A106" s="197"/>
      <c r="B106" s="198"/>
      <c r="C106" s="197"/>
      <c r="D106" s="197"/>
      <c r="E106" s="197"/>
      <c r="F106" s="197"/>
      <c r="G106" s="197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</row>
    <row r="107" ht="12.0" customHeight="1">
      <c r="A107" s="197"/>
      <c r="B107" s="198"/>
      <c r="C107" s="197"/>
      <c r="D107" s="197"/>
      <c r="E107" s="197"/>
      <c r="F107" s="197"/>
      <c r="G107" s="197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</row>
    <row r="108" ht="12.0" customHeight="1">
      <c r="A108" s="197"/>
      <c r="B108" s="198"/>
      <c r="C108" s="197"/>
      <c r="D108" s="197"/>
      <c r="E108" s="197"/>
      <c r="F108" s="197"/>
      <c r="G108" s="197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</row>
    <row r="109" ht="12.0" customHeight="1">
      <c r="A109" s="197"/>
      <c r="B109" s="198"/>
      <c r="C109" s="197"/>
      <c r="D109" s="197"/>
      <c r="E109" s="197"/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</row>
    <row r="110" ht="12.0" customHeight="1">
      <c r="A110" s="197"/>
      <c r="B110" s="198"/>
      <c r="C110" s="197"/>
      <c r="D110" s="197"/>
      <c r="E110" s="197"/>
      <c r="F110" s="197"/>
      <c r="G110" s="197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</row>
    <row r="111" ht="12.0" customHeight="1">
      <c r="A111" s="197"/>
      <c r="B111" s="198"/>
      <c r="C111" s="197"/>
      <c r="D111" s="197"/>
      <c r="E111" s="197"/>
      <c r="F111" s="197"/>
      <c r="G111" s="197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</row>
    <row r="112" ht="12.0" customHeight="1">
      <c r="A112" s="197"/>
      <c r="B112" s="198"/>
      <c r="C112" s="197"/>
      <c r="D112" s="197"/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</row>
    <row r="113" ht="12.0" customHeight="1">
      <c r="A113" s="197"/>
      <c r="B113" s="198"/>
      <c r="C113" s="197"/>
      <c r="D113" s="197"/>
      <c r="E113" s="197"/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</row>
    <row r="114" ht="12.0" customHeight="1">
      <c r="A114" s="197"/>
      <c r="B114" s="198"/>
      <c r="C114" s="197"/>
      <c r="D114" s="197"/>
      <c r="E114" s="197"/>
      <c r="F114" s="197"/>
      <c r="G114" s="197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</row>
    <row r="115" ht="12.0" customHeight="1">
      <c r="A115" s="197"/>
      <c r="B115" s="198"/>
      <c r="C115" s="197"/>
      <c r="D115" s="197"/>
      <c r="E115" s="197"/>
      <c r="F115" s="197"/>
      <c r="G115" s="197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</row>
    <row r="116" ht="12.0" customHeight="1">
      <c r="A116" s="197"/>
      <c r="B116" s="198"/>
      <c r="C116" s="197"/>
      <c r="D116" s="197"/>
      <c r="E116" s="197"/>
      <c r="F116" s="197"/>
      <c r="G116" s="197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</row>
    <row r="117" ht="12.0" customHeight="1">
      <c r="A117" s="197"/>
      <c r="B117" s="198"/>
      <c r="C117" s="197"/>
      <c r="D117" s="197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</row>
    <row r="118" ht="12.0" customHeight="1">
      <c r="A118" s="197"/>
      <c r="B118" s="198"/>
      <c r="C118" s="197"/>
      <c r="D118" s="197"/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</row>
    <row r="119" ht="12.0" customHeight="1">
      <c r="A119" s="197"/>
      <c r="B119" s="198"/>
      <c r="C119" s="197"/>
      <c r="D119" s="197"/>
      <c r="E119" s="197"/>
      <c r="F119" s="197"/>
      <c r="G119" s="197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</row>
    <row r="120" ht="12.0" customHeight="1">
      <c r="A120" s="197"/>
      <c r="B120" s="198"/>
      <c r="C120" s="197"/>
      <c r="D120" s="197"/>
      <c r="E120" s="197"/>
      <c r="F120" s="197"/>
      <c r="G120" s="197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</row>
    <row r="121" ht="12.0" customHeight="1">
      <c r="A121" s="197"/>
      <c r="B121" s="198"/>
      <c r="C121" s="197"/>
      <c r="D121" s="197"/>
      <c r="E121" s="197"/>
      <c r="F121" s="197"/>
      <c r="G121" s="197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</row>
    <row r="122" ht="12.0" customHeight="1">
      <c r="A122" s="197"/>
      <c r="B122" s="198"/>
      <c r="C122" s="197"/>
      <c r="D122" s="197"/>
      <c r="E122" s="197"/>
      <c r="F122" s="197"/>
      <c r="G122" s="197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</row>
    <row r="123" ht="12.0" customHeight="1">
      <c r="A123" s="197"/>
      <c r="B123" s="198"/>
      <c r="C123" s="197"/>
      <c r="D123" s="197"/>
      <c r="E123" s="197"/>
      <c r="F123" s="197"/>
      <c r="G123" s="197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</row>
    <row r="124" ht="12.0" customHeight="1">
      <c r="A124" s="197"/>
      <c r="B124" s="198"/>
      <c r="C124" s="197"/>
      <c r="D124" s="197"/>
      <c r="E124" s="197"/>
      <c r="F124" s="197"/>
      <c r="G124" s="197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</row>
    <row r="125" ht="12.0" customHeight="1">
      <c r="A125" s="197"/>
      <c r="B125" s="198"/>
      <c r="C125" s="197"/>
      <c r="D125" s="197"/>
      <c r="E125" s="197"/>
      <c r="F125" s="197"/>
      <c r="G125" s="197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</row>
    <row r="126" ht="12.0" customHeight="1">
      <c r="A126" s="197"/>
      <c r="B126" s="198"/>
      <c r="C126" s="197"/>
      <c r="D126" s="197"/>
      <c r="E126" s="197"/>
      <c r="F126" s="197"/>
      <c r="G126" s="197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</row>
    <row r="127" ht="12.0" customHeight="1">
      <c r="A127" s="197"/>
      <c r="B127" s="198"/>
      <c r="C127" s="197"/>
      <c r="D127" s="197"/>
      <c r="E127" s="197"/>
      <c r="F127" s="197"/>
      <c r="G127" s="197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</row>
    <row r="128" ht="12.0" customHeight="1">
      <c r="A128" s="197"/>
      <c r="B128" s="198"/>
      <c r="C128" s="197"/>
      <c r="D128" s="197"/>
      <c r="E128" s="197"/>
      <c r="F128" s="197"/>
      <c r="G128" s="197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</row>
    <row r="129" ht="12.0" customHeight="1">
      <c r="A129" s="197"/>
      <c r="B129" s="198"/>
      <c r="C129" s="197"/>
      <c r="D129" s="197"/>
      <c r="E129" s="197"/>
      <c r="F129" s="197"/>
      <c r="G129" s="197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</row>
    <row r="130" ht="12.0" customHeight="1">
      <c r="A130" s="197"/>
      <c r="B130" s="198"/>
      <c r="C130" s="197"/>
      <c r="D130" s="197"/>
      <c r="E130" s="197"/>
      <c r="F130" s="197"/>
      <c r="G130" s="197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</row>
    <row r="131" ht="12.0" customHeight="1">
      <c r="A131" s="197"/>
      <c r="B131" s="198"/>
      <c r="C131" s="197"/>
      <c r="D131" s="197"/>
      <c r="E131" s="197"/>
      <c r="F131" s="197"/>
      <c r="G131" s="197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197"/>
      <c r="Y131" s="197"/>
      <c r="Z131" s="197"/>
    </row>
    <row r="132" ht="12.0" customHeight="1">
      <c r="A132" s="197"/>
      <c r="B132" s="198"/>
      <c r="C132" s="197"/>
      <c r="D132" s="197"/>
      <c r="E132" s="197"/>
      <c r="F132" s="197"/>
      <c r="G132" s="197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</row>
    <row r="133" ht="12.0" customHeight="1">
      <c r="A133" s="197"/>
      <c r="B133" s="198"/>
      <c r="C133" s="197"/>
      <c r="D133" s="197"/>
      <c r="E133" s="197"/>
      <c r="F133" s="197"/>
      <c r="G133" s="197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197"/>
      <c r="Y133" s="197"/>
      <c r="Z133" s="197"/>
    </row>
    <row r="134" ht="12.0" customHeight="1">
      <c r="A134" s="197"/>
      <c r="B134" s="198"/>
      <c r="C134" s="197"/>
      <c r="D134" s="197"/>
      <c r="E134" s="197"/>
      <c r="F134" s="197"/>
      <c r="G134" s="197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</row>
    <row r="135" ht="12.0" customHeight="1">
      <c r="A135" s="197"/>
      <c r="B135" s="198"/>
      <c r="C135" s="197"/>
      <c r="D135" s="197"/>
      <c r="E135" s="197"/>
      <c r="F135" s="197"/>
      <c r="G135" s="197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</row>
    <row r="136" ht="12.0" customHeight="1">
      <c r="A136" s="197"/>
      <c r="B136" s="198"/>
      <c r="C136" s="197"/>
      <c r="D136" s="197"/>
      <c r="E136" s="197"/>
      <c r="F136" s="197"/>
      <c r="G136" s="197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</row>
    <row r="137" ht="12.0" customHeight="1">
      <c r="A137" s="197"/>
      <c r="B137" s="198"/>
      <c r="C137" s="197"/>
      <c r="D137" s="197"/>
      <c r="E137" s="197"/>
      <c r="F137" s="197"/>
      <c r="G137" s="197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</row>
    <row r="138" ht="12.0" customHeight="1">
      <c r="A138" s="197"/>
      <c r="B138" s="198"/>
      <c r="C138" s="197"/>
      <c r="D138" s="197"/>
      <c r="E138" s="197"/>
      <c r="F138" s="197"/>
      <c r="G138" s="197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</row>
    <row r="139" ht="12.0" customHeight="1">
      <c r="A139" s="197"/>
      <c r="B139" s="198"/>
      <c r="C139" s="197"/>
      <c r="D139" s="197"/>
      <c r="E139" s="197"/>
      <c r="F139" s="197"/>
      <c r="G139" s="197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</row>
    <row r="140" ht="12.0" customHeight="1">
      <c r="A140" s="197"/>
      <c r="B140" s="198"/>
      <c r="C140" s="197"/>
      <c r="D140" s="197"/>
      <c r="E140" s="197"/>
      <c r="F140" s="197"/>
      <c r="G140" s="197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</row>
    <row r="141" ht="12.0" customHeight="1">
      <c r="A141" s="197"/>
      <c r="B141" s="198"/>
      <c r="C141" s="197"/>
      <c r="D141" s="197"/>
      <c r="E141" s="197"/>
      <c r="F141" s="197"/>
      <c r="G141" s="197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</row>
    <row r="142" ht="12.0" customHeight="1">
      <c r="A142" s="197"/>
      <c r="B142" s="198"/>
      <c r="C142" s="197"/>
      <c r="D142" s="197"/>
      <c r="E142" s="197"/>
      <c r="F142" s="197"/>
      <c r="G142" s="197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</row>
    <row r="143" ht="12.0" customHeight="1">
      <c r="A143" s="197"/>
      <c r="B143" s="198"/>
      <c r="C143" s="197"/>
      <c r="D143" s="197"/>
      <c r="E143" s="197"/>
      <c r="F143" s="197"/>
      <c r="G143" s="197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</row>
    <row r="144" ht="12.0" customHeight="1">
      <c r="A144" s="197"/>
      <c r="B144" s="198"/>
      <c r="C144" s="197"/>
      <c r="D144" s="197"/>
      <c r="E144" s="197"/>
      <c r="F144" s="197"/>
      <c r="G144" s="197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</row>
    <row r="145" ht="12.0" customHeight="1">
      <c r="A145" s="197"/>
      <c r="B145" s="198"/>
      <c r="C145" s="197"/>
      <c r="D145" s="197"/>
      <c r="E145" s="197"/>
      <c r="F145" s="197"/>
      <c r="G145" s="197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</row>
    <row r="146" ht="12.0" customHeight="1">
      <c r="A146" s="197"/>
      <c r="B146" s="198"/>
      <c r="C146" s="197"/>
      <c r="D146" s="197"/>
      <c r="E146" s="197"/>
      <c r="F146" s="197"/>
      <c r="G146" s="197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</row>
    <row r="147" ht="12.0" customHeight="1">
      <c r="A147" s="197"/>
      <c r="B147" s="198"/>
      <c r="C147" s="197"/>
      <c r="D147" s="197"/>
      <c r="E147" s="197"/>
      <c r="F147" s="197"/>
      <c r="G147" s="197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</row>
    <row r="148" ht="12.0" customHeight="1">
      <c r="A148" s="197"/>
      <c r="B148" s="198"/>
      <c r="C148" s="197"/>
      <c r="D148" s="197"/>
      <c r="E148" s="197"/>
      <c r="F148" s="197"/>
      <c r="G148" s="197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</row>
    <row r="149" ht="12.0" customHeight="1">
      <c r="A149" s="197"/>
      <c r="B149" s="198"/>
      <c r="C149" s="197"/>
      <c r="D149" s="197"/>
      <c r="E149" s="197"/>
      <c r="F149" s="197"/>
      <c r="G149" s="197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</row>
    <row r="150" ht="12.0" customHeight="1">
      <c r="A150" s="197"/>
      <c r="B150" s="198"/>
      <c r="C150" s="197"/>
      <c r="D150" s="197"/>
      <c r="E150" s="197"/>
      <c r="F150" s="197"/>
      <c r="G150" s="197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</row>
    <row r="151" ht="12.0" customHeight="1">
      <c r="A151" s="197"/>
      <c r="B151" s="198"/>
      <c r="C151" s="197"/>
      <c r="D151" s="197"/>
      <c r="E151" s="197"/>
      <c r="F151" s="197"/>
      <c r="G151" s="197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</row>
    <row r="152" ht="12.0" customHeight="1">
      <c r="A152" s="197"/>
      <c r="B152" s="198"/>
      <c r="C152" s="197"/>
      <c r="D152" s="197"/>
      <c r="E152" s="197"/>
      <c r="F152" s="197"/>
      <c r="G152" s="197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</row>
    <row r="153" ht="12.0" customHeight="1">
      <c r="A153" s="197"/>
      <c r="B153" s="198"/>
      <c r="C153" s="197"/>
      <c r="D153" s="197"/>
      <c r="E153" s="197"/>
      <c r="F153" s="197"/>
      <c r="G153" s="197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</row>
    <row r="154" ht="12.0" customHeight="1">
      <c r="A154" s="197"/>
      <c r="B154" s="198"/>
      <c r="C154" s="197"/>
      <c r="D154" s="197"/>
      <c r="E154" s="197"/>
      <c r="F154" s="197"/>
      <c r="G154" s="197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</row>
    <row r="155" ht="12.0" customHeight="1">
      <c r="A155" s="197"/>
      <c r="B155" s="198"/>
      <c r="C155" s="197"/>
      <c r="D155" s="197"/>
      <c r="E155" s="197"/>
      <c r="F155" s="197"/>
      <c r="G155" s="197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</row>
    <row r="156" ht="12.0" customHeight="1">
      <c r="A156" s="197"/>
      <c r="B156" s="198"/>
      <c r="C156" s="197"/>
      <c r="D156" s="197"/>
      <c r="E156" s="197"/>
      <c r="F156" s="197"/>
      <c r="G156" s="197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</row>
    <row r="157" ht="12.0" customHeight="1">
      <c r="A157" s="197"/>
      <c r="B157" s="198"/>
      <c r="C157" s="197"/>
      <c r="D157" s="197"/>
      <c r="E157" s="197"/>
      <c r="F157" s="197"/>
      <c r="G157" s="197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</row>
    <row r="158" ht="12.0" customHeight="1">
      <c r="A158" s="197"/>
      <c r="B158" s="198"/>
      <c r="C158" s="197"/>
      <c r="D158" s="197"/>
      <c r="E158" s="197"/>
      <c r="F158" s="197"/>
      <c r="G158" s="197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</row>
    <row r="159" ht="12.0" customHeight="1">
      <c r="A159" s="197"/>
      <c r="B159" s="198"/>
      <c r="C159" s="197"/>
      <c r="D159" s="197"/>
      <c r="E159" s="197"/>
      <c r="F159" s="197"/>
      <c r="G159" s="197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</row>
    <row r="160" ht="12.0" customHeight="1">
      <c r="A160" s="197"/>
      <c r="B160" s="198"/>
      <c r="C160" s="197"/>
      <c r="D160" s="197"/>
      <c r="E160" s="197"/>
      <c r="F160" s="197"/>
      <c r="G160" s="197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</row>
    <row r="161" ht="12.0" customHeight="1">
      <c r="A161" s="197"/>
      <c r="B161" s="198"/>
      <c r="C161" s="197"/>
      <c r="D161" s="197"/>
      <c r="E161" s="197"/>
      <c r="F161" s="197"/>
      <c r="G161" s="197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</row>
    <row r="162" ht="12.0" customHeight="1">
      <c r="A162" s="197"/>
      <c r="B162" s="198"/>
      <c r="C162" s="197"/>
      <c r="D162" s="197"/>
      <c r="E162" s="197"/>
      <c r="F162" s="197"/>
      <c r="G162" s="197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</row>
    <row r="163" ht="12.0" customHeight="1">
      <c r="A163" s="197"/>
      <c r="B163" s="198"/>
      <c r="C163" s="197"/>
      <c r="D163" s="197"/>
      <c r="E163" s="197"/>
      <c r="F163" s="197"/>
      <c r="G163" s="197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</row>
    <row r="164" ht="12.0" customHeight="1">
      <c r="A164" s="197"/>
      <c r="B164" s="198"/>
      <c r="C164" s="197"/>
      <c r="D164" s="197"/>
      <c r="E164" s="197"/>
      <c r="F164" s="197"/>
      <c r="G164" s="197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</row>
    <row r="165" ht="12.0" customHeight="1">
      <c r="A165" s="197"/>
      <c r="B165" s="198"/>
      <c r="C165" s="197"/>
      <c r="D165" s="197"/>
      <c r="E165" s="197"/>
      <c r="F165" s="197"/>
      <c r="G165" s="197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</row>
    <row r="166" ht="12.0" customHeight="1">
      <c r="A166" s="197"/>
      <c r="B166" s="198"/>
      <c r="C166" s="197"/>
      <c r="D166" s="197"/>
      <c r="E166" s="197"/>
      <c r="F166" s="197"/>
      <c r="G166" s="197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</row>
    <row r="167" ht="12.0" customHeight="1">
      <c r="A167" s="197"/>
      <c r="B167" s="198"/>
      <c r="C167" s="197"/>
      <c r="D167" s="197"/>
      <c r="E167" s="197"/>
      <c r="F167" s="197"/>
      <c r="G167" s="197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</row>
    <row r="168" ht="12.0" customHeight="1">
      <c r="A168" s="197"/>
      <c r="B168" s="198"/>
      <c r="C168" s="197"/>
      <c r="D168" s="197"/>
      <c r="E168" s="197"/>
      <c r="F168" s="197"/>
      <c r="G168" s="197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</row>
    <row r="169" ht="12.0" customHeight="1">
      <c r="A169" s="197"/>
      <c r="B169" s="198"/>
      <c r="C169" s="197"/>
      <c r="D169" s="197"/>
      <c r="E169" s="197"/>
      <c r="F169" s="197"/>
      <c r="G169" s="197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</row>
    <row r="170" ht="12.0" customHeight="1">
      <c r="A170" s="197"/>
      <c r="B170" s="198"/>
      <c r="C170" s="197"/>
      <c r="D170" s="197"/>
      <c r="E170" s="197"/>
      <c r="F170" s="197"/>
      <c r="G170" s="197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</row>
    <row r="171" ht="12.0" customHeight="1">
      <c r="A171" s="197"/>
      <c r="B171" s="198"/>
      <c r="C171" s="197"/>
      <c r="D171" s="197"/>
      <c r="E171" s="197"/>
      <c r="F171" s="197"/>
      <c r="G171" s="197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</row>
    <row r="172" ht="12.0" customHeight="1">
      <c r="A172" s="197"/>
      <c r="B172" s="198"/>
      <c r="C172" s="197"/>
      <c r="D172" s="197"/>
      <c r="E172" s="197"/>
      <c r="F172" s="197"/>
      <c r="G172" s="197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</row>
    <row r="173" ht="12.0" customHeight="1">
      <c r="A173" s="197"/>
      <c r="B173" s="198"/>
      <c r="C173" s="197"/>
      <c r="D173" s="197"/>
      <c r="E173" s="197"/>
      <c r="F173" s="197"/>
      <c r="G173" s="197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</row>
    <row r="174" ht="12.0" customHeight="1">
      <c r="A174" s="197"/>
      <c r="B174" s="198"/>
      <c r="C174" s="197"/>
      <c r="D174" s="197"/>
      <c r="E174" s="197"/>
      <c r="F174" s="197"/>
      <c r="G174" s="197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</row>
    <row r="175" ht="12.0" customHeight="1">
      <c r="A175" s="197"/>
      <c r="B175" s="198"/>
      <c r="C175" s="197"/>
      <c r="D175" s="197"/>
      <c r="E175" s="197"/>
      <c r="F175" s="197"/>
      <c r="G175" s="197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</row>
    <row r="176" ht="12.0" customHeight="1">
      <c r="A176" s="197"/>
      <c r="B176" s="198"/>
      <c r="C176" s="197"/>
      <c r="D176" s="197"/>
      <c r="E176" s="197"/>
      <c r="F176" s="197"/>
      <c r="G176" s="197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</row>
    <row r="177" ht="12.0" customHeight="1">
      <c r="A177" s="197"/>
      <c r="B177" s="198"/>
      <c r="C177" s="197"/>
      <c r="D177" s="197"/>
      <c r="E177" s="197"/>
      <c r="F177" s="197"/>
      <c r="G177" s="197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</row>
    <row r="178" ht="12.0" customHeight="1">
      <c r="A178" s="197"/>
      <c r="B178" s="198"/>
      <c r="C178" s="197"/>
      <c r="D178" s="197"/>
      <c r="E178" s="197"/>
      <c r="F178" s="197"/>
      <c r="G178" s="197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</row>
    <row r="179" ht="12.0" customHeight="1">
      <c r="A179" s="197"/>
      <c r="B179" s="198"/>
      <c r="C179" s="197"/>
      <c r="D179" s="197"/>
      <c r="E179" s="197"/>
      <c r="F179" s="197"/>
      <c r="G179" s="197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</row>
    <row r="180" ht="12.0" customHeight="1">
      <c r="A180" s="197"/>
      <c r="B180" s="198"/>
      <c r="C180" s="197"/>
      <c r="D180" s="197"/>
      <c r="E180" s="197"/>
      <c r="F180" s="197"/>
      <c r="G180" s="197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</row>
    <row r="181" ht="12.0" customHeight="1">
      <c r="A181" s="197"/>
      <c r="B181" s="198"/>
      <c r="C181" s="197"/>
      <c r="D181" s="197"/>
      <c r="E181" s="197"/>
      <c r="F181" s="197"/>
      <c r="G181" s="197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</row>
    <row r="182" ht="12.0" customHeight="1">
      <c r="A182" s="197"/>
      <c r="B182" s="198"/>
      <c r="C182" s="197"/>
      <c r="D182" s="197"/>
      <c r="E182" s="197"/>
      <c r="F182" s="197"/>
      <c r="G182" s="197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</row>
    <row r="183" ht="12.0" customHeight="1">
      <c r="A183" s="197"/>
      <c r="B183" s="198"/>
      <c r="C183" s="197"/>
      <c r="D183" s="197"/>
      <c r="E183" s="197"/>
      <c r="F183" s="197"/>
      <c r="G183" s="197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</row>
    <row r="184" ht="12.0" customHeight="1">
      <c r="A184" s="197"/>
      <c r="B184" s="198"/>
      <c r="C184" s="197"/>
      <c r="D184" s="197"/>
      <c r="E184" s="197"/>
      <c r="F184" s="197"/>
      <c r="G184" s="197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</row>
    <row r="185" ht="12.0" customHeight="1">
      <c r="A185" s="197"/>
      <c r="B185" s="198"/>
      <c r="C185" s="197"/>
      <c r="D185" s="197"/>
      <c r="E185" s="197"/>
      <c r="F185" s="197"/>
      <c r="G185" s="197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</row>
    <row r="186" ht="12.0" customHeight="1">
      <c r="A186" s="197"/>
      <c r="B186" s="198"/>
      <c r="C186" s="197"/>
      <c r="D186" s="197"/>
      <c r="E186" s="197"/>
      <c r="F186" s="197"/>
      <c r="G186" s="197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</row>
    <row r="187" ht="12.0" customHeight="1">
      <c r="A187" s="197"/>
      <c r="B187" s="198"/>
      <c r="C187" s="197"/>
      <c r="D187" s="197"/>
      <c r="E187" s="197"/>
      <c r="F187" s="197"/>
      <c r="G187" s="197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</row>
    <row r="188" ht="12.0" customHeight="1">
      <c r="A188" s="197"/>
      <c r="B188" s="198"/>
      <c r="C188" s="197"/>
      <c r="D188" s="197"/>
      <c r="E188" s="197"/>
      <c r="F188" s="197"/>
      <c r="G188" s="197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</row>
    <row r="189" ht="12.0" customHeight="1">
      <c r="A189" s="197"/>
      <c r="B189" s="198"/>
      <c r="C189" s="197"/>
      <c r="D189" s="197"/>
      <c r="E189" s="197"/>
      <c r="F189" s="197"/>
      <c r="G189" s="197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</row>
    <row r="190" ht="12.0" customHeight="1">
      <c r="A190" s="197"/>
      <c r="B190" s="198"/>
      <c r="C190" s="197"/>
      <c r="D190" s="197"/>
      <c r="E190" s="197"/>
      <c r="F190" s="197"/>
      <c r="G190" s="197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</row>
    <row r="191" ht="12.0" customHeight="1">
      <c r="A191" s="197"/>
      <c r="B191" s="198"/>
      <c r="C191" s="197"/>
      <c r="D191" s="197"/>
      <c r="E191" s="197"/>
      <c r="F191" s="197"/>
      <c r="G191" s="197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</row>
    <row r="192" ht="12.0" customHeight="1">
      <c r="A192" s="197"/>
      <c r="B192" s="198"/>
      <c r="C192" s="197"/>
      <c r="D192" s="197"/>
      <c r="E192" s="197"/>
      <c r="F192" s="197"/>
      <c r="G192" s="197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</row>
    <row r="193" ht="12.0" customHeight="1">
      <c r="A193" s="197"/>
      <c r="B193" s="198"/>
      <c r="C193" s="197"/>
      <c r="D193" s="197"/>
      <c r="E193" s="197"/>
      <c r="F193" s="197"/>
      <c r="G193" s="197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</row>
    <row r="194" ht="12.0" customHeight="1">
      <c r="A194" s="197"/>
      <c r="B194" s="198"/>
      <c r="C194" s="197"/>
      <c r="D194" s="197"/>
      <c r="E194" s="197"/>
      <c r="F194" s="197"/>
      <c r="G194" s="197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</row>
    <row r="195" ht="12.0" customHeight="1">
      <c r="A195" s="197"/>
      <c r="B195" s="198"/>
      <c r="C195" s="197"/>
      <c r="D195" s="197"/>
      <c r="E195" s="197"/>
      <c r="F195" s="197"/>
      <c r="G195" s="197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</row>
    <row r="196" ht="12.0" customHeight="1">
      <c r="A196" s="197"/>
      <c r="B196" s="198"/>
      <c r="C196" s="197"/>
      <c r="D196" s="197"/>
      <c r="E196" s="197"/>
      <c r="F196" s="197"/>
      <c r="G196" s="197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</row>
    <row r="197" ht="12.0" customHeight="1">
      <c r="A197" s="197"/>
      <c r="B197" s="198"/>
      <c r="C197" s="197"/>
      <c r="D197" s="197"/>
      <c r="E197" s="197"/>
      <c r="F197" s="197"/>
      <c r="G197" s="197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</row>
    <row r="198" ht="12.0" customHeight="1">
      <c r="A198" s="197"/>
      <c r="B198" s="198"/>
      <c r="C198" s="197"/>
      <c r="D198" s="197"/>
      <c r="E198" s="197"/>
      <c r="F198" s="197"/>
      <c r="G198" s="197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</row>
    <row r="199" ht="12.0" customHeight="1">
      <c r="A199" s="197"/>
      <c r="B199" s="198"/>
      <c r="C199" s="197"/>
      <c r="D199" s="197"/>
      <c r="E199" s="197"/>
      <c r="F199" s="197"/>
      <c r="G199" s="197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</row>
    <row r="200" ht="12.0" customHeight="1">
      <c r="A200" s="197"/>
      <c r="B200" s="198"/>
      <c r="C200" s="197"/>
      <c r="D200" s="197"/>
      <c r="E200" s="197"/>
      <c r="F200" s="197"/>
      <c r="G200" s="197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</row>
    <row r="201" ht="12.0" customHeight="1">
      <c r="A201" s="197"/>
      <c r="B201" s="198"/>
      <c r="C201" s="197"/>
      <c r="D201" s="197"/>
      <c r="E201" s="197"/>
      <c r="F201" s="197"/>
      <c r="G201" s="197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</row>
    <row r="202" ht="12.0" customHeight="1">
      <c r="A202" s="197"/>
      <c r="B202" s="198"/>
      <c r="C202" s="197"/>
      <c r="D202" s="197"/>
      <c r="E202" s="197"/>
      <c r="F202" s="197"/>
      <c r="G202" s="197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</row>
    <row r="203" ht="12.0" customHeight="1">
      <c r="A203" s="197"/>
      <c r="B203" s="198"/>
      <c r="C203" s="197"/>
      <c r="D203" s="197"/>
      <c r="E203" s="197"/>
      <c r="F203" s="197"/>
      <c r="G203" s="197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</row>
    <row r="204" ht="12.0" customHeight="1">
      <c r="A204" s="197"/>
      <c r="B204" s="198"/>
      <c r="C204" s="197"/>
      <c r="D204" s="197"/>
      <c r="E204" s="197"/>
      <c r="F204" s="197"/>
      <c r="G204" s="197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</row>
    <row r="205" ht="12.0" customHeight="1">
      <c r="A205" s="197"/>
      <c r="B205" s="198"/>
      <c r="C205" s="197"/>
      <c r="D205" s="197"/>
      <c r="E205" s="197"/>
      <c r="F205" s="197"/>
      <c r="G205" s="197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</row>
    <row r="206" ht="12.0" customHeight="1">
      <c r="A206" s="197"/>
      <c r="B206" s="198"/>
      <c r="C206" s="197"/>
      <c r="D206" s="197"/>
      <c r="E206" s="197"/>
      <c r="F206" s="197"/>
      <c r="G206" s="197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  <c r="Z206" s="197"/>
    </row>
    <row r="207" ht="12.0" customHeight="1">
      <c r="A207" s="197"/>
      <c r="B207" s="198"/>
      <c r="C207" s="197"/>
      <c r="D207" s="197"/>
      <c r="E207" s="197"/>
      <c r="F207" s="197"/>
      <c r="G207" s="197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</row>
    <row r="208" ht="12.0" customHeight="1">
      <c r="A208" s="197"/>
      <c r="B208" s="198"/>
      <c r="C208" s="197"/>
      <c r="D208" s="197"/>
      <c r="E208" s="197"/>
      <c r="F208" s="197"/>
      <c r="G208" s="197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</row>
    <row r="209" ht="12.0" customHeight="1">
      <c r="A209" s="197"/>
      <c r="B209" s="198"/>
      <c r="C209" s="197"/>
      <c r="D209" s="197"/>
      <c r="E209" s="197"/>
      <c r="F209" s="197"/>
      <c r="G209" s="197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</row>
    <row r="210" ht="12.0" customHeight="1">
      <c r="A210" s="197"/>
      <c r="B210" s="198"/>
      <c r="C210" s="197"/>
      <c r="D210" s="197"/>
      <c r="E210" s="197"/>
      <c r="F210" s="197"/>
      <c r="G210" s="197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  <c r="Z210" s="197"/>
    </row>
    <row r="211" ht="12.0" customHeight="1">
      <c r="A211" s="197"/>
      <c r="B211" s="198"/>
      <c r="C211" s="197"/>
      <c r="D211" s="197"/>
      <c r="E211" s="197"/>
      <c r="F211" s="197"/>
      <c r="G211" s="197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</row>
    <row r="212" ht="12.0" customHeight="1">
      <c r="A212" s="197"/>
      <c r="B212" s="198"/>
      <c r="C212" s="197"/>
      <c r="D212" s="197"/>
      <c r="E212" s="197"/>
      <c r="F212" s="197"/>
      <c r="G212" s="197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</row>
    <row r="213" ht="12.0" customHeight="1">
      <c r="A213" s="197"/>
      <c r="B213" s="198"/>
      <c r="C213" s="197"/>
      <c r="D213" s="197"/>
      <c r="E213" s="197"/>
      <c r="F213" s="197"/>
      <c r="G213" s="197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</row>
    <row r="214" ht="12.0" customHeight="1">
      <c r="A214" s="197"/>
      <c r="B214" s="198"/>
      <c r="C214" s="197"/>
      <c r="D214" s="197"/>
      <c r="E214" s="197"/>
      <c r="F214" s="197"/>
      <c r="G214" s="197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</row>
    <row r="215" ht="12.0" customHeight="1">
      <c r="A215" s="197"/>
      <c r="B215" s="198"/>
      <c r="C215" s="197"/>
      <c r="D215" s="197"/>
      <c r="E215" s="197"/>
      <c r="F215" s="197"/>
      <c r="G215" s="197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  <c r="Z215" s="197"/>
    </row>
    <row r="216" ht="12.0" customHeight="1">
      <c r="A216" s="197"/>
      <c r="B216" s="198"/>
      <c r="C216" s="197"/>
      <c r="D216" s="197"/>
      <c r="E216" s="197"/>
      <c r="F216" s="197"/>
      <c r="G216" s="197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</row>
    <row r="217" ht="12.0" customHeight="1">
      <c r="A217" s="197"/>
      <c r="B217" s="198"/>
      <c r="C217" s="197"/>
      <c r="D217" s="197"/>
      <c r="E217" s="197"/>
      <c r="F217" s="197"/>
      <c r="G217" s="197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</row>
    <row r="218" ht="12.0" customHeight="1">
      <c r="A218" s="197"/>
      <c r="B218" s="198"/>
      <c r="C218" s="197"/>
      <c r="D218" s="197"/>
      <c r="E218" s="197"/>
      <c r="F218" s="197"/>
      <c r="G218" s="197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</row>
    <row r="219" ht="12.0" customHeight="1">
      <c r="A219" s="197"/>
      <c r="B219" s="198"/>
      <c r="C219" s="197"/>
      <c r="D219" s="197"/>
      <c r="E219" s="197"/>
      <c r="F219" s="197"/>
      <c r="G219" s="197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</row>
    <row r="220" ht="12.0" customHeight="1">
      <c r="A220" s="197"/>
      <c r="B220" s="198"/>
      <c r="C220" s="197"/>
      <c r="D220" s="197"/>
      <c r="E220" s="197"/>
      <c r="F220" s="197"/>
      <c r="G220" s="197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  <c r="Z220" s="197"/>
    </row>
    <row r="221" ht="12.0" customHeight="1">
      <c r="A221" s="197"/>
      <c r="B221" s="198"/>
      <c r="C221" s="197"/>
      <c r="D221" s="197"/>
      <c r="E221" s="197"/>
      <c r="F221" s="197"/>
      <c r="G221" s="197"/>
      <c r="H221" s="19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7"/>
      <c r="W221" s="197"/>
      <c r="X221" s="197"/>
      <c r="Y221" s="197"/>
      <c r="Z221" s="197"/>
    </row>
    <row r="222" ht="12.0" customHeight="1">
      <c r="A222" s="197"/>
      <c r="B222" s="198"/>
      <c r="C222" s="197"/>
      <c r="D222" s="197"/>
      <c r="E222" s="197"/>
      <c r="F222" s="197"/>
      <c r="G222" s="197"/>
      <c r="H222" s="19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7"/>
      <c r="W222" s="197"/>
      <c r="X222" s="197"/>
      <c r="Y222" s="197"/>
      <c r="Z222" s="197"/>
    </row>
    <row r="223" ht="12.0" customHeight="1">
      <c r="A223" s="197"/>
      <c r="B223" s="198"/>
      <c r="C223" s="197"/>
      <c r="D223" s="197"/>
      <c r="E223" s="197"/>
      <c r="F223" s="197"/>
      <c r="G223" s="197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197"/>
      <c r="T223" s="197"/>
      <c r="U223" s="197"/>
      <c r="V223" s="197"/>
      <c r="W223" s="197"/>
      <c r="X223" s="197"/>
      <c r="Y223" s="197"/>
      <c r="Z223" s="197"/>
    </row>
    <row r="224" ht="12.0" customHeight="1">
      <c r="A224" s="197"/>
      <c r="B224" s="198"/>
      <c r="C224" s="197"/>
      <c r="D224" s="197"/>
      <c r="E224" s="197"/>
      <c r="F224" s="197"/>
      <c r="G224" s="197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197"/>
      <c r="T224" s="197"/>
      <c r="U224" s="197"/>
      <c r="V224" s="197"/>
      <c r="W224" s="197"/>
      <c r="X224" s="197"/>
      <c r="Y224" s="197"/>
      <c r="Z224" s="197"/>
    </row>
    <row r="225" ht="12.0" customHeight="1">
      <c r="A225" s="197"/>
      <c r="B225" s="198"/>
      <c r="C225" s="197"/>
      <c r="D225" s="197"/>
      <c r="E225" s="197"/>
      <c r="F225" s="197"/>
      <c r="G225" s="197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97"/>
      <c r="X225" s="197"/>
      <c r="Y225" s="197"/>
      <c r="Z225" s="197"/>
    </row>
    <row r="226" ht="12.0" customHeight="1">
      <c r="A226" s="197"/>
      <c r="B226" s="198"/>
      <c r="C226" s="197"/>
      <c r="D226" s="197"/>
      <c r="E226" s="197"/>
      <c r="F226" s="197"/>
      <c r="G226" s="197"/>
      <c r="H226" s="197"/>
      <c r="I226" s="197"/>
      <c r="J226" s="197"/>
      <c r="K226" s="197"/>
      <c r="L226" s="197"/>
      <c r="M226" s="197"/>
      <c r="N226" s="197"/>
      <c r="O226" s="197"/>
      <c r="P226" s="197"/>
      <c r="Q226" s="197"/>
      <c r="R226" s="197"/>
      <c r="S226" s="197"/>
      <c r="T226" s="197"/>
      <c r="U226" s="197"/>
      <c r="V226" s="197"/>
      <c r="W226" s="197"/>
      <c r="X226" s="197"/>
      <c r="Y226" s="197"/>
      <c r="Z226" s="197"/>
    </row>
    <row r="227" ht="12.0" customHeight="1">
      <c r="A227" s="197"/>
      <c r="B227" s="198"/>
      <c r="C227" s="197"/>
      <c r="D227" s="197"/>
      <c r="E227" s="197"/>
      <c r="F227" s="197"/>
      <c r="G227" s="197"/>
      <c r="H227" s="197"/>
      <c r="I227" s="197"/>
      <c r="J227" s="197"/>
      <c r="K227" s="197"/>
      <c r="L227" s="197"/>
      <c r="M227" s="197"/>
      <c r="N227" s="197"/>
      <c r="O227" s="197"/>
      <c r="P227" s="197"/>
      <c r="Q227" s="197"/>
      <c r="R227" s="197"/>
      <c r="S227" s="197"/>
      <c r="T227" s="197"/>
      <c r="U227" s="197"/>
      <c r="V227" s="197"/>
      <c r="W227" s="197"/>
      <c r="X227" s="197"/>
      <c r="Y227" s="197"/>
      <c r="Z227" s="197"/>
    </row>
    <row r="228" ht="12.0" customHeight="1">
      <c r="A228" s="197"/>
      <c r="B228" s="198"/>
      <c r="C228" s="197"/>
      <c r="D228" s="197"/>
      <c r="E228" s="197"/>
      <c r="F228" s="197"/>
      <c r="G228" s="197"/>
      <c r="H228" s="197"/>
      <c r="I228" s="197"/>
      <c r="J228" s="197"/>
      <c r="K228" s="197"/>
      <c r="L228" s="197"/>
      <c r="M228" s="197"/>
      <c r="N228" s="197"/>
      <c r="O228" s="197"/>
      <c r="P228" s="197"/>
      <c r="Q228" s="197"/>
      <c r="R228" s="197"/>
      <c r="S228" s="197"/>
      <c r="T228" s="197"/>
      <c r="U228" s="197"/>
      <c r="V228" s="197"/>
      <c r="W228" s="197"/>
      <c r="X228" s="197"/>
      <c r="Y228" s="197"/>
      <c r="Z228" s="197"/>
    </row>
    <row r="229" ht="12.0" customHeight="1">
      <c r="A229" s="197"/>
      <c r="B229" s="198"/>
      <c r="C229" s="197"/>
      <c r="D229" s="197"/>
      <c r="E229" s="197"/>
      <c r="F229" s="197"/>
      <c r="G229" s="197"/>
      <c r="H229" s="197"/>
      <c r="I229" s="197"/>
      <c r="J229" s="197"/>
      <c r="K229" s="197"/>
      <c r="L229" s="197"/>
      <c r="M229" s="197"/>
      <c r="N229" s="197"/>
      <c r="O229" s="197"/>
      <c r="P229" s="197"/>
      <c r="Q229" s="197"/>
      <c r="R229" s="197"/>
      <c r="S229" s="197"/>
      <c r="T229" s="197"/>
      <c r="U229" s="197"/>
      <c r="V229" s="197"/>
      <c r="W229" s="197"/>
      <c r="X229" s="197"/>
      <c r="Y229" s="197"/>
      <c r="Z229" s="197"/>
    </row>
    <row r="230" ht="12.0" customHeight="1">
      <c r="A230" s="197"/>
      <c r="B230" s="198"/>
      <c r="C230" s="197"/>
      <c r="D230" s="197"/>
      <c r="E230" s="197"/>
      <c r="F230" s="197"/>
      <c r="G230" s="197"/>
      <c r="H230" s="197"/>
      <c r="I230" s="197"/>
      <c r="J230" s="197"/>
      <c r="K230" s="197"/>
      <c r="L230" s="197"/>
      <c r="M230" s="197"/>
      <c r="N230" s="197"/>
      <c r="O230" s="197"/>
      <c r="P230" s="197"/>
      <c r="Q230" s="197"/>
      <c r="R230" s="197"/>
      <c r="S230" s="197"/>
      <c r="T230" s="197"/>
      <c r="U230" s="197"/>
      <c r="V230" s="197"/>
      <c r="W230" s="197"/>
      <c r="X230" s="197"/>
      <c r="Y230" s="197"/>
      <c r="Z230" s="197"/>
    </row>
    <row r="231" ht="12.0" customHeight="1">
      <c r="A231" s="197"/>
      <c r="B231" s="198"/>
      <c r="C231" s="197"/>
      <c r="D231" s="197"/>
      <c r="E231" s="197"/>
      <c r="F231" s="197"/>
      <c r="G231" s="197"/>
      <c r="H231" s="197"/>
      <c r="I231" s="197"/>
      <c r="J231" s="197"/>
      <c r="K231" s="197"/>
      <c r="L231" s="197"/>
      <c r="M231" s="197"/>
      <c r="N231" s="197"/>
      <c r="O231" s="197"/>
      <c r="P231" s="197"/>
      <c r="Q231" s="197"/>
      <c r="R231" s="197"/>
      <c r="S231" s="197"/>
      <c r="T231" s="197"/>
      <c r="U231" s="197"/>
      <c r="V231" s="197"/>
      <c r="W231" s="197"/>
      <c r="X231" s="197"/>
      <c r="Y231" s="197"/>
      <c r="Z231" s="197"/>
    </row>
    <row r="232" ht="12.0" customHeight="1">
      <c r="A232" s="197"/>
      <c r="B232" s="198"/>
      <c r="C232" s="197"/>
      <c r="D232" s="197"/>
      <c r="E232" s="197"/>
      <c r="F232" s="197"/>
      <c r="G232" s="197"/>
      <c r="H232" s="197"/>
      <c r="I232" s="197"/>
      <c r="J232" s="197"/>
      <c r="K232" s="197"/>
      <c r="L232" s="197"/>
      <c r="M232" s="197"/>
      <c r="N232" s="197"/>
      <c r="O232" s="197"/>
      <c r="P232" s="197"/>
      <c r="Q232" s="197"/>
      <c r="R232" s="197"/>
      <c r="S232" s="197"/>
      <c r="T232" s="197"/>
      <c r="U232" s="197"/>
      <c r="V232" s="197"/>
      <c r="W232" s="197"/>
      <c r="X232" s="197"/>
      <c r="Y232" s="197"/>
      <c r="Z232" s="197"/>
    </row>
    <row r="233" ht="12.0" customHeight="1">
      <c r="A233" s="197"/>
      <c r="B233" s="198"/>
      <c r="C233" s="197"/>
      <c r="D233" s="197"/>
      <c r="E233" s="197"/>
      <c r="F233" s="197"/>
      <c r="G233" s="197"/>
      <c r="H233" s="197"/>
      <c r="I233" s="197"/>
      <c r="J233" s="197"/>
      <c r="K233" s="197"/>
      <c r="L233" s="197"/>
      <c r="M233" s="197"/>
      <c r="N233" s="197"/>
      <c r="O233" s="197"/>
      <c r="P233" s="197"/>
      <c r="Q233" s="197"/>
      <c r="R233" s="197"/>
      <c r="S233" s="197"/>
      <c r="T233" s="197"/>
      <c r="U233" s="197"/>
      <c r="V233" s="197"/>
      <c r="W233" s="197"/>
      <c r="X233" s="197"/>
      <c r="Y233" s="197"/>
      <c r="Z233" s="197"/>
    </row>
    <row r="234" ht="12.0" customHeight="1">
      <c r="A234" s="197"/>
      <c r="B234" s="198"/>
      <c r="C234" s="197"/>
      <c r="D234" s="197"/>
      <c r="E234" s="197"/>
      <c r="F234" s="197"/>
      <c r="G234" s="197"/>
      <c r="H234" s="197"/>
      <c r="I234" s="197"/>
      <c r="J234" s="197"/>
      <c r="K234" s="197"/>
      <c r="L234" s="197"/>
      <c r="M234" s="197"/>
      <c r="N234" s="197"/>
      <c r="O234" s="197"/>
      <c r="P234" s="197"/>
      <c r="Q234" s="197"/>
      <c r="R234" s="197"/>
      <c r="S234" s="197"/>
      <c r="T234" s="197"/>
      <c r="U234" s="197"/>
      <c r="V234" s="197"/>
      <c r="W234" s="197"/>
      <c r="X234" s="197"/>
      <c r="Y234" s="197"/>
      <c r="Z234" s="197"/>
    </row>
    <row r="235" ht="12.0" customHeight="1">
      <c r="A235" s="197"/>
      <c r="B235" s="198"/>
      <c r="C235" s="197"/>
      <c r="D235" s="197"/>
      <c r="E235" s="197"/>
      <c r="F235" s="197"/>
      <c r="G235" s="197"/>
      <c r="H235" s="197"/>
      <c r="I235" s="197"/>
      <c r="J235" s="197"/>
      <c r="K235" s="197"/>
      <c r="L235" s="197"/>
      <c r="M235" s="197"/>
      <c r="N235" s="197"/>
      <c r="O235" s="197"/>
      <c r="P235" s="197"/>
      <c r="Q235" s="197"/>
      <c r="R235" s="197"/>
      <c r="S235" s="197"/>
      <c r="T235" s="197"/>
      <c r="U235" s="197"/>
      <c r="V235" s="197"/>
      <c r="W235" s="197"/>
      <c r="X235" s="197"/>
      <c r="Y235" s="197"/>
      <c r="Z235" s="197"/>
    </row>
    <row r="236" ht="12.0" customHeight="1">
      <c r="A236" s="197"/>
      <c r="B236" s="198"/>
      <c r="C236" s="197"/>
      <c r="D236" s="197"/>
      <c r="E236" s="197"/>
      <c r="F236" s="197"/>
      <c r="G236" s="197"/>
      <c r="H236" s="197"/>
      <c r="I236" s="197"/>
      <c r="J236" s="197"/>
      <c r="K236" s="197"/>
      <c r="L236" s="197"/>
      <c r="M236" s="197"/>
      <c r="N236" s="197"/>
      <c r="O236" s="197"/>
      <c r="P236" s="197"/>
      <c r="Q236" s="197"/>
      <c r="R236" s="197"/>
      <c r="S236" s="197"/>
      <c r="T236" s="197"/>
      <c r="U236" s="197"/>
      <c r="V236" s="197"/>
      <c r="W236" s="197"/>
      <c r="X236" s="197"/>
      <c r="Y236" s="197"/>
      <c r="Z236" s="197"/>
    </row>
    <row r="237" ht="12.0" customHeight="1">
      <c r="A237" s="197"/>
      <c r="B237" s="198"/>
      <c r="C237" s="197"/>
      <c r="D237" s="197"/>
      <c r="E237" s="197"/>
      <c r="F237" s="197"/>
      <c r="G237" s="197"/>
      <c r="H237" s="197"/>
      <c r="I237" s="197"/>
      <c r="J237" s="197"/>
      <c r="K237" s="197"/>
      <c r="L237" s="197"/>
      <c r="M237" s="197"/>
      <c r="N237" s="197"/>
      <c r="O237" s="197"/>
      <c r="P237" s="197"/>
      <c r="Q237" s="197"/>
      <c r="R237" s="197"/>
      <c r="S237" s="197"/>
      <c r="T237" s="197"/>
      <c r="U237" s="197"/>
      <c r="V237" s="197"/>
      <c r="W237" s="197"/>
      <c r="X237" s="197"/>
      <c r="Y237" s="197"/>
      <c r="Z237" s="197"/>
    </row>
    <row r="238" ht="12.0" customHeight="1">
      <c r="A238" s="197"/>
      <c r="B238" s="198"/>
      <c r="C238" s="197"/>
      <c r="D238" s="197"/>
      <c r="E238" s="197"/>
      <c r="F238" s="197"/>
      <c r="G238" s="197"/>
      <c r="H238" s="197"/>
      <c r="I238" s="197"/>
      <c r="J238" s="197"/>
      <c r="K238" s="197"/>
      <c r="L238" s="197"/>
      <c r="M238" s="197"/>
      <c r="N238" s="197"/>
      <c r="O238" s="197"/>
      <c r="P238" s="197"/>
      <c r="Q238" s="197"/>
      <c r="R238" s="197"/>
      <c r="S238" s="197"/>
      <c r="T238" s="197"/>
      <c r="U238" s="197"/>
      <c r="V238" s="197"/>
      <c r="W238" s="197"/>
      <c r="X238" s="197"/>
      <c r="Y238" s="197"/>
      <c r="Z238" s="197"/>
    </row>
    <row r="239" ht="12.0" customHeight="1">
      <c r="A239" s="197"/>
      <c r="B239" s="198"/>
      <c r="C239" s="197"/>
      <c r="D239" s="197"/>
      <c r="E239" s="197"/>
      <c r="F239" s="197"/>
      <c r="G239" s="197"/>
      <c r="H239" s="197"/>
      <c r="I239" s="197"/>
      <c r="J239" s="197"/>
      <c r="K239" s="197"/>
      <c r="L239" s="197"/>
      <c r="M239" s="197"/>
      <c r="N239" s="197"/>
      <c r="O239" s="197"/>
      <c r="P239" s="197"/>
      <c r="Q239" s="197"/>
      <c r="R239" s="197"/>
      <c r="S239" s="197"/>
      <c r="T239" s="197"/>
      <c r="U239" s="197"/>
      <c r="V239" s="197"/>
      <c r="W239" s="197"/>
      <c r="X239" s="197"/>
      <c r="Y239" s="197"/>
      <c r="Z239" s="197"/>
    </row>
    <row r="240" ht="12.0" customHeight="1">
      <c r="A240" s="197"/>
      <c r="B240" s="198"/>
      <c r="C240" s="197"/>
      <c r="D240" s="197"/>
      <c r="E240" s="197"/>
      <c r="F240" s="197"/>
      <c r="G240" s="197"/>
      <c r="H240" s="197"/>
      <c r="I240" s="197"/>
      <c r="J240" s="197"/>
      <c r="K240" s="197"/>
      <c r="L240" s="197"/>
      <c r="M240" s="197"/>
      <c r="N240" s="197"/>
      <c r="O240" s="197"/>
      <c r="P240" s="197"/>
      <c r="Q240" s="197"/>
      <c r="R240" s="197"/>
      <c r="S240" s="197"/>
      <c r="T240" s="197"/>
      <c r="U240" s="197"/>
      <c r="V240" s="197"/>
      <c r="W240" s="197"/>
      <c r="X240" s="197"/>
      <c r="Y240" s="197"/>
      <c r="Z240" s="197"/>
    </row>
    <row r="241" ht="12.0" customHeight="1">
      <c r="A241" s="197"/>
      <c r="B241" s="198"/>
      <c r="C241" s="197"/>
      <c r="D241" s="197"/>
      <c r="E241" s="197"/>
      <c r="F241" s="197"/>
      <c r="G241" s="197"/>
      <c r="H241" s="197"/>
      <c r="I241" s="197"/>
      <c r="J241" s="197"/>
      <c r="K241" s="197"/>
      <c r="L241" s="197"/>
      <c r="M241" s="197"/>
      <c r="N241" s="197"/>
      <c r="O241" s="197"/>
      <c r="P241" s="197"/>
      <c r="Q241" s="197"/>
      <c r="R241" s="197"/>
      <c r="S241" s="197"/>
      <c r="T241" s="197"/>
      <c r="U241" s="197"/>
      <c r="V241" s="197"/>
      <c r="W241" s="197"/>
      <c r="X241" s="197"/>
      <c r="Y241" s="197"/>
      <c r="Z241" s="197"/>
    </row>
    <row r="242" ht="12.0" customHeight="1">
      <c r="A242" s="197"/>
      <c r="B242" s="198"/>
      <c r="C242" s="197"/>
      <c r="D242" s="197"/>
      <c r="E242" s="197"/>
      <c r="F242" s="197"/>
      <c r="G242" s="197"/>
      <c r="H242" s="197"/>
      <c r="I242" s="197"/>
      <c r="J242" s="197"/>
      <c r="K242" s="197"/>
      <c r="L242" s="197"/>
      <c r="M242" s="197"/>
      <c r="N242" s="197"/>
      <c r="O242" s="197"/>
      <c r="P242" s="197"/>
      <c r="Q242" s="197"/>
      <c r="R242" s="197"/>
      <c r="S242" s="197"/>
      <c r="T242" s="197"/>
      <c r="U242" s="197"/>
      <c r="V242" s="197"/>
      <c r="W242" s="197"/>
      <c r="X242" s="197"/>
      <c r="Y242" s="197"/>
      <c r="Z242" s="197"/>
    </row>
    <row r="243" ht="12.0" customHeight="1">
      <c r="A243" s="197"/>
      <c r="B243" s="198"/>
      <c r="C243" s="197"/>
      <c r="D243" s="197"/>
      <c r="E243" s="197"/>
      <c r="F243" s="197"/>
      <c r="G243" s="197"/>
      <c r="H243" s="197"/>
      <c r="I243" s="197"/>
      <c r="J243" s="197"/>
      <c r="K243" s="197"/>
      <c r="L243" s="197"/>
      <c r="M243" s="197"/>
      <c r="N243" s="197"/>
      <c r="O243" s="197"/>
      <c r="P243" s="197"/>
      <c r="Q243" s="197"/>
      <c r="R243" s="197"/>
      <c r="S243" s="197"/>
      <c r="T243" s="197"/>
      <c r="U243" s="197"/>
      <c r="V243" s="197"/>
      <c r="W243" s="197"/>
      <c r="X243" s="197"/>
      <c r="Y243" s="197"/>
      <c r="Z243" s="197"/>
    </row>
    <row r="244" ht="12.0" customHeight="1">
      <c r="A244" s="197"/>
      <c r="B244" s="198"/>
      <c r="C244" s="197"/>
      <c r="D244" s="197"/>
      <c r="E244" s="197"/>
      <c r="F244" s="197"/>
      <c r="G244" s="197"/>
      <c r="H244" s="197"/>
      <c r="I244" s="197"/>
      <c r="J244" s="197"/>
      <c r="K244" s="197"/>
      <c r="L244" s="197"/>
      <c r="M244" s="197"/>
      <c r="N244" s="197"/>
      <c r="O244" s="197"/>
      <c r="P244" s="197"/>
      <c r="Q244" s="197"/>
      <c r="R244" s="197"/>
      <c r="S244" s="197"/>
      <c r="T244" s="197"/>
      <c r="U244" s="197"/>
      <c r="V244" s="197"/>
      <c r="W244" s="197"/>
      <c r="X244" s="197"/>
      <c r="Y244" s="197"/>
      <c r="Z244" s="197"/>
    </row>
    <row r="245" ht="12.0" customHeight="1">
      <c r="A245" s="197"/>
      <c r="B245" s="198"/>
      <c r="C245" s="197"/>
      <c r="D245" s="197"/>
      <c r="E245" s="197"/>
      <c r="F245" s="197"/>
      <c r="G245" s="197"/>
      <c r="H245" s="197"/>
      <c r="I245" s="197"/>
      <c r="J245" s="197"/>
      <c r="K245" s="197"/>
      <c r="L245" s="197"/>
      <c r="M245" s="197"/>
      <c r="N245" s="197"/>
      <c r="O245" s="197"/>
      <c r="P245" s="197"/>
      <c r="Q245" s="197"/>
      <c r="R245" s="197"/>
      <c r="S245" s="197"/>
      <c r="T245" s="197"/>
      <c r="U245" s="197"/>
      <c r="V245" s="197"/>
      <c r="W245" s="197"/>
      <c r="X245" s="197"/>
      <c r="Y245" s="197"/>
      <c r="Z245" s="197"/>
    </row>
    <row r="246" ht="12.0" customHeight="1">
      <c r="A246" s="197"/>
      <c r="B246" s="198"/>
      <c r="C246" s="197"/>
      <c r="D246" s="197"/>
      <c r="E246" s="197"/>
      <c r="F246" s="197"/>
      <c r="G246" s="197"/>
      <c r="H246" s="197"/>
      <c r="I246" s="197"/>
      <c r="J246" s="197"/>
      <c r="K246" s="197"/>
      <c r="L246" s="197"/>
      <c r="M246" s="197"/>
      <c r="N246" s="197"/>
      <c r="O246" s="197"/>
      <c r="P246" s="197"/>
      <c r="Q246" s="197"/>
      <c r="R246" s="197"/>
      <c r="S246" s="197"/>
      <c r="T246" s="197"/>
      <c r="U246" s="197"/>
      <c r="V246" s="197"/>
      <c r="W246" s="197"/>
      <c r="X246" s="197"/>
      <c r="Y246" s="197"/>
      <c r="Z246" s="197"/>
    </row>
    <row r="247" ht="12.0" customHeight="1">
      <c r="A247" s="197"/>
      <c r="B247" s="198"/>
      <c r="C247" s="197"/>
      <c r="D247" s="197"/>
      <c r="E247" s="197"/>
      <c r="F247" s="197"/>
      <c r="G247" s="197"/>
      <c r="H247" s="197"/>
      <c r="I247" s="197"/>
      <c r="J247" s="197"/>
      <c r="K247" s="197"/>
      <c r="L247" s="197"/>
      <c r="M247" s="197"/>
      <c r="N247" s="197"/>
      <c r="O247" s="197"/>
      <c r="P247" s="197"/>
      <c r="Q247" s="197"/>
      <c r="R247" s="197"/>
      <c r="S247" s="197"/>
      <c r="T247" s="197"/>
      <c r="U247" s="197"/>
      <c r="V247" s="197"/>
      <c r="W247" s="197"/>
      <c r="X247" s="197"/>
      <c r="Y247" s="197"/>
      <c r="Z247" s="197"/>
    </row>
    <row r="248" ht="12.0" customHeight="1">
      <c r="A248" s="197"/>
      <c r="B248" s="198"/>
      <c r="C248" s="197"/>
      <c r="D248" s="197"/>
      <c r="E248" s="197"/>
      <c r="F248" s="197"/>
      <c r="G248" s="197"/>
      <c r="H248" s="197"/>
      <c r="I248" s="197"/>
      <c r="J248" s="197"/>
      <c r="K248" s="197"/>
      <c r="L248" s="197"/>
      <c r="M248" s="197"/>
      <c r="N248" s="197"/>
      <c r="O248" s="197"/>
      <c r="P248" s="197"/>
      <c r="Q248" s="197"/>
      <c r="R248" s="197"/>
      <c r="S248" s="197"/>
      <c r="T248" s="197"/>
      <c r="U248" s="197"/>
      <c r="V248" s="197"/>
      <c r="W248" s="197"/>
      <c r="X248" s="197"/>
      <c r="Y248" s="197"/>
      <c r="Z248" s="197"/>
    </row>
    <row r="249" ht="12.0" customHeight="1">
      <c r="A249" s="197"/>
      <c r="B249" s="198"/>
      <c r="C249" s="197"/>
      <c r="D249" s="197"/>
      <c r="E249" s="197"/>
      <c r="F249" s="197"/>
      <c r="G249" s="197"/>
      <c r="H249" s="197"/>
      <c r="I249" s="197"/>
      <c r="J249" s="197"/>
      <c r="K249" s="197"/>
      <c r="L249" s="197"/>
      <c r="M249" s="197"/>
      <c r="N249" s="197"/>
      <c r="O249" s="197"/>
      <c r="P249" s="197"/>
      <c r="Q249" s="197"/>
      <c r="R249" s="197"/>
      <c r="S249" s="197"/>
      <c r="T249" s="197"/>
      <c r="U249" s="197"/>
      <c r="V249" s="197"/>
      <c r="W249" s="197"/>
      <c r="X249" s="197"/>
      <c r="Y249" s="197"/>
      <c r="Z249" s="197"/>
    </row>
    <row r="250" ht="12.0" customHeight="1">
      <c r="A250" s="197"/>
      <c r="B250" s="198"/>
      <c r="C250" s="197"/>
      <c r="D250" s="197"/>
      <c r="E250" s="197"/>
      <c r="F250" s="197"/>
      <c r="G250" s="197"/>
      <c r="H250" s="197"/>
      <c r="I250" s="197"/>
      <c r="J250" s="197"/>
      <c r="K250" s="197"/>
      <c r="L250" s="197"/>
      <c r="M250" s="197"/>
      <c r="N250" s="197"/>
      <c r="O250" s="197"/>
      <c r="P250" s="197"/>
      <c r="Q250" s="197"/>
      <c r="R250" s="197"/>
      <c r="S250" s="197"/>
      <c r="T250" s="197"/>
      <c r="U250" s="197"/>
      <c r="V250" s="197"/>
      <c r="W250" s="197"/>
      <c r="X250" s="197"/>
      <c r="Y250" s="197"/>
      <c r="Z250" s="197"/>
    </row>
    <row r="251" ht="12.0" customHeight="1">
      <c r="A251" s="197"/>
      <c r="B251" s="198"/>
      <c r="C251" s="197"/>
      <c r="D251" s="197"/>
      <c r="E251" s="197"/>
      <c r="F251" s="197"/>
      <c r="G251" s="197"/>
      <c r="H251" s="197"/>
      <c r="I251" s="197"/>
      <c r="J251" s="197"/>
      <c r="K251" s="197"/>
      <c r="L251" s="197"/>
      <c r="M251" s="197"/>
      <c r="N251" s="197"/>
      <c r="O251" s="197"/>
      <c r="P251" s="197"/>
      <c r="Q251" s="197"/>
      <c r="R251" s="197"/>
      <c r="S251" s="197"/>
      <c r="T251" s="197"/>
      <c r="U251" s="197"/>
      <c r="V251" s="197"/>
      <c r="W251" s="197"/>
      <c r="X251" s="197"/>
      <c r="Y251" s="197"/>
      <c r="Z251" s="197"/>
    </row>
    <row r="252" ht="12.0" customHeight="1">
      <c r="A252" s="197"/>
      <c r="B252" s="198"/>
      <c r="C252" s="197"/>
      <c r="D252" s="197"/>
      <c r="E252" s="197"/>
      <c r="F252" s="197"/>
      <c r="G252" s="197"/>
      <c r="H252" s="197"/>
      <c r="I252" s="197"/>
      <c r="J252" s="197"/>
      <c r="K252" s="197"/>
      <c r="L252" s="197"/>
      <c r="M252" s="197"/>
      <c r="N252" s="197"/>
      <c r="O252" s="197"/>
      <c r="P252" s="197"/>
      <c r="Q252" s="197"/>
      <c r="R252" s="197"/>
      <c r="S252" s="197"/>
      <c r="T252" s="197"/>
      <c r="U252" s="197"/>
      <c r="V252" s="197"/>
      <c r="W252" s="197"/>
      <c r="X252" s="197"/>
      <c r="Y252" s="197"/>
      <c r="Z252" s="197"/>
    </row>
    <row r="253" ht="12.0" customHeight="1">
      <c r="A253" s="197"/>
      <c r="B253" s="198"/>
      <c r="C253" s="197"/>
      <c r="D253" s="197"/>
      <c r="E253" s="197"/>
      <c r="F253" s="197"/>
      <c r="G253" s="197"/>
      <c r="H253" s="197"/>
      <c r="I253" s="197"/>
      <c r="J253" s="197"/>
      <c r="K253" s="197"/>
      <c r="L253" s="197"/>
      <c r="M253" s="197"/>
      <c r="N253" s="197"/>
      <c r="O253" s="197"/>
      <c r="P253" s="197"/>
      <c r="Q253" s="197"/>
      <c r="R253" s="197"/>
      <c r="S253" s="197"/>
      <c r="T253" s="197"/>
      <c r="U253" s="197"/>
      <c r="V253" s="197"/>
      <c r="W253" s="197"/>
      <c r="X253" s="197"/>
      <c r="Y253" s="197"/>
      <c r="Z253" s="197"/>
    </row>
    <row r="254" ht="12.0" customHeight="1">
      <c r="A254" s="197"/>
      <c r="B254" s="198"/>
      <c r="C254" s="197"/>
      <c r="D254" s="197"/>
      <c r="E254" s="197"/>
      <c r="F254" s="197"/>
      <c r="G254" s="197"/>
      <c r="H254" s="197"/>
      <c r="I254" s="197"/>
      <c r="J254" s="197"/>
      <c r="K254" s="197"/>
      <c r="L254" s="197"/>
      <c r="M254" s="197"/>
      <c r="N254" s="197"/>
      <c r="O254" s="197"/>
      <c r="P254" s="197"/>
      <c r="Q254" s="197"/>
      <c r="R254" s="197"/>
      <c r="S254" s="197"/>
      <c r="T254" s="197"/>
      <c r="U254" s="197"/>
      <c r="V254" s="197"/>
      <c r="W254" s="197"/>
      <c r="X254" s="197"/>
      <c r="Y254" s="197"/>
      <c r="Z254" s="197"/>
    </row>
    <row r="255" ht="12.0" customHeight="1">
      <c r="A255" s="197"/>
      <c r="B255" s="198"/>
      <c r="C255" s="197"/>
      <c r="D255" s="197"/>
      <c r="E255" s="197"/>
      <c r="F255" s="197"/>
      <c r="G255" s="197"/>
      <c r="H255" s="197"/>
      <c r="I255" s="197"/>
      <c r="J255" s="197"/>
      <c r="K255" s="197"/>
      <c r="L255" s="197"/>
      <c r="M255" s="197"/>
      <c r="N255" s="197"/>
      <c r="O255" s="197"/>
      <c r="P255" s="197"/>
      <c r="Q255" s="197"/>
      <c r="R255" s="197"/>
      <c r="S255" s="197"/>
      <c r="T255" s="197"/>
      <c r="U255" s="197"/>
      <c r="V255" s="197"/>
      <c r="W255" s="197"/>
      <c r="X255" s="197"/>
      <c r="Y255" s="197"/>
      <c r="Z255" s="197"/>
    </row>
    <row r="256" ht="12.0" customHeight="1">
      <c r="A256" s="197"/>
      <c r="B256" s="198"/>
      <c r="C256" s="197"/>
      <c r="D256" s="197"/>
      <c r="E256" s="197"/>
      <c r="F256" s="197"/>
      <c r="G256" s="197"/>
      <c r="H256" s="197"/>
      <c r="I256" s="197"/>
      <c r="J256" s="197"/>
      <c r="K256" s="197"/>
      <c r="L256" s="197"/>
      <c r="M256" s="197"/>
      <c r="N256" s="197"/>
      <c r="O256" s="197"/>
      <c r="P256" s="197"/>
      <c r="Q256" s="197"/>
      <c r="R256" s="197"/>
      <c r="S256" s="197"/>
      <c r="T256" s="197"/>
      <c r="U256" s="197"/>
      <c r="V256" s="197"/>
      <c r="W256" s="197"/>
      <c r="X256" s="197"/>
      <c r="Y256" s="197"/>
      <c r="Z256" s="197"/>
    </row>
    <row r="257" ht="12.0" customHeight="1">
      <c r="A257" s="197"/>
      <c r="B257" s="198"/>
      <c r="C257" s="197"/>
      <c r="D257" s="197"/>
      <c r="E257" s="197"/>
      <c r="F257" s="197"/>
      <c r="G257" s="197"/>
      <c r="H257" s="197"/>
      <c r="I257" s="197"/>
      <c r="J257" s="197"/>
      <c r="K257" s="197"/>
      <c r="L257" s="197"/>
      <c r="M257" s="197"/>
      <c r="N257" s="197"/>
      <c r="O257" s="197"/>
      <c r="P257" s="197"/>
      <c r="Q257" s="197"/>
      <c r="R257" s="197"/>
      <c r="S257" s="197"/>
      <c r="T257" s="197"/>
      <c r="U257" s="197"/>
      <c r="V257" s="197"/>
      <c r="W257" s="197"/>
      <c r="X257" s="197"/>
      <c r="Y257" s="197"/>
      <c r="Z257" s="197"/>
    </row>
    <row r="258" ht="12.0" customHeight="1">
      <c r="A258" s="197"/>
      <c r="B258" s="198"/>
      <c r="C258" s="197"/>
      <c r="D258" s="197"/>
      <c r="E258" s="197"/>
      <c r="F258" s="197"/>
      <c r="G258" s="197"/>
      <c r="H258" s="197"/>
      <c r="I258" s="197"/>
      <c r="J258" s="197"/>
      <c r="K258" s="197"/>
      <c r="L258" s="197"/>
      <c r="M258" s="197"/>
      <c r="N258" s="197"/>
      <c r="O258" s="197"/>
      <c r="P258" s="197"/>
      <c r="Q258" s="197"/>
      <c r="R258" s="197"/>
      <c r="S258" s="197"/>
      <c r="T258" s="197"/>
      <c r="U258" s="197"/>
      <c r="V258" s="197"/>
      <c r="W258" s="197"/>
      <c r="X258" s="197"/>
      <c r="Y258" s="197"/>
      <c r="Z258" s="197"/>
    </row>
    <row r="259" ht="12.0" customHeight="1">
      <c r="A259" s="197"/>
      <c r="B259" s="198"/>
      <c r="C259" s="197"/>
      <c r="D259" s="197"/>
      <c r="E259" s="197"/>
      <c r="F259" s="197"/>
      <c r="G259" s="197"/>
      <c r="H259" s="197"/>
      <c r="I259" s="197"/>
      <c r="J259" s="197"/>
      <c r="K259" s="197"/>
      <c r="L259" s="197"/>
      <c r="M259" s="197"/>
      <c r="N259" s="197"/>
      <c r="O259" s="197"/>
      <c r="P259" s="197"/>
      <c r="Q259" s="197"/>
      <c r="R259" s="197"/>
      <c r="S259" s="197"/>
      <c r="T259" s="197"/>
      <c r="U259" s="197"/>
      <c r="V259" s="197"/>
      <c r="W259" s="197"/>
      <c r="X259" s="197"/>
      <c r="Y259" s="197"/>
      <c r="Z259" s="197"/>
    </row>
    <row r="260" ht="12.0" customHeight="1">
      <c r="A260" s="197"/>
      <c r="B260" s="198"/>
      <c r="C260" s="197"/>
      <c r="D260" s="197"/>
      <c r="E260" s="197"/>
      <c r="F260" s="197"/>
      <c r="G260" s="197"/>
      <c r="H260" s="197"/>
      <c r="I260" s="197"/>
      <c r="J260" s="197"/>
      <c r="K260" s="197"/>
      <c r="L260" s="197"/>
      <c r="M260" s="197"/>
      <c r="N260" s="197"/>
      <c r="O260" s="197"/>
      <c r="P260" s="197"/>
      <c r="Q260" s="197"/>
      <c r="R260" s="197"/>
      <c r="S260" s="197"/>
      <c r="T260" s="197"/>
      <c r="U260" s="197"/>
      <c r="V260" s="197"/>
      <c r="W260" s="197"/>
      <c r="X260" s="197"/>
      <c r="Y260" s="197"/>
      <c r="Z260" s="197"/>
    </row>
    <row r="261" ht="12.0" customHeight="1">
      <c r="A261" s="197"/>
      <c r="B261" s="198"/>
      <c r="C261" s="197"/>
      <c r="D261" s="197"/>
      <c r="E261" s="197"/>
      <c r="F261" s="197"/>
      <c r="G261" s="197"/>
      <c r="H261" s="197"/>
      <c r="I261" s="197"/>
      <c r="J261" s="197"/>
      <c r="K261" s="197"/>
      <c r="L261" s="197"/>
      <c r="M261" s="197"/>
      <c r="N261" s="197"/>
      <c r="O261" s="197"/>
      <c r="P261" s="197"/>
      <c r="Q261" s="197"/>
      <c r="R261" s="197"/>
      <c r="S261" s="197"/>
      <c r="T261" s="197"/>
      <c r="U261" s="197"/>
      <c r="V261" s="197"/>
      <c r="W261" s="197"/>
      <c r="X261" s="197"/>
      <c r="Y261" s="197"/>
      <c r="Z261" s="197"/>
    </row>
    <row r="262" ht="12.0" customHeight="1">
      <c r="A262" s="197"/>
      <c r="B262" s="198"/>
      <c r="C262" s="197"/>
      <c r="D262" s="197"/>
      <c r="E262" s="197"/>
      <c r="F262" s="197"/>
      <c r="G262" s="197"/>
      <c r="H262" s="197"/>
      <c r="I262" s="197"/>
      <c r="J262" s="197"/>
      <c r="K262" s="197"/>
      <c r="L262" s="197"/>
      <c r="M262" s="197"/>
      <c r="N262" s="197"/>
      <c r="O262" s="197"/>
      <c r="P262" s="197"/>
      <c r="Q262" s="197"/>
      <c r="R262" s="197"/>
      <c r="S262" s="197"/>
      <c r="T262" s="197"/>
      <c r="U262" s="197"/>
      <c r="V262" s="197"/>
      <c r="W262" s="197"/>
      <c r="X262" s="197"/>
      <c r="Y262" s="197"/>
      <c r="Z262" s="197"/>
    </row>
    <row r="263" ht="12.0" customHeight="1">
      <c r="A263" s="197"/>
      <c r="B263" s="198"/>
      <c r="C263" s="197"/>
      <c r="D263" s="197"/>
      <c r="E263" s="197"/>
      <c r="F263" s="197"/>
      <c r="G263" s="197"/>
      <c r="H263" s="197"/>
      <c r="I263" s="197"/>
      <c r="J263" s="197"/>
      <c r="K263" s="197"/>
      <c r="L263" s="197"/>
      <c r="M263" s="197"/>
      <c r="N263" s="197"/>
      <c r="O263" s="197"/>
      <c r="P263" s="197"/>
      <c r="Q263" s="197"/>
      <c r="R263" s="197"/>
      <c r="S263" s="197"/>
      <c r="T263" s="197"/>
      <c r="U263" s="197"/>
      <c r="V263" s="197"/>
      <c r="W263" s="197"/>
      <c r="X263" s="197"/>
      <c r="Y263" s="197"/>
      <c r="Z263" s="197"/>
    </row>
    <row r="264" ht="12.0" customHeight="1">
      <c r="A264" s="197"/>
      <c r="B264" s="198"/>
      <c r="C264" s="197"/>
      <c r="D264" s="197"/>
      <c r="E264" s="197"/>
      <c r="F264" s="197"/>
      <c r="G264" s="197"/>
      <c r="H264" s="197"/>
      <c r="I264" s="197"/>
      <c r="J264" s="197"/>
      <c r="K264" s="197"/>
      <c r="L264" s="197"/>
      <c r="M264" s="197"/>
      <c r="N264" s="197"/>
      <c r="O264" s="197"/>
      <c r="P264" s="197"/>
      <c r="Q264" s="197"/>
      <c r="R264" s="197"/>
      <c r="S264" s="197"/>
      <c r="T264" s="197"/>
      <c r="U264" s="197"/>
      <c r="V264" s="197"/>
      <c r="W264" s="197"/>
      <c r="X264" s="197"/>
      <c r="Y264" s="197"/>
      <c r="Z264" s="197"/>
    </row>
    <row r="265" ht="12.0" customHeight="1">
      <c r="A265" s="197"/>
      <c r="B265" s="198"/>
      <c r="C265" s="197"/>
      <c r="D265" s="197"/>
      <c r="E265" s="197"/>
      <c r="F265" s="197"/>
      <c r="G265" s="197"/>
      <c r="H265" s="197"/>
      <c r="I265" s="197"/>
      <c r="J265" s="197"/>
      <c r="K265" s="197"/>
      <c r="L265" s="197"/>
      <c r="M265" s="197"/>
      <c r="N265" s="197"/>
      <c r="O265" s="197"/>
      <c r="P265" s="197"/>
      <c r="Q265" s="197"/>
      <c r="R265" s="197"/>
      <c r="S265" s="197"/>
      <c r="T265" s="197"/>
      <c r="U265" s="197"/>
      <c r="V265" s="197"/>
      <c r="W265" s="197"/>
      <c r="X265" s="197"/>
      <c r="Y265" s="197"/>
      <c r="Z265" s="197"/>
    </row>
    <row r="266" ht="12.0" customHeight="1">
      <c r="A266" s="197"/>
      <c r="B266" s="198"/>
      <c r="C266" s="197"/>
      <c r="D266" s="197"/>
      <c r="E266" s="197"/>
      <c r="F266" s="197"/>
      <c r="G266" s="197"/>
      <c r="H266" s="197"/>
      <c r="I266" s="197"/>
      <c r="J266" s="197"/>
      <c r="K266" s="197"/>
      <c r="L266" s="197"/>
      <c r="M266" s="197"/>
      <c r="N266" s="197"/>
      <c r="O266" s="197"/>
      <c r="P266" s="197"/>
      <c r="Q266" s="197"/>
      <c r="R266" s="197"/>
      <c r="S266" s="197"/>
      <c r="T266" s="197"/>
      <c r="U266" s="197"/>
      <c r="V266" s="197"/>
      <c r="W266" s="197"/>
      <c r="X266" s="197"/>
      <c r="Y266" s="197"/>
      <c r="Z266" s="197"/>
    </row>
    <row r="267" ht="12.0" customHeight="1">
      <c r="A267" s="197"/>
      <c r="B267" s="198"/>
      <c r="C267" s="197"/>
      <c r="D267" s="197"/>
      <c r="E267" s="197"/>
      <c r="F267" s="197"/>
      <c r="G267" s="197"/>
      <c r="H267" s="197"/>
      <c r="I267" s="197"/>
      <c r="J267" s="197"/>
      <c r="K267" s="197"/>
      <c r="L267" s="197"/>
      <c r="M267" s="197"/>
      <c r="N267" s="197"/>
      <c r="O267" s="197"/>
      <c r="P267" s="197"/>
      <c r="Q267" s="197"/>
      <c r="R267" s="197"/>
      <c r="S267" s="197"/>
      <c r="T267" s="197"/>
      <c r="U267" s="197"/>
      <c r="V267" s="197"/>
      <c r="W267" s="197"/>
      <c r="X267" s="197"/>
      <c r="Y267" s="197"/>
      <c r="Z267" s="197"/>
    </row>
    <row r="268" ht="12.0" customHeight="1">
      <c r="A268" s="197"/>
      <c r="B268" s="198"/>
      <c r="C268" s="197"/>
      <c r="D268" s="197"/>
      <c r="E268" s="197"/>
      <c r="F268" s="197"/>
      <c r="G268" s="197"/>
      <c r="H268" s="197"/>
      <c r="I268" s="197"/>
      <c r="J268" s="197"/>
      <c r="K268" s="197"/>
      <c r="L268" s="197"/>
      <c r="M268" s="197"/>
      <c r="N268" s="197"/>
      <c r="O268" s="197"/>
      <c r="P268" s="197"/>
      <c r="Q268" s="197"/>
      <c r="R268" s="197"/>
      <c r="S268" s="197"/>
      <c r="T268" s="197"/>
      <c r="U268" s="197"/>
      <c r="V268" s="197"/>
      <c r="W268" s="197"/>
      <c r="X268" s="197"/>
      <c r="Y268" s="197"/>
      <c r="Z268" s="197"/>
    </row>
    <row r="269" ht="12.0" customHeight="1">
      <c r="A269" s="197"/>
      <c r="B269" s="198"/>
      <c r="C269" s="197"/>
      <c r="D269" s="197"/>
      <c r="E269" s="197"/>
      <c r="F269" s="197"/>
      <c r="G269" s="197"/>
      <c r="H269" s="197"/>
      <c r="I269" s="197"/>
      <c r="J269" s="197"/>
      <c r="K269" s="197"/>
      <c r="L269" s="197"/>
      <c r="M269" s="197"/>
      <c r="N269" s="197"/>
      <c r="O269" s="197"/>
      <c r="P269" s="197"/>
      <c r="Q269" s="197"/>
      <c r="R269" s="197"/>
      <c r="S269" s="197"/>
      <c r="T269" s="197"/>
      <c r="U269" s="197"/>
      <c r="V269" s="197"/>
      <c r="W269" s="197"/>
      <c r="X269" s="197"/>
      <c r="Y269" s="197"/>
      <c r="Z269" s="197"/>
    </row>
    <row r="270" ht="12.0" customHeight="1">
      <c r="A270" s="197"/>
      <c r="B270" s="198"/>
      <c r="C270" s="197"/>
      <c r="D270" s="197"/>
      <c r="E270" s="197"/>
      <c r="F270" s="197"/>
      <c r="G270" s="197"/>
      <c r="H270" s="197"/>
      <c r="I270" s="197"/>
      <c r="J270" s="197"/>
      <c r="K270" s="197"/>
      <c r="L270" s="197"/>
      <c r="M270" s="197"/>
      <c r="N270" s="197"/>
      <c r="O270" s="197"/>
      <c r="P270" s="197"/>
      <c r="Q270" s="197"/>
      <c r="R270" s="197"/>
      <c r="S270" s="197"/>
      <c r="T270" s="197"/>
      <c r="U270" s="197"/>
      <c r="V270" s="197"/>
      <c r="W270" s="197"/>
      <c r="X270" s="197"/>
      <c r="Y270" s="197"/>
      <c r="Z270" s="197"/>
    </row>
    <row r="271" ht="12.0" customHeight="1">
      <c r="A271" s="197"/>
      <c r="B271" s="198"/>
      <c r="C271" s="197"/>
      <c r="D271" s="197"/>
      <c r="E271" s="197"/>
      <c r="F271" s="197"/>
      <c r="G271" s="197"/>
      <c r="H271" s="197"/>
      <c r="I271" s="197"/>
      <c r="J271" s="197"/>
      <c r="K271" s="197"/>
      <c r="L271" s="197"/>
      <c r="M271" s="197"/>
      <c r="N271" s="197"/>
      <c r="O271" s="197"/>
      <c r="P271" s="197"/>
      <c r="Q271" s="197"/>
      <c r="R271" s="197"/>
      <c r="S271" s="197"/>
      <c r="T271" s="197"/>
      <c r="U271" s="197"/>
      <c r="V271" s="197"/>
      <c r="W271" s="197"/>
      <c r="X271" s="197"/>
      <c r="Y271" s="197"/>
      <c r="Z271" s="197"/>
    </row>
    <row r="272" ht="12.0" customHeight="1">
      <c r="A272" s="197"/>
      <c r="B272" s="198"/>
      <c r="C272" s="197"/>
      <c r="D272" s="197"/>
      <c r="E272" s="197"/>
      <c r="F272" s="197"/>
      <c r="G272" s="197"/>
      <c r="H272" s="197"/>
      <c r="I272" s="197"/>
      <c r="J272" s="197"/>
      <c r="K272" s="197"/>
      <c r="L272" s="197"/>
      <c r="M272" s="197"/>
      <c r="N272" s="197"/>
      <c r="O272" s="197"/>
      <c r="P272" s="197"/>
      <c r="Q272" s="197"/>
      <c r="R272" s="197"/>
      <c r="S272" s="197"/>
      <c r="T272" s="197"/>
      <c r="U272" s="197"/>
      <c r="V272" s="197"/>
      <c r="W272" s="197"/>
      <c r="X272" s="197"/>
      <c r="Y272" s="197"/>
      <c r="Z272" s="197"/>
    </row>
    <row r="273" ht="12.0" customHeight="1">
      <c r="A273" s="197"/>
      <c r="B273" s="198"/>
      <c r="C273" s="197"/>
      <c r="D273" s="197"/>
      <c r="E273" s="197"/>
      <c r="F273" s="197"/>
      <c r="G273" s="197"/>
      <c r="H273" s="197"/>
      <c r="I273" s="197"/>
      <c r="J273" s="197"/>
      <c r="K273" s="197"/>
      <c r="L273" s="197"/>
      <c r="M273" s="197"/>
      <c r="N273" s="197"/>
      <c r="O273" s="197"/>
      <c r="P273" s="197"/>
      <c r="Q273" s="197"/>
      <c r="R273" s="197"/>
      <c r="S273" s="197"/>
      <c r="T273" s="197"/>
      <c r="U273" s="197"/>
      <c r="V273" s="197"/>
      <c r="W273" s="197"/>
      <c r="X273" s="197"/>
      <c r="Y273" s="197"/>
      <c r="Z273" s="197"/>
    </row>
    <row r="274" ht="12.0" customHeight="1">
      <c r="A274" s="197"/>
      <c r="B274" s="198"/>
      <c r="C274" s="197"/>
      <c r="D274" s="197"/>
      <c r="E274" s="197"/>
      <c r="F274" s="197"/>
      <c r="G274" s="197"/>
      <c r="H274" s="197"/>
      <c r="I274" s="197"/>
      <c r="J274" s="197"/>
      <c r="K274" s="197"/>
      <c r="L274" s="197"/>
      <c r="M274" s="197"/>
      <c r="N274" s="197"/>
      <c r="O274" s="197"/>
      <c r="P274" s="197"/>
      <c r="Q274" s="197"/>
      <c r="R274" s="197"/>
      <c r="S274" s="197"/>
      <c r="T274" s="197"/>
      <c r="U274" s="197"/>
      <c r="V274" s="197"/>
      <c r="W274" s="197"/>
      <c r="X274" s="197"/>
      <c r="Y274" s="197"/>
      <c r="Z274" s="197"/>
    </row>
    <row r="275" ht="12.0" customHeight="1">
      <c r="A275" s="197"/>
      <c r="B275" s="198"/>
      <c r="C275" s="197"/>
      <c r="D275" s="197"/>
      <c r="E275" s="197"/>
      <c r="F275" s="197"/>
      <c r="G275" s="197"/>
      <c r="H275" s="197"/>
      <c r="I275" s="197"/>
      <c r="J275" s="197"/>
      <c r="K275" s="197"/>
      <c r="L275" s="197"/>
      <c r="M275" s="197"/>
      <c r="N275" s="197"/>
      <c r="O275" s="197"/>
      <c r="P275" s="197"/>
      <c r="Q275" s="197"/>
      <c r="R275" s="197"/>
      <c r="S275" s="197"/>
      <c r="T275" s="197"/>
      <c r="U275" s="197"/>
      <c r="V275" s="197"/>
      <c r="W275" s="197"/>
      <c r="X275" s="197"/>
      <c r="Y275" s="197"/>
      <c r="Z275" s="197"/>
    </row>
    <row r="276" ht="12.0" customHeight="1">
      <c r="A276" s="197"/>
      <c r="B276" s="198"/>
      <c r="C276" s="197"/>
      <c r="D276" s="197"/>
      <c r="E276" s="197"/>
      <c r="F276" s="197"/>
      <c r="G276" s="197"/>
      <c r="H276" s="197"/>
      <c r="I276" s="197"/>
      <c r="J276" s="197"/>
      <c r="K276" s="197"/>
      <c r="L276" s="197"/>
      <c r="M276" s="197"/>
      <c r="N276" s="197"/>
      <c r="O276" s="197"/>
      <c r="P276" s="197"/>
      <c r="Q276" s="197"/>
      <c r="R276" s="197"/>
      <c r="S276" s="197"/>
      <c r="T276" s="197"/>
      <c r="U276" s="197"/>
      <c r="V276" s="197"/>
      <c r="W276" s="197"/>
      <c r="X276" s="197"/>
      <c r="Y276" s="197"/>
      <c r="Z276" s="197"/>
    </row>
    <row r="277" ht="12.0" customHeight="1">
      <c r="A277" s="197"/>
      <c r="B277" s="198"/>
      <c r="C277" s="197"/>
      <c r="D277" s="197"/>
      <c r="E277" s="197"/>
      <c r="F277" s="197"/>
      <c r="G277" s="197"/>
      <c r="H277" s="197"/>
      <c r="I277" s="197"/>
      <c r="J277" s="197"/>
      <c r="K277" s="197"/>
      <c r="L277" s="197"/>
      <c r="M277" s="197"/>
      <c r="N277" s="197"/>
      <c r="O277" s="197"/>
      <c r="P277" s="197"/>
      <c r="Q277" s="197"/>
      <c r="R277" s="197"/>
      <c r="S277" s="197"/>
      <c r="T277" s="197"/>
      <c r="U277" s="197"/>
      <c r="V277" s="197"/>
      <c r="W277" s="197"/>
      <c r="X277" s="197"/>
      <c r="Y277" s="197"/>
      <c r="Z277" s="197"/>
    </row>
    <row r="278" ht="12.0" customHeight="1">
      <c r="A278" s="197"/>
      <c r="B278" s="198"/>
      <c r="C278" s="197"/>
      <c r="D278" s="197"/>
      <c r="E278" s="197"/>
      <c r="F278" s="197"/>
      <c r="G278" s="197"/>
      <c r="H278" s="197"/>
      <c r="I278" s="197"/>
      <c r="J278" s="197"/>
      <c r="K278" s="197"/>
      <c r="L278" s="197"/>
      <c r="M278" s="197"/>
      <c r="N278" s="197"/>
      <c r="O278" s="197"/>
      <c r="P278" s="197"/>
      <c r="Q278" s="197"/>
      <c r="R278" s="197"/>
      <c r="S278" s="197"/>
      <c r="T278" s="197"/>
      <c r="U278" s="197"/>
      <c r="V278" s="197"/>
      <c r="W278" s="197"/>
      <c r="X278" s="197"/>
      <c r="Y278" s="197"/>
      <c r="Z278" s="197"/>
    </row>
    <row r="279" ht="12.0" customHeight="1">
      <c r="A279" s="197"/>
      <c r="B279" s="198"/>
      <c r="C279" s="197"/>
      <c r="D279" s="197"/>
      <c r="E279" s="197"/>
      <c r="F279" s="197"/>
      <c r="G279" s="197"/>
      <c r="H279" s="197"/>
      <c r="I279" s="197"/>
      <c r="J279" s="197"/>
      <c r="K279" s="197"/>
      <c r="L279" s="197"/>
      <c r="M279" s="197"/>
      <c r="N279" s="197"/>
      <c r="O279" s="197"/>
      <c r="P279" s="197"/>
      <c r="Q279" s="197"/>
      <c r="R279" s="197"/>
      <c r="S279" s="197"/>
      <c r="T279" s="197"/>
      <c r="U279" s="197"/>
      <c r="V279" s="197"/>
      <c r="W279" s="197"/>
      <c r="X279" s="197"/>
      <c r="Y279" s="197"/>
      <c r="Z279" s="197"/>
    </row>
    <row r="280" ht="12.0" customHeight="1">
      <c r="A280" s="197"/>
      <c r="B280" s="198"/>
      <c r="C280" s="197"/>
      <c r="D280" s="197"/>
      <c r="E280" s="197"/>
      <c r="F280" s="197"/>
      <c r="G280" s="197"/>
      <c r="H280" s="197"/>
      <c r="I280" s="197"/>
      <c r="J280" s="197"/>
      <c r="K280" s="197"/>
      <c r="L280" s="197"/>
      <c r="M280" s="197"/>
      <c r="N280" s="197"/>
      <c r="O280" s="197"/>
      <c r="P280" s="197"/>
      <c r="Q280" s="197"/>
      <c r="R280" s="197"/>
      <c r="S280" s="197"/>
      <c r="T280" s="197"/>
      <c r="U280" s="197"/>
      <c r="V280" s="197"/>
      <c r="W280" s="197"/>
      <c r="X280" s="197"/>
      <c r="Y280" s="197"/>
      <c r="Z280" s="197"/>
    </row>
    <row r="281" ht="12.0" customHeight="1">
      <c r="A281" s="197"/>
      <c r="B281" s="198"/>
      <c r="C281" s="197"/>
      <c r="D281" s="197"/>
      <c r="E281" s="197"/>
      <c r="F281" s="197"/>
      <c r="G281" s="197"/>
      <c r="H281" s="197"/>
      <c r="I281" s="197"/>
      <c r="J281" s="197"/>
      <c r="K281" s="197"/>
      <c r="L281" s="197"/>
      <c r="M281" s="197"/>
      <c r="N281" s="197"/>
      <c r="O281" s="197"/>
      <c r="P281" s="197"/>
      <c r="Q281" s="197"/>
      <c r="R281" s="197"/>
      <c r="S281" s="197"/>
      <c r="T281" s="197"/>
      <c r="U281" s="197"/>
      <c r="V281" s="197"/>
      <c r="W281" s="197"/>
      <c r="X281" s="197"/>
      <c r="Y281" s="197"/>
      <c r="Z281" s="197"/>
    </row>
    <row r="282" ht="12.0" customHeight="1">
      <c r="A282" s="197"/>
      <c r="B282" s="198"/>
      <c r="C282" s="197"/>
      <c r="D282" s="197"/>
      <c r="E282" s="197"/>
      <c r="F282" s="197"/>
      <c r="G282" s="197"/>
      <c r="H282" s="197"/>
      <c r="I282" s="197"/>
      <c r="J282" s="197"/>
      <c r="K282" s="197"/>
      <c r="L282" s="197"/>
      <c r="M282" s="197"/>
      <c r="N282" s="197"/>
      <c r="O282" s="197"/>
      <c r="P282" s="197"/>
      <c r="Q282" s="197"/>
      <c r="R282" s="197"/>
      <c r="S282" s="197"/>
      <c r="T282" s="197"/>
      <c r="U282" s="197"/>
      <c r="V282" s="197"/>
      <c r="W282" s="197"/>
      <c r="X282" s="197"/>
      <c r="Y282" s="197"/>
      <c r="Z282" s="197"/>
    </row>
    <row r="283" ht="12.0" customHeight="1">
      <c r="A283" s="197"/>
      <c r="B283" s="198"/>
      <c r="C283" s="197"/>
      <c r="D283" s="197"/>
      <c r="E283" s="197"/>
      <c r="F283" s="197"/>
      <c r="G283" s="197"/>
      <c r="H283" s="197"/>
      <c r="I283" s="197"/>
      <c r="J283" s="197"/>
      <c r="K283" s="197"/>
      <c r="L283" s="197"/>
      <c r="M283" s="197"/>
      <c r="N283" s="197"/>
      <c r="O283" s="197"/>
      <c r="P283" s="197"/>
      <c r="Q283" s="197"/>
      <c r="R283" s="197"/>
      <c r="S283" s="197"/>
      <c r="T283" s="197"/>
      <c r="U283" s="197"/>
      <c r="V283" s="197"/>
      <c r="W283" s="197"/>
      <c r="X283" s="197"/>
      <c r="Y283" s="197"/>
      <c r="Z283" s="197"/>
    </row>
    <row r="284" ht="12.0" customHeight="1">
      <c r="A284" s="197"/>
      <c r="B284" s="198"/>
      <c r="C284" s="197"/>
      <c r="D284" s="197"/>
      <c r="E284" s="197"/>
      <c r="F284" s="197"/>
      <c r="G284" s="197"/>
      <c r="H284" s="197"/>
      <c r="I284" s="197"/>
      <c r="J284" s="197"/>
      <c r="K284" s="197"/>
      <c r="L284" s="197"/>
      <c r="M284" s="197"/>
      <c r="N284" s="197"/>
      <c r="O284" s="197"/>
      <c r="P284" s="197"/>
      <c r="Q284" s="197"/>
      <c r="R284" s="197"/>
      <c r="S284" s="197"/>
      <c r="T284" s="197"/>
      <c r="U284" s="197"/>
      <c r="V284" s="197"/>
      <c r="W284" s="197"/>
      <c r="X284" s="197"/>
      <c r="Y284" s="197"/>
      <c r="Z284" s="197"/>
    </row>
    <row r="285" ht="12.0" customHeight="1">
      <c r="A285" s="197"/>
      <c r="B285" s="198"/>
      <c r="C285" s="197"/>
      <c r="D285" s="197"/>
      <c r="E285" s="197"/>
      <c r="F285" s="197"/>
      <c r="G285" s="197"/>
      <c r="H285" s="197"/>
      <c r="I285" s="197"/>
      <c r="J285" s="197"/>
      <c r="K285" s="197"/>
      <c r="L285" s="197"/>
      <c r="M285" s="197"/>
      <c r="N285" s="197"/>
      <c r="O285" s="197"/>
      <c r="P285" s="197"/>
      <c r="Q285" s="197"/>
      <c r="R285" s="197"/>
      <c r="S285" s="197"/>
      <c r="T285" s="197"/>
      <c r="U285" s="197"/>
      <c r="V285" s="197"/>
      <c r="W285" s="197"/>
      <c r="X285" s="197"/>
      <c r="Y285" s="197"/>
      <c r="Z285" s="197"/>
    </row>
    <row r="286" ht="12.0" customHeight="1">
      <c r="A286" s="197"/>
      <c r="B286" s="198"/>
      <c r="C286" s="197"/>
      <c r="D286" s="197"/>
      <c r="E286" s="197"/>
      <c r="F286" s="197"/>
      <c r="G286" s="197"/>
      <c r="H286" s="197"/>
      <c r="I286" s="197"/>
      <c r="J286" s="197"/>
      <c r="K286" s="197"/>
      <c r="L286" s="197"/>
      <c r="M286" s="197"/>
      <c r="N286" s="197"/>
      <c r="O286" s="197"/>
      <c r="P286" s="197"/>
      <c r="Q286" s="197"/>
      <c r="R286" s="197"/>
      <c r="S286" s="197"/>
      <c r="T286" s="197"/>
      <c r="U286" s="197"/>
      <c r="V286" s="197"/>
      <c r="W286" s="197"/>
      <c r="X286" s="197"/>
      <c r="Y286" s="197"/>
      <c r="Z286" s="197"/>
    </row>
    <row r="287" ht="12.0" customHeight="1">
      <c r="A287" s="197"/>
      <c r="B287" s="198"/>
      <c r="C287" s="197"/>
      <c r="D287" s="197"/>
      <c r="E287" s="197"/>
      <c r="F287" s="197"/>
      <c r="G287" s="197"/>
      <c r="H287" s="197"/>
      <c r="I287" s="197"/>
      <c r="J287" s="197"/>
      <c r="K287" s="197"/>
      <c r="L287" s="197"/>
      <c r="M287" s="197"/>
      <c r="N287" s="197"/>
      <c r="O287" s="197"/>
      <c r="P287" s="197"/>
      <c r="Q287" s="197"/>
      <c r="R287" s="197"/>
      <c r="S287" s="197"/>
      <c r="T287" s="197"/>
      <c r="U287" s="197"/>
      <c r="V287" s="197"/>
      <c r="W287" s="197"/>
      <c r="X287" s="197"/>
      <c r="Y287" s="197"/>
      <c r="Z287" s="197"/>
    </row>
    <row r="288" ht="12.0" customHeight="1">
      <c r="A288" s="197"/>
      <c r="B288" s="198"/>
      <c r="C288" s="197"/>
      <c r="D288" s="197"/>
      <c r="E288" s="197"/>
      <c r="F288" s="197"/>
      <c r="G288" s="197"/>
      <c r="H288" s="197"/>
      <c r="I288" s="197"/>
      <c r="J288" s="197"/>
      <c r="K288" s="197"/>
      <c r="L288" s="197"/>
      <c r="M288" s="197"/>
      <c r="N288" s="197"/>
      <c r="O288" s="197"/>
      <c r="P288" s="197"/>
      <c r="Q288" s="197"/>
      <c r="R288" s="197"/>
      <c r="S288" s="197"/>
      <c r="T288" s="197"/>
      <c r="U288" s="197"/>
      <c r="V288" s="197"/>
      <c r="W288" s="197"/>
      <c r="X288" s="197"/>
      <c r="Y288" s="197"/>
      <c r="Z288" s="197"/>
    </row>
    <row r="289" ht="12.0" customHeight="1">
      <c r="A289" s="197"/>
      <c r="B289" s="198"/>
      <c r="C289" s="197"/>
      <c r="D289" s="197"/>
      <c r="E289" s="197"/>
      <c r="F289" s="197"/>
      <c r="G289" s="197"/>
      <c r="H289" s="197"/>
      <c r="I289" s="197"/>
      <c r="J289" s="197"/>
      <c r="K289" s="197"/>
      <c r="L289" s="197"/>
      <c r="M289" s="197"/>
      <c r="N289" s="197"/>
      <c r="O289" s="197"/>
      <c r="P289" s="197"/>
      <c r="Q289" s="197"/>
      <c r="R289" s="197"/>
      <c r="S289" s="197"/>
      <c r="T289" s="197"/>
      <c r="U289" s="197"/>
      <c r="V289" s="197"/>
      <c r="W289" s="197"/>
      <c r="X289" s="197"/>
      <c r="Y289" s="197"/>
      <c r="Z289" s="197"/>
    </row>
    <row r="290" ht="12.0" customHeight="1">
      <c r="A290" s="197"/>
      <c r="B290" s="198"/>
      <c r="C290" s="197"/>
      <c r="D290" s="197"/>
      <c r="E290" s="197"/>
      <c r="F290" s="197"/>
      <c r="G290" s="197"/>
      <c r="H290" s="197"/>
      <c r="I290" s="197"/>
      <c r="J290" s="197"/>
      <c r="K290" s="197"/>
      <c r="L290" s="197"/>
      <c r="M290" s="197"/>
      <c r="N290" s="197"/>
      <c r="O290" s="197"/>
      <c r="P290" s="197"/>
      <c r="Q290" s="197"/>
      <c r="R290" s="197"/>
      <c r="S290" s="197"/>
      <c r="T290" s="197"/>
      <c r="U290" s="197"/>
      <c r="V290" s="197"/>
      <c r="W290" s="197"/>
      <c r="X290" s="197"/>
      <c r="Y290" s="197"/>
      <c r="Z290" s="197"/>
    </row>
    <row r="291" ht="12.0" customHeight="1">
      <c r="A291" s="197"/>
      <c r="B291" s="198"/>
      <c r="C291" s="197"/>
      <c r="D291" s="197"/>
      <c r="E291" s="197"/>
      <c r="F291" s="197"/>
      <c r="G291" s="197"/>
      <c r="H291" s="197"/>
      <c r="I291" s="197"/>
      <c r="J291" s="197"/>
      <c r="K291" s="197"/>
      <c r="L291" s="197"/>
      <c r="M291" s="197"/>
      <c r="N291" s="197"/>
      <c r="O291" s="197"/>
      <c r="P291" s="197"/>
      <c r="Q291" s="197"/>
      <c r="R291" s="197"/>
      <c r="S291" s="197"/>
      <c r="T291" s="197"/>
      <c r="U291" s="197"/>
      <c r="V291" s="197"/>
      <c r="W291" s="197"/>
      <c r="X291" s="197"/>
      <c r="Y291" s="197"/>
      <c r="Z291" s="197"/>
    </row>
    <row r="292" ht="12.0" customHeight="1">
      <c r="A292" s="197"/>
      <c r="B292" s="198"/>
      <c r="C292" s="197"/>
      <c r="D292" s="197"/>
      <c r="E292" s="197"/>
      <c r="F292" s="197"/>
      <c r="G292" s="197"/>
      <c r="H292" s="197"/>
      <c r="I292" s="197"/>
      <c r="J292" s="197"/>
      <c r="K292" s="197"/>
      <c r="L292" s="197"/>
      <c r="M292" s="197"/>
      <c r="N292" s="197"/>
      <c r="O292" s="197"/>
      <c r="P292" s="197"/>
      <c r="Q292" s="197"/>
      <c r="R292" s="197"/>
      <c r="S292" s="197"/>
      <c r="T292" s="197"/>
      <c r="U292" s="197"/>
      <c r="V292" s="197"/>
      <c r="W292" s="197"/>
      <c r="X292" s="197"/>
      <c r="Y292" s="197"/>
      <c r="Z292" s="197"/>
    </row>
    <row r="293" ht="12.0" customHeight="1">
      <c r="A293" s="197"/>
      <c r="B293" s="198"/>
      <c r="C293" s="197"/>
      <c r="D293" s="197"/>
      <c r="E293" s="197"/>
      <c r="F293" s="197"/>
      <c r="G293" s="197"/>
      <c r="H293" s="197"/>
      <c r="I293" s="197"/>
      <c r="J293" s="197"/>
      <c r="K293" s="197"/>
      <c r="L293" s="197"/>
      <c r="M293" s="197"/>
      <c r="N293" s="197"/>
      <c r="O293" s="197"/>
      <c r="P293" s="197"/>
      <c r="Q293" s="197"/>
      <c r="R293" s="197"/>
      <c r="S293" s="197"/>
      <c r="T293" s="197"/>
      <c r="U293" s="197"/>
      <c r="V293" s="197"/>
      <c r="W293" s="197"/>
      <c r="X293" s="197"/>
      <c r="Y293" s="197"/>
      <c r="Z293" s="197"/>
    </row>
    <row r="294" ht="12.0" customHeight="1">
      <c r="A294" s="197"/>
      <c r="B294" s="198"/>
      <c r="C294" s="197"/>
      <c r="D294" s="197"/>
      <c r="E294" s="197"/>
      <c r="F294" s="197"/>
      <c r="G294" s="197"/>
      <c r="H294" s="197"/>
      <c r="I294" s="197"/>
      <c r="J294" s="197"/>
      <c r="K294" s="197"/>
      <c r="L294" s="197"/>
      <c r="M294" s="197"/>
      <c r="N294" s="197"/>
      <c r="O294" s="197"/>
      <c r="P294" s="197"/>
      <c r="Q294" s="197"/>
      <c r="R294" s="197"/>
      <c r="S294" s="197"/>
      <c r="T294" s="197"/>
      <c r="U294" s="197"/>
      <c r="V294" s="197"/>
      <c r="W294" s="197"/>
      <c r="X294" s="197"/>
      <c r="Y294" s="197"/>
      <c r="Z294" s="197"/>
    </row>
    <row r="295" ht="12.0" customHeight="1">
      <c r="A295" s="197"/>
      <c r="B295" s="198"/>
      <c r="C295" s="197"/>
      <c r="D295" s="197"/>
      <c r="E295" s="197"/>
      <c r="F295" s="197"/>
      <c r="G295" s="197"/>
      <c r="H295" s="197"/>
      <c r="I295" s="197"/>
      <c r="J295" s="197"/>
      <c r="K295" s="197"/>
      <c r="L295" s="197"/>
      <c r="M295" s="197"/>
      <c r="N295" s="197"/>
      <c r="O295" s="197"/>
      <c r="P295" s="197"/>
      <c r="Q295" s="197"/>
      <c r="R295" s="197"/>
      <c r="S295" s="197"/>
      <c r="T295" s="197"/>
      <c r="U295" s="197"/>
      <c r="V295" s="197"/>
      <c r="W295" s="197"/>
      <c r="X295" s="197"/>
      <c r="Y295" s="197"/>
      <c r="Z295" s="197"/>
    </row>
    <row r="296" ht="12.0" customHeight="1">
      <c r="A296" s="197"/>
      <c r="B296" s="198"/>
      <c r="C296" s="197"/>
      <c r="D296" s="197"/>
      <c r="E296" s="197"/>
      <c r="F296" s="197"/>
      <c r="G296" s="197"/>
      <c r="H296" s="197"/>
      <c r="I296" s="197"/>
      <c r="J296" s="197"/>
      <c r="K296" s="197"/>
      <c r="L296" s="197"/>
      <c r="M296" s="197"/>
      <c r="N296" s="197"/>
      <c r="O296" s="197"/>
      <c r="P296" s="197"/>
      <c r="Q296" s="197"/>
      <c r="R296" s="197"/>
      <c r="S296" s="197"/>
      <c r="T296" s="197"/>
      <c r="U296" s="197"/>
      <c r="V296" s="197"/>
      <c r="W296" s="197"/>
      <c r="X296" s="197"/>
      <c r="Y296" s="197"/>
      <c r="Z296" s="197"/>
    </row>
    <row r="297" ht="12.0" customHeight="1">
      <c r="A297" s="197"/>
      <c r="B297" s="198"/>
      <c r="C297" s="197"/>
      <c r="D297" s="197"/>
      <c r="E297" s="197"/>
      <c r="F297" s="197"/>
      <c r="G297" s="197"/>
      <c r="H297" s="197"/>
      <c r="I297" s="197"/>
      <c r="J297" s="197"/>
      <c r="K297" s="197"/>
      <c r="L297" s="197"/>
      <c r="M297" s="197"/>
      <c r="N297" s="197"/>
      <c r="O297" s="197"/>
      <c r="P297" s="197"/>
      <c r="Q297" s="197"/>
      <c r="R297" s="197"/>
      <c r="S297" s="197"/>
      <c r="T297" s="197"/>
      <c r="U297" s="197"/>
      <c r="V297" s="197"/>
      <c r="W297" s="197"/>
      <c r="X297" s="197"/>
      <c r="Y297" s="197"/>
      <c r="Z297" s="197"/>
    </row>
    <row r="298" ht="12.0" customHeight="1">
      <c r="A298" s="197"/>
      <c r="B298" s="198"/>
      <c r="C298" s="197"/>
      <c r="D298" s="197"/>
      <c r="E298" s="197"/>
      <c r="F298" s="197"/>
      <c r="G298" s="197"/>
      <c r="H298" s="197"/>
      <c r="I298" s="197"/>
      <c r="J298" s="197"/>
      <c r="K298" s="197"/>
      <c r="L298" s="197"/>
      <c r="M298" s="197"/>
      <c r="N298" s="197"/>
      <c r="O298" s="197"/>
      <c r="P298" s="197"/>
      <c r="Q298" s="197"/>
      <c r="R298" s="197"/>
      <c r="S298" s="197"/>
      <c r="T298" s="197"/>
      <c r="U298" s="197"/>
      <c r="V298" s="197"/>
      <c r="W298" s="197"/>
      <c r="X298" s="197"/>
      <c r="Y298" s="197"/>
      <c r="Z298" s="197"/>
    </row>
    <row r="299" ht="12.0" customHeight="1">
      <c r="A299" s="197"/>
      <c r="B299" s="198"/>
      <c r="C299" s="197"/>
      <c r="D299" s="197"/>
      <c r="E299" s="197"/>
      <c r="F299" s="197"/>
      <c r="G299" s="197"/>
      <c r="H299" s="197"/>
      <c r="I299" s="197"/>
      <c r="J299" s="197"/>
      <c r="K299" s="197"/>
      <c r="L299" s="197"/>
      <c r="M299" s="197"/>
      <c r="N299" s="197"/>
      <c r="O299" s="197"/>
      <c r="P299" s="197"/>
      <c r="Q299" s="197"/>
      <c r="R299" s="197"/>
      <c r="S299" s="197"/>
      <c r="T299" s="197"/>
      <c r="U299" s="197"/>
      <c r="V299" s="197"/>
      <c r="W299" s="197"/>
      <c r="X299" s="197"/>
      <c r="Y299" s="197"/>
      <c r="Z299" s="197"/>
    </row>
    <row r="300" ht="12.0" customHeight="1">
      <c r="A300" s="197"/>
      <c r="B300" s="198"/>
      <c r="C300" s="197"/>
      <c r="D300" s="197"/>
      <c r="E300" s="197"/>
      <c r="F300" s="197"/>
      <c r="G300" s="197"/>
      <c r="H300" s="197"/>
      <c r="I300" s="197"/>
      <c r="J300" s="197"/>
      <c r="K300" s="197"/>
      <c r="L300" s="197"/>
      <c r="M300" s="197"/>
      <c r="N300" s="197"/>
      <c r="O300" s="197"/>
      <c r="P300" s="197"/>
      <c r="Q300" s="197"/>
      <c r="R300" s="197"/>
      <c r="S300" s="197"/>
      <c r="T300" s="197"/>
      <c r="U300" s="197"/>
      <c r="V300" s="197"/>
      <c r="W300" s="197"/>
      <c r="X300" s="197"/>
      <c r="Y300" s="197"/>
      <c r="Z300" s="197"/>
    </row>
    <row r="301" ht="12.0" customHeight="1">
      <c r="A301" s="197"/>
      <c r="B301" s="198"/>
      <c r="C301" s="197"/>
      <c r="D301" s="197"/>
      <c r="E301" s="197"/>
      <c r="F301" s="197"/>
      <c r="G301" s="197"/>
      <c r="H301" s="197"/>
      <c r="I301" s="197"/>
      <c r="J301" s="197"/>
      <c r="K301" s="197"/>
      <c r="L301" s="197"/>
      <c r="M301" s="197"/>
      <c r="N301" s="197"/>
      <c r="O301" s="197"/>
      <c r="P301" s="197"/>
      <c r="Q301" s="197"/>
      <c r="R301" s="197"/>
      <c r="S301" s="197"/>
      <c r="T301" s="197"/>
      <c r="U301" s="197"/>
      <c r="V301" s="197"/>
      <c r="W301" s="197"/>
      <c r="X301" s="197"/>
      <c r="Y301" s="197"/>
      <c r="Z301" s="197"/>
    </row>
    <row r="302" ht="12.0" customHeight="1">
      <c r="A302" s="197"/>
      <c r="B302" s="198"/>
      <c r="C302" s="197"/>
      <c r="D302" s="197"/>
      <c r="E302" s="197"/>
      <c r="F302" s="197"/>
      <c r="G302" s="197"/>
      <c r="H302" s="197"/>
      <c r="I302" s="197"/>
      <c r="J302" s="197"/>
      <c r="K302" s="197"/>
      <c r="L302" s="197"/>
      <c r="M302" s="197"/>
      <c r="N302" s="197"/>
      <c r="O302" s="197"/>
      <c r="P302" s="197"/>
      <c r="Q302" s="197"/>
      <c r="R302" s="197"/>
      <c r="S302" s="197"/>
      <c r="T302" s="197"/>
      <c r="U302" s="197"/>
      <c r="V302" s="197"/>
      <c r="W302" s="197"/>
      <c r="X302" s="197"/>
      <c r="Y302" s="197"/>
      <c r="Z302" s="197"/>
    </row>
    <row r="303" ht="12.0" customHeight="1">
      <c r="A303" s="197"/>
      <c r="B303" s="198"/>
      <c r="C303" s="197"/>
      <c r="D303" s="197"/>
      <c r="E303" s="197"/>
      <c r="F303" s="197"/>
      <c r="G303" s="197"/>
      <c r="H303" s="197"/>
      <c r="I303" s="197"/>
      <c r="J303" s="197"/>
      <c r="K303" s="197"/>
      <c r="L303" s="197"/>
      <c r="M303" s="197"/>
      <c r="N303" s="197"/>
      <c r="O303" s="197"/>
      <c r="P303" s="197"/>
      <c r="Q303" s="197"/>
      <c r="R303" s="197"/>
      <c r="S303" s="197"/>
      <c r="T303" s="197"/>
      <c r="U303" s="197"/>
      <c r="V303" s="197"/>
      <c r="W303" s="197"/>
      <c r="X303" s="197"/>
      <c r="Y303" s="197"/>
      <c r="Z303" s="197"/>
    </row>
    <row r="304" ht="12.0" customHeight="1">
      <c r="A304" s="197"/>
      <c r="B304" s="198"/>
      <c r="C304" s="197"/>
      <c r="D304" s="197"/>
      <c r="E304" s="197"/>
      <c r="F304" s="197"/>
      <c r="G304" s="197"/>
      <c r="H304" s="197"/>
      <c r="I304" s="197"/>
      <c r="J304" s="197"/>
      <c r="K304" s="197"/>
      <c r="L304" s="197"/>
      <c r="M304" s="197"/>
      <c r="N304" s="197"/>
      <c r="O304" s="197"/>
      <c r="P304" s="197"/>
      <c r="Q304" s="197"/>
      <c r="R304" s="197"/>
      <c r="S304" s="197"/>
      <c r="T304" s="197"/>
      <c r="U304" s="197"/>
      <c r="V304" s="197"/>
      <c r="W304" s="197"/>
      <c r="X304" s="197"/>
      <c r="Y304" s="197"/>
      <c r="Z304" s="197"/>
    </row>
    <row r="305" ht="12.0" customHeight="1">
      <c r="A305" s="197"/>
      <c r="B305" s="198"/>
      <c r="C305" s="197"/>
      <c r="D305" s="197"/>
      <c r="E305" s="197"/>
      <c r="F305" s="197"/>
      <c r="G305" s="197"/>
      <c r="H305" s="197"/>
      <c r="I305" s="197"/>
      <c r="J305" s="197"/>
      <c r="K305" s="197"/>
      <c r="L305" s="197"/>
      <c r="M305" s="197"/>
      <c r="N305" s="197"/>
      <c r="O305" s="197"/>
      <c r="P305" s="197"/>
      <c r="Q305" s="197"/>
      <c r="R305" s="197"/>
      <c r="S305" s="197"/>
      <c r="T305" s="197"/>
      <c r="U305" s="197"/>
      <c r="V305" s="197"/>
      <c r="W305" s="197"/>
      <c r="X305" s="197"/>
      <c r="Y305" s="197"/>
      <c r="Z305" s="197"/>
    </row>
    <row r="306" ht="12.0" customHeight="1">
      <c r="A306" s="197"/>
      <c r="B306" s="198"/>
      <c r="C306" s="197"/>
      <c r="D306" s="197"/>
      <c r="E306" s="197"/>
      <c r="F306" s="197"/>
      <c r="G306" s="197"/>
      <c r="H306" s="197"/>
      <c r="I306" s="197"/>
      <c r="J306" s="197"/>
      <c r="K306" s="197"/>
      <c r="L306" s="197"/>
      <c r="M306" s="197"/>
      <c r="N306" s="197"/>
      <c r="O306" s="197"/>
      <c r="P306" s="197"/>
      <c r="Q306" s="197"/>
      <c r="R306" s="197"/>
      <c r="S306" s="197"/>
      <c r="T306" s="197"/>
      <c r="U306" s="197"/>
      <c r="V306" s="197"/>
      <c r="W306" s="197"/>
      <c r="X306" s="197"/>
      <c r="Y306" s="197"/>
      <c r="Z306" s="197"/>
    </row>
    <row r="307" ht="12.0" customHeight="1">
      <c r="A307" s="197"/>
      <c r="B307" s="198"/>
      <c r="C307" s="197"/>
      <c r="D307" s="197"/>
      <c r="E307" s="197"/>
      <c r="F307" s="197"/>
      <c r="G307" s="197"/>
      <c r="H307" s="197"/>
      <c r="I307" s="197"/>
      <c r="J307" s="197"/>
      <c r="K307" s="197"/>
      <c r="L307" s="197"/>
      <c r="M307" s="197"/>
      <c r="N307" s="197"/>
      <c r="O307" s="197"/>
      <c r="P307" s="197"/>
      <c r="Q307" s="197"/>
      <c r="R307" s="197"/>
      <c r="S307" s="197"/>
      <c r="T307" s="197"/>
      <c r="U307" s="197"/>
      <c r="V307" s="197"/>
      <c r="W307" s="197"/>
      <c r="X307" s="197"/>
      <c r="Y307" s="197"/>
      <c r="Z307" s="197"/>
    </row>
    <row r="308" ht="12.0" customHeight="1">
      <c r="A308" s="197"/>
      <c r="B308" s="198"/>
      <c r="C308" s="197"/>
      <c r="D308" s="197"/>
      <c r="E308" s="197"/>
      <c r="F308" s="197"/>
      <c r="G308" s="197"/>
      <c r="H308" s="197"/>
      <c r="I308" s="197"/>
      <c r="J308" s="197"/>
      <c r="K308" s="197"/>
      <c r="L308" s="197"/>
      <c r="M308" s="197"/>
      <c r="N308" s="197"/>
      <c r="O308" s="197"/>
      <c r="P308" s="197"/>
      <c r="Q308" s="197"/>
      <c r="R308" s="197"/>
      <c r="S308" s="197"/>
      <c r="T308" s="197"/>
      <c r="U308" s="197"/>
      <c r="V308" s="197"/>
      <c r="W308" s="197"/>
      <c r="X308" s="197"/>
      <c r="Y308" s="197"/>
      <c r="Z308" s="197"/>
    </row>
    <row r="309" ht="12.0" customHeight="1">
      <c r="A309" s="197"/>
      <c r="B309" s="198"/>
      <c r="C309" s="197"/>
      <c r="D309" s="197"/>
      <c r="E309" s="197"/>
      <c r="F309" s="197"/>
      <c r="G309" s="197"/>
      <c r="H309" s="197"/>
      <c r="I309" s="197"/>
      <c r="J309" s="197"/>
      <c r="K309" s="197"/>
      <c r="L309" s="197"/>
      <c r="M309" s="197"/>
      <c r="N309" s="197"/>
      <c r="O309" s="197"/>
      <c r="P309" s="197"/>
      <c r="Q309" s="197"/>
      <c r="R309" s="197"/>
      <c r="S309" s="197"/>
      <c r="T309" s="197"/>
      <c r="U309" s="197"/>
      <c r="V309" s="197"/>
      <c r="W309" s="197"/>
      <c r="X309" s="197"/>
      <c r="Y309" s="197"/>
      <c r="Z309" s="197"/>
    </row>
    <row r="310" ht="12.0" customHeight="1">
      <c r="A310" s="197"/>
      <c r="B310" s="198"/>
      <c r="C310" s="197"/>
      <c r="D310" s="197"/>
      <c r="E310" s="197"/>
      <c r="F310" s="197"/>
      <c r="G310" s="197"/>
      <c r="H310" s="197"/>
      <c r="I310" s="197"/>
      <c r="J310" s="197"/>
      <c r="K310" s="197"/>
      <c r="L310" s="197"/>
      <c r="M310" s="197"/>
      <c r="N310" s="197"/>
      <c r="O310" s="197"/>
      <c r="P310" s="197"/>
      <c r="Q310" s="197"/>
      <c r="R310" s="197"/>
      <c r="S310" s="197"/>
      <c r="T310" s="197"/>
      <c r="U310" s="197"/>
      <c r="V310" s="197"/>
      <c r="W310" s="197"/>
      <c r="X310" s="197"/>
      <c r="Y310" s="197"/>
      <c r="Z310" s="197"/>
    </row>
    <row r="311" ht="12.0" customHeight="1">
      <c r="A311" s="197"/>
      <c r="B311" s="198"/>
      <c r="C311" s="197"/>
      <c r="D311" s="197"/>
      <c r="E311" s="197"/>
      <c r="F311" s="197"/>
      <c r="G311" s="197"/>
      <c r="H311" s="197"/>
      <c r="I311" s="197"/>
      <c r="J311" s="197"/>
      <c r="K311" s="197"/>
      <c r="L311" s="197"/>
      <c r="M311" s="197"/>
      <c r="N311" s="197"/>
      <c r="O311" s="197"/>
      <c r="P311" s="197"/>
      <c r="Q311" s="197"/>
      <c r="R311" s="197"/>
      <c r="S311" s="197"/>
      <c r="T311" s="197"/>
      <c r="U311" s="197"/>
      <c r="V311" s="197"/>
      <c r="W311" s="197"/>
      <c r="X311" s="197"/>
      <c r="Y311" s="197"/>
      <c r="Z311" s="197"/>
    </row>
    <row r="312" ht="12.0" customHeight="1">
      <c r="A312" s="197"/>
      <c r="B312" s="198"/>
      <c r="C312" s="197"/>
      <c r="D312" s="197"/>
      <c r="E312" s="197"/>
      <c r="F312" s="197"/>
      <c r="G312" s="197"/>
      <c r="H312" s="197"/>
      <c r="I312" s="197"/>
      <c r="J312" s="197"/>
      <c r="K312" s="197"/>
      <c r="L312" s="197"/>
      <c r="M312" s="197"/>
      <c r="N312" s="197"/>
      <c r="O312" s="197"/>
      <c r="P312" s="197"/>
      <c r="Q312" s="197"/>
      <c r="R312" s="197"/>
      <c r="S312" s="197"/>
      <c r="T312" s="197"/>
      <c r="U312" s="197"/>
      <c r="V312" s="197"/>
      <c r="W312" s="197"/>
      <c r="X312" s="197"/>
      <c r="Y312" s="197"/>
      <c r="Z312" s="197"/>
    </row>
    <row r="313" ht="12.0" customHeight="1">
      <c r="A313" s="197"/>
      <c r="B313" s="198"/>
      <c r="C313" s="197"/>
      <c r="D313" s="197"/>
      <c r="E313" s="197"/>
      <c r="F313" s="197"/>
      <c r="G313" s="197"/>
      <c r="H313" s="197"/>
      <c r="I313" s="197"/>
      <c r="J313" s="197"/>
      <c r="K313" s="197"/>
      <c r="L313" s="197"/>
      <c r="M313" s="197"/>
      <c r="N313" s="197"/>
      <c r="O313" s="197"/>
      <c r="P313" s="197"/>
      <c r="Q313" s="197"/>
      <c r="R313" s="197"/>
      <c r="S313" s="197"/>
      <c r="T313" s="197"/>
      <c r="U313" s="197"/>
      <c r="V313" s="197"/>
      <c r="W313" s="197"/>
      <c r="X313" s="197"/>
      <c r="Y313" s="197"/>
      <c r="Z313" s="197"/>
    </row>
    <row r="314" ht="12.0" customHeight="1">
      <c r="A314" s="197"/>
      <c r="B314" s="198"/>
      <c r="C314" s="197"/>
      <c r="D314" s="197"/>
      <c r="E314" s="197"/>
      <c r="F314" s="197"/>
      <c r="G314" s="197"/>
      <c r="H314" s="197"/>
      <c r="I314" s="197"/>
      <c r="J314" s="197"/>
      <c r="K314" s="197"/>
      <c r="L314" s="197"/>
      <c r="M314" s="197"/>
      <c r="N314" s="197"/>
      <c r="O314" s="197"/>
      <c r="P314" s="197"/>
      <c r="Q314" s="197"/>
      <c r="R314" s="197"/>
      <c r="S314" s="197"/>
      <c r="T314" s="197"/>
      <c r="U314" s="197"/>
      <c r="V314" s="197"/>
      <c r="W314" s="197"/>
      <c r="X314" s="197"/>
      <c r="Y314" s="197"/>
      <c r="Z314" s="197"/>
    </row>
    <row r="315" ht="12.0" customHeight="1">
      <c r="A315" s="197"/>
      <c r="B315" s="198"/>
      <c r="C315" s="197"/>
      <c r="D315" s="197"/>
      <c r="E315" s="197"/>
      <c r="F315" s="197"/>
      <c r="G315" s="197"/>
      <c r="H315" s="197"/>
      <c r="I315" s="197"/>
      <c r="J315" s="197"/>
      <c r="K315" s="197"/>
      <c r="L315" s="197"/>
      <c r="M315" s="197"/>
      <c r="N315" s="197"/>
      <c r="O315" s="197"/>
      <c r="P315" s="197"/>
      <c r="Q315" s="197"/>
      <c r="R315" s="197"/>
      <c r="S315" s="197"/>
      <c r="T315" s="197"/>
      <c r="U315" s="197"/>
      <c r="V315" s="197"/>
      <c r="W315" s="197"/>
      <c r="X315" s="197"/>
      <c r="Y315" s="197"/>
      <c r="Z315" s="197"/>
    </row>
    <row r="316" ht="12.0" customHeight="1">
      <c r="A316" s="197"/>
      <c r="B316" s="198"/>
      <c r="C316" s="197"/>
      <c r="D316" s="197"/>
      <c r="E316" s="197"/>
      <c r="F316" s="197"/>
      <c r="G316" s="197"/>
      <c r="H316" s="197"/>
      <c r="I316" s="197"/>
      <c r="J316" s="197"/>
      <c r="K316" s="197"/>
      <c r="L316" s="197"/>
      <c r="M316" s="197"/>
      <c r="N316" s="197"/>
      <c r="O316" s="197"/>
      <c r="P316" s="197"/>
      <c r="Q316" s="197"/>
      <c r="R316" s="197"/>
      <c r="S316" s="197"/>
      <c r="T316" s="197"/>
      <c r="U316" s="197"/>
      <c r="V316" s="197"/>
      <c r="W316" s="197"/>
      <c r="X316" s="197"/>
      <c r="Y316" s="197"/>
      <c r="Z316" s="197"/>
    </row>
    <row r="317" ht="12.0" customHeight="1">
      <c r="A317" s="197"/>
      <c r="B317" s="198"/>
      <c r="C317" s="197"/>
      <c r="D317" s="197"/>
      <c r="E317" s="197"/>
      <c r="F317" s="197"/>
      <c r="G317" s="197"/>
      <c r="H317" s="197"/>
      <c r="I317" s="197"/>
      <c r="J317" s="197"/>
      <c r="K317" s="197"/>
      <c r="L317" s="197"/>
      <c r="M317" s="197"/>
      <c r="N317" s="197"/>
      <c r="O317" s="197"/>
      <c r="P317" s="197"/>
      <c r="Q317" s="197"/>
      <c r="R317" s="197"/>
      <c r="S317" s="197"/>
      <c r="T317" s="197"/>
      <c r="U317" s="197"/>
      <c r="V317" s="197"/>
      <c r="W317" s="197"/>
      <c r="X317" s="197"/>
      <c r="Y317" s="197"/>
      <c r="Z317" s="197"/>
    </row>
    <row r="318" ht="12.0" customHeight="1">
      <c r="A318" s="197"/>
      <c r="B318" s="198"/>
      <c r="C318" s="197"/>
      <c r="D318" s="197"/>
      <c r="E318" s="197"/>
      <c r="F318" s="197"/>
      <c r="G318" s="197"/>
      <c r="H318" s="197"/>
      <c r="I318" s="197"/>
      <c r="J318" s="197"/>
      <c r="K318" s="197"/>
      <c r="L318" s="197"/>
      <c r="M318" s="197"/>
      <c r="N318" s="197"/>
      <c r="O318" s="197"/>
      <c r="P318" s="197"/>
      <c r="Q318" s="197"/>
      <c r="R318" s="197"/>
      <c r="S318" s="197"/>
      <c r="T318" s="197"/>
      <c r="U318" s="197"/>
      <c r="V318" s="197"/>
      <c r="W318" s="197"/>
      <c r="X318" s="197"/>
      <c r="Y318" s="197"/>
      <c r="Z318" s="197"/>
    </row>
    <row r="319" ht="12.0" customHeight="1">
      <c r="A319" s="197"/>
      <c r="B319" s="198"/>
      <c r="C319" s="197"/>
      <c r="D319" s="197"/>
      <c r="E319" s="197"/>
      <c r="F319" s="197"/>
      <c r="G319" s="197"/>
      <c r="H319" s="197"/>
      <c r="I319" s="197"/>
      <c r="J319" s="197"/>
      <c r="K319" s="197"/>
      <c r="L319" s="197"/>
      <c r="M319" s="197"/>
      <c r="N319" s="197"/>
      <c r="O319" s="197"/>
      <c r="P319" s="197"/>
      <c r="Q319" s="197"/>
      <c r="R319" s="197"/>
      <c r="S319" s="197"/>
      <c r="T319" s="197"/>
      <c r="U319" s="197"/>
      <c r="V319" s="197"/>
      <c r="W319" s="197"/>
      <c r="X319" s="197"/>
      <c r="Y319" s="197"/>
      <c r="Z319" s="197"/>
    </row>
    <row r="320" ht="12.0" customHeight="1">
      <c r="A320" s="197"/>
      <c r="B320" s="198"/>
      <c r="C320" s="197"/>
      <c r="D320" s="197"/>
      <c r="E320" s="197"/>
      <c r="F320" s="197"/>
      <c r="G320" s="197"/>
      <c r="H320" s="197"/>
      <c r="I320" s="197"/>
      <c r="J320" s="197"/>
      <c r="K320" s="197"/>
      <c r="L320" s="197"/>
      <c r="M320" s="197"/>
      <c r="N320" s="197"/>
      <c r="O320" s="197"/>
      <c r="P320" s="197"/>
      <c r="Q320" s="197"/>
      <c r="R320" s="197"/>
      <c r="S320" s="197"/>
      <c r="T320" s="197"/>
      <c r="U320" s="197"/>
      <c r="V320" s="197"/>
      <c r="W320" s="197"/>
      <c r="X320" s="197"/>
      <c r="Y320" s="197"/>
      <c r="Z320" s="197"/>
    </row>
    <row r="321" ht="12.0" customHeight="1">
      <c r="A321" s="197"/>
      <c r="B321" s="198"/>
      <c r="C321" s="197"/>
      <c r="D321" s="197"/>
      <c r="E321" s="197"/>
      <c r="F321" s="197"/>
      <c r="G321" s="197"/>
      <c r="H321" s="197"/>
      <c r="I321" s="197"/>
      <c r="J321" s="197"/>
      <c r="K321" s="197"/>
      <c r="L321" s="197"/>
      <c r="M321" s="197"/>
      <c r="N321" s="197"/>
      <c r="O321" s="197"/>
      <c r="P321" s="197"/>
      <c r="Q321" s="197"/>
      <c r="R321" s="197"/>
      <c r="S321" s="197"/>
      <c r="T321" s="197"/>
      <c r="U321" s="197"/>
      <c r="V321" s="197"/>
      <c r="W321" s="197"/>
      <c r="X321" s="197"/>
      <c r="Y321" s="197"/>
      <c r="Z321" s="197"/>
    </row>
    <row r="322" ht="12.0" customHeight="1">
      <c r="A322" s="197"/>
      <c r="B322" s="198"/>
      <c r="C322" s="197"/>
      <c r="D322" s="197"/>
      <c r="E322" s="197"/>
      <c r="F322" s="197"/>
      <c r="G322" s="197"/>
      <c r="H322" s="197"/>
      <c r="I322" s="197"/>
      <c r="J322" s="197"/>
      <c r="K322" s="197"/>
      <c r="L322" s="197"/>
      <c r="M322" s="197"/>
      <c r="N322" s="197"/>
      <c r="O322" s="197"/>
      <c r="P322" s="197"/>
      <c r="Q322" s="197"/>
      <c r="R322" s="197"/>
      <c r="S322" s="197"/>
      <c r="T322" s="197"/>
      <c r="U322" s="197"/>
      <c r="V322" s="197"/>
      <c r="W322" s="197"/>
      <c r="X322" s="197"/>
      <c r="Y322" s="197"/>
      <c r="Z322" s="197"/>
    </row>
    <row r="323" ht="12.0" customHeight="1">
      <c r="A323" s="197"/>
      <c r="B323" s="198"/>
      <c r="C323" s="197"/>
      <c r="D323" s="197"/>
      <c r="E323" s="197"/>
      <c r="F323" s="197"/>
      <c r="G323" s="197"/>
      <c r="H323" s="197"/>
      <c r="I323" s="197"/>
      <c r="J323" s="197"/>
      <c r="K323" s="197"/>
      <c r="L323" s="197"/>
      <c r="M323" s="197"/>
      <c r="N323" s="197"/>
      <c r="O323" s="197"/>
      <c r="P323" s="197"/>
      <c r="Q323" s="197"/>
      <c r="R323" s="197"/>
      <c r="S323" s="197"/>
      <c r="T323" s="197"/>
      <c r="U323" s="197"/>
      <c r="V323" s="197"/>
      <c r="W323" s="197"/>
      <c r="X323" s="197"/>
      <c r="Y323" s="197"/>
      <c r="Z323" s="197"/>
    </row>
    <row r="324" ht="12.0" customHeight="1">
      <c r="A324" s="197"/>
      <c r="B324" s="198"/>
      <c r="C324" s="197"/>
      <c r="D324" s="197"/>
      <c r="E324" s="197"/>
      <c r="F324" s="197"/>
      <c r="G324" s="197"/>
      <c r="H324" s="197"/>
      <c r="I324" s="197"/>
      <c r="J324" s="197"/>
      <c r="K324" s="197"/>
      <c r="L324" s="197"/>
      <c r="M324" s="197"/>
      <c r="N324" s="197"/>
      <c r="O324" s="197"/>
      <c r="P324" s="197"/>
      <c r="Q324" s="197"/>
      <c r="R324" s="197"/>
      <c r="S324" s="197"/>
      <c r="T324" s="197"/>
      <c r="U324" s="197"/>
      <c r="V324" s="197"/>
      <c r="W324" s="197"/>
      <c r="X324" s="197"/>
      <c r="Y324" s="197"/>
      <c r="Z324" s="197"/>
    </row>
    <row r="325" ht="12.0" customHeight="1">
      <c r="A325" s="197"/>
      <c r="B325" s="198"/>
      <c r="C325" s="197"/>
      <c r="D325" s="197"/>
      <c r="E325" s="197"/>
      <c r="F325" s="197"/>
      <c r="G325" s="197"/>
      <c r="H325" s="197"/>
      <c r="I325" s="197"/>
      <c r="J325" s="197"/>
      <c r="K325" s="197"/>
      <c r="L325" s="197"/>
      <c r="M325" s="197"/>
      <c r="N325" s="197"/>
      <c r="O325" s="197"/>
      <c r="P325" s="197"/>
      <c r="Q325" s="197"/>
      <c r="R325" s="197"/>
      <c r="S325" s="197"/>
      <c r="T325" s="197"/>
      <c r="U325" s="197"/>
      <c r="V325" s="197"/>
      <c r="W325" s="197"/>
      <c r="X325" s="197"/>
      <c r="Y325" s="197"/>
      <c r="Z325" s="197"/>
    </row>
    <row r="326" ht="12.0" customHeight="1">
      <c r="A326" s="197"/>
      <c r="B326" s="198"/>
      <c r="C326" s="197"/>
      <c r="D326" s="197"/>
      <c r="E326" s="197"/>
      <c r="F326" s="197"/>
      <c r="G326" s="197"/>
      <c r="H326" s="197"/>
      <c r="I326" s="197"/>
      <c r="J326" s="197"/>
      <c r="K326" s="197"/>
      <c r="L326" s="197"/>
      <c r="M326" s="197"/>
      <c r="N326" s="197"/>
      <c r="O326" s="197"/>
      <c r="P326" s="197"/>
      <c r="Q326" s="197"/>
      <c r="R326" s="197"/>
      <c r="S326" s="197"/>
      <c r="T326" s="197"/>
      <c r="U326" s="197"/>
      <c r="V326" s="197"/>
      <c r="W326" s="197"/>
      <c r="X326" s="197"/>
      <c r="Y326" s="197"/>
      <c r="Z326" s="197"/>
    </row>
    <row r="327" ht="12.0" customHeight="1">
      <c r="A327" s="197"/>
      <c r="B327" s="198"/>
      <c r="C327" s="197"/>
      <c r="D327" s="197"/>
      <c r="E327" s="197"/>
      <c r="F327" s="197"/>
      <c r="G327" s="197"/>
      <c r="H327" s="197"/>
      <c r="I327" s="197"/>
      <c r="J327" s="197"/>
      <c r="K327" s="197"/>
      <c r="L327" s="197"/>
      <c r="M327" s="197"/>
      <c r="N327" s="197"/>
      <c r="O327" s="197"/>
      <c r="P327" s="197"/>
      <c r="Q327" s="197"/>
      <c r="R327" s="197"/>
      <c r="S327" s="197"/>
      <c r="T327" s="197"/>
      <c r="U327" s="197"/>
      <c r="V327" s="197"/>
      <c r="W327" s="197"/>
      <c r="X327" s="197"/>
      <c r="Y327" s="197"/>
      <c r="Z327" s="197"/>
    </row>
    <row r="328" ht="12.0" customHeight="1">
      <c r="A328" s="197"/>
      <c r="B328" s="198"/>
      <c r="C328" s="197"/>
      <c r="D328" s="197"/>
      <c r="E328" s="197"/>
      <c r="F328" s="197"/>
      <c r="G328" s="197"/>
      <c r="H328" s="197"/>
      <c r="I328" s="197"/>
      <c r="J328" s="197"/>
      <c r="K328" s="197"/>
      <c r="L328" s="197"/>
      <c r="M328" s="197"/>
      <c r="N328" s="197"/>
      <c r="O328" s="197"/>
      <c r="P328" s="197"/>
      <c r="Q328" s="197"/>
      <c r="R328" s="197"/>
      <c r="S328" s="197"/>
      <c r="T328" s="197"/>
      <c r="U328" s="197"/>
      <c r="V328" s="197"/>
      <c r="W328" s="197"/>
      <c r="X328" s="197"/>
      <c r="Y328" s="197"/>
      <c r="Z328" s="197"/>
    </row>
    <row r="329" ht="12.0" customHeight="1">
      <c r="A329" s="197"/>
      <c r="B329" s="198"/>
      <c r="C329" s="197"/>
      <c r="D329" s="197"/>
      <c r="E329" s="197"/>
      <c r="F329" s="197"/>
      <c r="G329" s="197"/>
      <c r="H329" s="197"/>
      <c r="I329" s="197"/>
      <c r="J329" s="197"/>
      <c r="K329" s="197"/>
      <c r="L329" s="197"/>
      <c r="M329" s="197"/>
      <c r="N329" s="197"/>
      <c r="O329" s="197"/>
      <c r="P329" s="197"/>
      <c r="Q329" s="197"/>
      <c r="R329" s="197"/>
      <c r="S329" s="197"/>
      <c r="T329" s="197"/>
      <c r="U329" s="197"/>
      <c r="V329" s="197"/>
      <c r="W329" s="197"/>
      <c r="X329" s="197"/>
      <c r="Y329" s="197"/>
      <c r="Z329" s="197"/>
    </row>
    <row r="330" ht="12.0" customHeight="1">
      <c r="A330" s="197"/>
      <c r="B330" s="198"/>
      <c r="C330" s="197"/>
      <c r="D330" s="197"/>
      <c r="E330" s="197"/>
      <c r="F330" s="197"/>
      <c r="G330" s="197"/>
      <c r="H330" s="197"/>
      <c r="I330" s="197"/>
      <c r="J330" s="197"/>
      <c r="K330" s="197"/>
      <c r="L330" s="197"/>
      <c r="M330" s="197"/>
      <c r="N330" s="197"/>
      <c r="O330" s="197"/>
      <c r="P330" s="197"/>
      <c r="Q330" s="197"/>
      <c r="R330" s="197"/>
      <c r="S330" s="197"/>
      <c r="T330" s="197"/>
      <c r="U330" s="197"/>
      <c r="V330" s="197"/>
      <c r="W330" s="197"/>
      <c r="X330" s="197"/>
      <c r="Y330" s="197"/>
      <c r="Z330" s="197"/>
    </row>
    <row r="331" ht="12.0" customHeight="1">
      <c r="A331" s="197"/>
      <c r="B331" s="198"/>
      <c r="C331" s="197"/>
      <c r="D331" s="197"/>
      <c r="E331" s="197"/>
      <c r="F331" s="197"/>
      <c r="G331" s="197"/>
      <c r="H331" s="197"/>
      <c r="I331" s="197"/>
      <c r="J331" s="197"/>
      <c r="K331" s="197"/>
      <c r="L331" s="197"/>
      <c r="M331" s="197"/>
      <c r="N331" s="197"/>
      <c r="O331" s="197"/>
      <c r="P331" s="197"/>
      <c r="Q331" s="197"/>
      <c r="R331" s="197"/>
      <c r="S331" s="197"/>
      <c r="T331" s="197"/>
      <c r="U331" s="197"/>
      <c r="V331" s="197"/>
      <c r="W331" s="197"/>
      <c r="X331" s="197"/>
      <c r="Y331" s="197"/>
      <c r="Z331" s="197"/>
    </row>
    <row r="332" ht="12.0" customHeight="1">
      <c r="A332" s="197"/>
      <c r="B332" s="198"/>
      <c r="C332" s="197"/>
      <c r="D332" s="197"/>
      <c r="E332" s="197"/>
      <c r="F332" s="197"/>
      <c r="G332" s="197"/>
      <c r="H332" s="197"/>
      <c r="I332" s="197"/>
      <c r="J332" s="197"/>
      <c r="K332" s="197"/>
      <c r="L332" s="197"/>
      <c r="M332" s="197"/>
      <c r="N332" s="197"/>
      <c r="O332" s="197"/>
      <c r="P332" s="197"/>
      <c r="Q332" s="197"/>
      <c r="R332" s="197"/>
      <c r="S332" s="197"/>
      <c r="T332" s="197"/>
      <c r="U332" s="197"/>
      <c r="V332" s="197"/>
      <c r="W332" s="197"/>
      <c r="X332" s="197"/>
      <c r="Y332" s="197"/>
      <c r="Z332" s="197"/>
    </row>
    <row r="333" ht="12.0" customHeight="1">
      <c r="A333" s="197"/>
      <c r="B333" s="198"/>
      <c r="C333" s="197"/>
      <c r="D333" s="197"/>
      <c r="E333" s="197"/>
      <c r="F333" s="197"/>
      <c r="G333" s="197"/>
      <c r="H333" s="197"/>
      <c r="I333" s="197"/>
      <c r="J333" s="197"/>
      <c r="K333" s="197"/>
      <c r="L333" s="197"/>
      <c r="M333" s="197"/>
      <c r="N333" s="197"/>
      <c r="O333" s="197"/>
      <c r="P333" s="197"/>
      <c r="Q333" s="197"/>
      <c r="R333" s="197"/>
      <c r="S333" s="197"/>
      <c r="T333" s="197"/>
      <c r="U333" s="197"/>
      <c r="V333" s="197"/>
      <c r="W333" s="197"/>
      <c r="X333" s="197"/>
      <c r="Y333" s="197"/>
      <c r="Z333" s="197"/>
    </row>
    <row r="334" ht="12.0" customHeight="1">
      <c r="A334" s="197"/>
      <c r="B334" s="198"/>
      <c r="C334" s="197"/>
      <c r="D334" s="197"/>
      <c r="E334" s="197"/>
      <c r="F334" s="197"/>
      <c r="G334" s="197"/>
      <c r="H334" s="197"/>
      <c r="I334" s="197"/>
      <c r="J334" s="197"/>
      <c r="K334" s="197"/>
      <c r="L334" s="197"/>
      <c r="M334" s="197"/>
      <c r="N334" s="197"/>
      <c r="O334" s="197"/>
      <c r="P334" s="197"/>
      <c r="Q334" s="197"/>
      <c r="R334" s="197"/>
      <c r="S334" s="197"/>
      <c r="T334" s="197"/>
      <c r="U334" s="197"/>
      <c r="V334" s="197"/>
      <c r="W334" s="197"/>
      <c r="X334" s="197"/>
      <c r="Y334" s="197"/>
      <c r="Z334" s="197"/>
    </row>
    <row r="335" ht="12.0" customHeight="1">
      <c r="A335" s="197"/>
      <c r="B335" s="198"/>
      <c r="C335" s="197"/>
      <c r="D335" s="197"/>
      <c r="E335" s="197"/>
      <c r="F335" s="197"/>
      <c r="G335" s="197"/>
      <c r="H335" s="197"/>
      <c r="I335" s="197"/>
      <c r="J335" s="197"/>
      <c r="K335" s="197"/>
      <c r="L335" s="197"/>
      <c r="M335" s="197"/>
      <c r="N335" s="197"/>
      <c r="O335" s="197"/>
      <c r="P335" s="197"/>
      <c r="Q335" s="197"/>
      <c r="R335" s="197"/>
      <c r="S335" s="197"/>
      <c r="T335" s="197"/>
      <c r="U335" s="197"/>
      <c r="V335" s="197"/>
      <c r="W335" s="197"/>
      <c r="X335" s="197"/>
      <c r="Y335" s="197"/>
      <c r="Z335" s="197"/>
    </row>
    <row r="336" ht="12.0" customHeight="1">
      <c r="A336" s="197"/>
      <c r="B336" s="198"/>
      <c r="C336" s="197"/>
      <c r="D336" s="197"/>
      <c r="E336" s="197"/>
      <c r="F336" s="197"/>
      <c r="G336" s="197"/>
      <c r="H336" s="197"/>
      <c r="I336" s="197"/>
      <c r="J336" s="197"/>
      <c r="K336" s="197"/>
      <c r="L336" s="197"/>
      <c r="M336" s="197"/>
      <c r="N336" s="197"/>
      <c r="O336" s="197"/>
      <c r="P336" s="197"/>
      <c r="Q336" s="197"/>
      <c r="R336" s="197"/>
      <c r="S336" s="197"/>
      <c r="T336" s="197"/>
      <c r="U336" s="197"/>
      <c r="V336" s="197"/>
      <c r="W336" s="197"/>
      <c r="X336" s="197"/>
      <c r="Y336" s="197"/>
      <c r="Z336" s="197"/>
    </row>
    <row r="337" ht="12.0" customHeight="1">
      <c r="A337" s="197"/>
      <c r="B337" s="198"/>
      <c r="C337" s="197"/>
      <c r="D337" s="197"/>
      <c r="E337" s="197"/>
      <c r="F337" s="197"/>
      <c r="G337" s="197"/>
      <c r="H337" s="197"/>
      <c r="I337" s="197"/>
      <c r="J337" s="197"/>
      <c r="K337" s="197"/>
      <c r="L337" s="197"/>
      <c r="M337" s="197"/>
      <c r="N337" s="197"/>
      <c r="O337" s="197"/>
      <c r="P337" s="197"/>
      <c r="Q337" s="197"/>
      <c r="R337" s="197"/>
      <c r="S337" s="197"/>
      <c r="T337" s="197"/>
      <c r="U337" s="197"/>
      <c r="V337" s="197"/>
      <c r="W337" s="197"/>
      <c r="X337" s="197"/>
      <c r="Y337" s="197"/>
      <c r="Z337" s="197"/>
    </row>
    <row r="338" ht="12.0" customHeight="1">
      <c r="A338" s="197"/>
      <c r="B338" s="198"/>
      <c r="C338" s="197"/>
      <c r="D338" s="197"/>
      <c r="E338" s="197"/>
      <c r="F338" s="197"/>
      <c r="G338" s="197"/>
      <c r="H338" s="197"/>
      <c r="I338" s="197"/>
      <c r="J338" s="197"/>
      <c r="K338" s="197"/>
      <c r="L338" s="197"/>
      <c r="M338" s="197"/>
      <c r="N338" s="197"/>
      <c r="O338" s="197"/>
      <c r="P338" s="197"/>
      <c r="Q338" s="197"/>
      <c r="R338" s="197"/>
      <c r="S338" s="197"/>
      <c r="T338" s="197"/>
      <c r="U338" s="197"/>
      <c r="V338" s="197"/>
      <c r="W338" s="197"/>
      <c r="X338" s="197"/>
      <c r="Y338" s="197"/>
      <c r="Z338" s="197"/>
    </row>
    <row r="339" ht="12.0" customHeight="1">
      <c r="A339" s="197"/>
      <c r="B339" s="198"/>
      <c r="C339" s="197"/>
      <c r="D339" s="197"/>
      <c r="E339" s="197"/>
      <c r="F339" s="197"/>
      <c r="G339" s="197"/>
      <c r="H339" s="197"/>
      <c r="I339" s="197"/>
      <c r="J339" s="197"/>
      <c r="K339" s="197"/>
      <c r="L339" s="197"/>
      <c r="M339" s="197"/>
      <c r="N339" s="197"/>
      <c r="O339" s="197"/>
      <c r="P339" s="197"/>
      <c r="Q339" s="197"/>
      <c r="R339" s="197"/>
      <c r="S339" s="197"/>
      <c r="T339" s="197"/>
      <c r="U339" s="197"/>
      <c r="V339" s="197"/>
      <c r="W339" s="197"/>
      <c r="X339" s="197"/>
      <c r="Y339" s="197"/>
      <c r="Z339" s="197"/>
    </row>
    <row r="340" ht="12.0" customHeight="1">
      <c r="A340" s="197"/>
      <c r="B340" s="198"/>
      <c r="C340" s="197"/>
      <c r="D340" s="197"/>
      <c r="E340" s="197"/>
      <c r="F340" s="197"/>
      <c r="G340" s="197"/>
      <c r="H340" s="197"/>
      <c r="I340" s="197"/>
      <c r="J340" s="197"/>
      <c r="K340" s="197"/>
      <c r="L340" s="197"/>
      <c r="M340" s="197"/>
      <c r="N340" s="197"/>
      <c r="O340" s="197"/>
      <c r="P340" s="197"/>
      <c r="Q340" s="197"/>
      <c r="R340" s="197"/>
      <c r="S340" s="197"/>
      <c r="T340" s="197"/>
      <c r="U340" s="197"/>
      <c r="V340" s="197"/>
      <c r="W340" s="197"/>
      <c r="X340" s="197"/>
      <c r="Y340" s="197"/>
      <c r="Z340" s="197"/>
    </row>
    <row r="341" ht="12.0" customHeight="1">
      <c r="A341" s="197"/>
      <c r="B341" s="198"/>
      <c r="C341" s="197"/>
      <c r="D341" s="197"/>
      <c r="E341" s="197"/>
      <c r="F341" s="197"/>
      <c r="G341" s="197"/>
      <c r="H341" s="197"/>
      <c r="I341" s="197"/>
      <c r="J341" s="197"/>
      <c r="K341" s="197"/>
      <c r="L341" s="197"/>
      <c r="M341" s="197"/>
      <c r="N341" s="197"/>
      <c r="O341" s="197"/>
      <c r="P341" s="197"/>
      <c r="Q341" s="197"/>
      <c r="R341" s="197"/>
      <c r="S341" s="197"/>
      <c r="T341" s="197"/>
      <c r="U341" s="197"/>
      <c r="V341" s="197"/>
      <c r="W341" s="197"/>
      <c r="X341" s="197"/>
      <c r="Y341" s="197"/>
      <c r="Z341" s="197"/>
    </row>
    <row r="342" ht="12.0" customHeight="1">
      <c r="A342" s="197"/>
      <c r="B342" s="198"/>
      <c r="C342" s="197"/>
      <c r="D342" s="197"/>
      <c r="E342" s="197"/>
      <c r="F342" s="197"/>
      <c r="G342" s="197"/>
      <c r="H342" s="197"/>
      <c r="I342" s="197"/>
      <c r="J342" s="197"/>
      <c r="K342" s="197"/>
      <c r="L342" s="197"/>
      <c r="M342" s="197"/>
      <c r="N342" s="197"/>
      <c r="O342" s="197"/>
      <c r="P342" s="197"/>
      <c r="Q342" s="197"/>
      <c r="R342" s="197"/>
      <c r="S342" s="197"/>
      <c r="T342" s="197"/>
      <c r="U342" s="197"/>
      <c r="V342" s="197"/>
      <c r="W342" s="197"/>
      <c r="X342" s="197"/>
      <c r="Y342" s="197"/>
      <c r="Z342" s="197"/>
    </row>
    <row r="343" ht="12.0" customHeight="1">
      <c r="A343" s="197"/>
      <c r="B343" s="198"/>
      <c r="C343" s="197"/>
      <c r="D343" s="197"/>
      <c r="E343" s="197"/>
      <c r="F343" s="197"/>
      <c r="G343" s="197"/>
      <c r="H343" s="197"/>
      <c r="I343" s="197"/>
      <c r="J343" s="197"/>
      <c r="K343" s="197"/>
      <c r="L343" s="197"/>
      <c r="M343" s="197"/>
      <c r="N343" s="197"/>
      <c r="O343" s="197"/>
      <c r="P343" s="197"/>
      <c r="Q343" s="197"/>
      <c r="R343" s="197"/>
      <c r="S343" s="197"/>
      <c r="T343" s="197"/>
      <c r="U343" s="197"/>
      <c r="V343" s="197"/>
      <c r="W343" s="197"/>
      <c r="X343" s="197"/>
      <c r="Y343" s="197"/>
      <c r="Z343" s="197"/>
    </row>
    <row r="344" ht="12.0" customHeight="1">
      <c r="A344" s="197"/>
      <c r="B344" s="198"/>
      <c r="C344" s="197"/>
      <c r="D344" s="197"/>
      <c r="E344" s="197"/>
      <c r="F344" s="197"/>
      <c r="G344" s="197"/>
      <c r="H344" s="197"/>
      <c r="I344" s="197"/>
      <c r="J344" s="197"/>
      <c r="K344" s="197"/>
      <c r="L344" s="197"/>
      <c r="M344" s="197"/>
      <c r="N344" s="197"/>
      <c r="O344" s="197"/>
      <c r="P344" s="197"/>
      <c r="Q344" s="197"/>
      <c r="R344" s="197"/>
      <c r="S344" s="197"/>
      <c r="T344" s="197"/>
      <c r="U344" s="197"/>
      <c r="V344" s="197"/>
      <c r="W344" s="197"/>
      <c r="X344" s="197"/>
      <c r="Y344" s="197"/>
      <c r="Z344" s="197"/>
    </row>
    <row r="345" ht="12.0" customHeight="1">
      <c r="A345" s="197"/>
      <c r="B345" s="198"/>
      <c r="C345" s="197"/>
      <c r="D345" s="197"/>
      <c r="E345" s="197"/>
      <c r="F345" s="197"/>
      <c r="G345" s="197"/>
      <c r="H345" s="197"/>
      <c r="I345" s="197"/>
      <c r="J345" s="197"/>
      <c r="K345" s="197"/>
      <c r="L345" s="197"/>
      <c r="M345" s="197"/>
      <c r="N345" s="197"/>
      <c r="O345" s="197"/>
      <c r="P345" s="197"/>
      <c r="Q345" s="197"/>
      <c r="R345" s="197"/>
      <c r="S345" s="197"/>
      <c r="T345" s="197"/>
      <c r="U345" s="197"/>
      <c r="V345" s="197"/>
      <c r="W345" s="197"/>
      <c r="X345" s="197"/>
      <c r="Y345" s="197"/>
      <c r="Z345" s="197"/>
    </row>
    <row r="346" ht="12.0" customHeight="1">
      <c r="A346" s="197"/>
      <c r="B346" s="198"/>
      <c r="C346" s="197"/>
      <c r="D346" s="197"/>
      <c r="E346" s="197"/>
      <c r="F346" s="197"/>
      <c r="G346" s="197"/>
      <c r="H346" s="197"/>
      <c r="I346" s="197"/>
      <c r="J346" s="197"/>
      <c r="K346" s="197"/>
      <c r="L346" s="197"/>
      <c r="M346" s="197"/>
      <c r="N346" s="197"/>
      <c r="O346" s="197"/>
      <c r="P346" s="197"/>
      <c r="Q346" s="197"/>
      <c r="R346" s="197"/>
      <c r="S346" s="197"/>
      <c r="T346" s="197"/>
      <c r="U346" s="197"/>
      <c r="V346" s="197"/>
      <c r="W346" s="197"/>
      <c r="X346" s="197"/>
      <c r="Y346" s="197"/>
      <c r="Z346" s="197"/>
    </row>
    <row r="347" ht="12.0" customHeight="1">
      <c r="A347" s="197"/>
      <c r="B347" s="198"/>
      <c r="C347" s="197"/>
      <c r="D347" s="197"/>
      <c r="E347" s="197"/>
      <c r="F347" s="197"/>
      <c r="G347" s="197"/>
      <c r="H347" s="197"/>
      <c r="I347" s="197"/>
      <c r="J347" s="197"/>
      <c r="K347" s="197"/>
      <c r="L347" s="197"/>
      <c r="M347" s="197"/>
      <c r="N347" s="197"/>
      <c r="O347" s="197"/>
      <c r="P347" s="197"/>
      <c r="Q347" s="197"/>
      <c r="R347" s="197"/>
      <c r="S347" s="197"/>
      <c r="T347" s="197"/>
      <c r="U347" s="197"/>
      <c r="V347" s="197"/>
      <c r="W347" s="197"/>
      <c r="X347" s="197"/>
      <c r="Y347" s="197"/>
      <c r="Z347" s="197"/>
    </row>
    <row r="348" ht="12.0" customHeight="1">
      <c r="A348" s="197"/>
      <c r="B348" s="198"/>
      <c r="C348" s="197"/>
      <c r="D348" s="197"/>
      <c r="E348" s="197"/>
      <c r="F348" s="197"/>
      <c r="G348" s="197"/>
      <c r="H348" s="197"/>
      <c r="I348" s="197"/>
      <c r="J348" s="197"/>
      <c r="K348" s="197"/>
      <c r="L348" s="197"/>
      <c r="M348" s="197"/>
      <c r="N348" s="197"/>
      <c r="O348" s="197"/>
      <c r="P348" s="197"/>
      <c r="Q348" s="197"/>
      <c r="R348" s="197"/>
      <c r="S348" s="197"/>
      <c r="T348" s="197"/>
      <c r="U348" s="197"/>
      <c r="V348" s="197"/>
      <c r="W348" s="197"/>
      <c r="X348" s="197"/>
      <c r="Y348" s="197"/>
      <c r="Z348" s="197"/>
    </row>
    <row r="349" ht="12.0" customHeight="1">
      <c r="A349" s="197"/>
      <c r="B349" s="198"/>
      <c r="C349" s="197"/>
      <c r="D349" s="197"/>
      <c r="E349" s="197"/>
      <c r="F349" s="197"/>
      <c r="G349" s="197"/>
      <c r="H349" s="197"/>
      <c r="I349" s="197"/>
      <c r="J349" s="197"/>
      <c r="K349" s="197"/>
      <c r="L349" s="197"/>
      <c r="M349" s="197"/>
      <c r="N349" s="197"/>
      <c r="O349" s="197"/>
      <c r="P349" s="197"/>
      <c r="Q349" s="197"/>
      <c r="R349" s="197"/>
      <c r="S349" s="197"/>
      <c r="T349" s="197"/>
      <c r="U349" s="197"/>
      <c r="V349" s="197"/>
      <c r="W349" s="197"/>
      <c r="X349" s="197"/>
      <c r="Y349" s="197"/>
      <c r="Z349" s="197"/>
    </row>
    <row r="350" ht="12.0" customHeight="1">
      <c r="A350" s="197"/>
      <c r="B350" s="198"/>
      <c r="C350" s="197"/>
      <c r="D350" s="197"/>
      <c r="E350" s="197"/>
      <c r="F350" s="197"/>
      <c r="G350" s="197"/>
      <c r="H350" s="197"/>
      <c r="I350" s="197"/>
      <c r="J350" s="197"/>
      <c r="K350" s="197"/>
      <c r="L350" s="197"/>
      <c r="M350" s="197"/>
      <c r="N350" s="197"/>
      <c r="O350" s="197"/>
      <c r="P350" s="197"/>
      <c r="Q350" s="197"/>
      <c r="R350" s="197"/>
      <c r="S350" s="197"/>
      <c r="T350" s="197"/>
      <c r="U350" s="197"/>
      <c r="V350" s="197"/>
      <c r="W350" s="197"/>
      <c r="X350" s="197"/>
      <c r="Y350" s="197"/>
      <c r="Z350" s="197"/>
    </row>
    <row r="351" ht="12.0" customHeight="1">
      <c r="A351" s="197"/>
      <c r="B351" s="198"/>
      <c r="C351" s="197"/>
      <c r="D351" s="197"/>
      <c r="E351" s="197"/>
      <c r="F351" s="197"/>
      <c r="G351" s="197"/>
      <c r="H351" s="197"/>
      <c r="I351" s="197"/>
      <c r="J351" s="197"/>
      <c r="K351" s="197"/>
      <c r="L351" s="197"/>
      <c r="M351" s="197"/>
      <c r="N351" s="197"/>
      <c r="O351" s="197"/>
      <c r="P351" s="197"/>
      <c r="Q351" s="197"/>
      <c r="R351" s="197"/>
      <c r="S351" s="197"/>
      <c r="T351" s="197"/>
      <c r="U351" s="197"/>
      <c r="V351" s="197"/>
      <c r="W351" s="197"/>
      <c r="X351" s="197"/>
      <c r="Y351" s="197"/>
      <c r="Z351" s="197"/>
    </row>
    <row r="352" ht="12.0" customHeight="1">
      <c r="A352" s="197"/>
      <c r="B352" s="198"/>
      <c r="C352" s="197"/>
      <c r="D352" s="197"/>
      <c r="E352" s="197"/>
      <c r="F352" s="197"/>
      <c r="G352" s="197"/>
      <c r="H352" s="197"/>
      <c r="I352" s="197"/>
      <c r="J352" s="197"/>
      <c r="K352" s="197"/>
      <c r="L352" s="197"/>
      <c r="M352" s="197"/>
      <c r="N352" s="197"/>
      <c r="O352" s="197"/>
      <c r="P352" s="197"/>
      <c r="Q352" s="197"/>
      <c r="R352" s="197"/>
      <c r="S352" s="197"/>
      <c r="T352" s="197"/>
      <c r="U352" s="197"/>
      <c r="V352" s="197"/>
      <c r="W352" s="197"/>
      <c r="X352" s="197"/>
      <c r="Y352" s="197"/>
      <c r="Z352" s="197"/>
    </row>
    <row r="353" ht="12.0" customHeight="1">
      <c r="A353" s="197"/>
      <c r="B353" s="198"/>
      <c r="C353" s="197"/>
      <c r="D353" s="197"/>
      <c r="E353" s="197"/>
      <c r="F353" s="197"/>
      <c r="G353" s="197"/>
      <c r="H353" s="197"/>
      <c r="I353" s="197"/>
      <c r="J353" s="197"/>
      <c r="K353" s="197"/>
      <c r="L353" s="197"/>
      <c r="M353" s="197"/>
      <c r="N353" s="197"/>
      <c r="O353" s="197"/>
      <c r="P353" s="197"/>
      <c r="Q353" s="197"/>
      <c r="R353" s="197"/>
      <c r="S353" s="197"/>
      <c r="T353" s="197"/>
      <c r="U353" s="197"/>
      <c r="V353" s="197"/>
      <c r="W353" s="197"/>
      <c r="X353" s="197"/>
      <c r="Y353" s="197"/>
      <c r="Z353" s="197"/>
    </row>
    <row r="354" ht="12.0" customHeight="1">
      <c r="A354" s="197"/>
      <c r="B354" s="198"/>
      <c r="C354" s="197"/>
      <c r="D354" s="197"/>
      <c r="E354" s="197"/>
      <c r="F354" s="197"/>
      <c r="G354" s="197"/>
      <c r="H354" s="197"/>
      <c r="I354" s="197"/>
      <c r="J354" s="197"/>
      <c r="K354" s="197"/>
      <c r="L354" s="197"/>
      <c r="M354" s="197"/>
      <c r="N354" s="197"/>
      <c r="O354" s="197"/>
      <c r="P354" s="197"/>
      <c r="Q354" s="197"/>
      <c r="R354" s="197"/>
      <c r="S354" s="197"/>
      <c r="T354" s="197"/>
      <c r="U354" s="197"/>
      <c r="V354" s="197"/>
      <c r="W354" s="197"/>
      <c r="X354" s="197"/>
      <c r="Y354" s="197"/>
      <c r="Z354" s="197"/>
    </row>
    <row r="355" ht="12.0" customHeight="1">
      <c r="A355" s="197"/>
      <c r="B355" s="198"/>
      <c r="C355" s="197"/>
      <c r="D355" s="197"/>
      <c r="E355" s="197"/>
      <c r="F355" s="197"/>
      <c r="G355" s="197"/>
      <c r="H355" s="197"/>
      <c r="I355" s="197"/>
      <c r="J355" s="197"/>
      <c r="K355" s="197"/>
      <c r="L355" s="197"/>
      <c r="M355" s="197"/>
      <c r="N355" s="197"/>
      <c r="O355" s="197"/>
      <c r="P355" s="197"/>
      <c r="Q355" s="197"/>
      <c r="R355" s="197"/>
      <c r="S355" s="197"/>
      <c r="T355" s="197"/>
      <c r="U355" s="197"/>
      <c r="V355" s="197"/>
      <c r="W355" s="197"/>
      <c r="X355" s="197"/>
      <c r="Y355" s="197"/>
      <c r="Z355" s="197"/>
    </row>
    <row r="356" ht="12.0" customHeight="1">
      <c r="A356" s="197"/>
      <c r="B356" s="198"/>
      <c r="C356" s="197"/>
      <c r="D356" s="197"/>
      <c r="E356" s="197"/>
      <c r="F356" s="197"/>
      <c r="G356" s="197"/>
      <c r="H356" s="197"/>
      <c r="I356" s="197"/>
      <c r="J356" s="197"/>
      <c r="K356" s="197"/>
      <c r="L356" s="197"/>
      <c r="M356" s="197"/>
      <c r="N356" s="197"/>
      <c r="O356" s="197"/>
      <c r="P356" s="197"/>
      <c r="Q356" s="197"/>
      <c r="R356" s="197"/>
      <c r="S356" s="197"/>
      <c r="T356" s="197"/>
      <c r="U356" s="197"/>
      <c r="V356" s="197"/>
      <c r="W356" s="197"/>
      <c r="X356" s="197"/>
      <c r="Y356" s="197"/>
      <c r="Z356" s="197"/>
    </row>
    <row r="357" ht="12.0" customHeight="1">
      <c r="A357" s="197"/>
      <c r="B357" s="198"/>
      <c r="C357" s="197"/>
      <c r="D357" s="197"/>
      <c r="E357" s="197"/>
      <c r="F357" s="197"/>
      <c r="G357" s="197"/>
      <c r="H357" s="197"/>
      <c r="I357" s="197"/>
      <c r="J357" s="197"/>
      <c r="K357" s="197"/>
      <c r="L357" s="197"/>
      <c r="M357" s="197"/>
      <c r="N357" s="197"/>
      <c r="O357" s="197"/>
      <c r="P357" s="197"/>
      <c r="Q357" s="197"/>
      <c r="R357" s="197"/>
      <c r="S357" s="197"/>
      <c r="T357" s="197"/>
      <c r="U357" s="197"/>
      <c r="V357" s="197"/>
      <c r="W357" s="197"/>
      <c r="X357" s="197"/>
      <c r="Y357" s="197"/>
      <c r="Z357" s="197"/>
    </row>
    <row r="358" ht="12.0" customHeight="1">
      <c r="A358" s="197"/>
      <c r="B358" s="198"/>
      <c r="C358" s="197"/>
      <c r="D358" s="197"/>
      <c r="E358" s="197"/>
      <c r="F358" s="197"/>
      <c r="G358" s="197"/>
      <c r="H358" s="197"/>
      <c r="I358" s="197"/>
      <c r="J358" s="197"/>
      <c r="K358" s="197"/>
      <c r="L358" s="197"/>
      <c r="M358" s="197"/>
      <c r="N358" s="197"/>
      <c r="O358" s="197"/>
      <c r="P358" s="197"/>
      <c r="Q358" s="197"/>
      <c r="R358" s="197"/>
      <c r="S358" s="197"/>
      <c r="T358" s="197"/>
      <c r="U358" s="197"/>
      <c r="V358" s="197"/>
      <c r="W358" s="197"/>
      <c r="X358" s="197"/>
      <c r="Y358" s="197"/>
      <c r="Z358" s="197"/>
    </row>
    <row r="359" ht="12.0" customHeight="1">
      <c r="A359" s="197"/>
      <c r="B359" s="198"/>
      <c r="C359" s="197"/>
      <c r="D359" s="197"/>
      <c r="E359" s="197"/>
      <c r="F359" s="197"/>
      <c r="G359" s="197"/>
      <c r="H359" s="197"/>
      <c r="I359" s="197"/>
      <c r="J359" s="197"/>
      <c r="K359" s="197"/>
      <c r="L359" s="197"/>
      <c r="M359" s="197"/>
      <c r="N359" s="197"/>
      <c r="O359" s="197"/>
      <c r="P359" s="197"/>
      <c r="Q359" s="197"/>
      <c r="R359" s="197"/>
      <c r="S359" s="197"/>
      <c r="T359" s="197"/>
      <c r="U359" s="197"/>
      <c r="V359" s="197"/>
      <c r="W359" s="197"/>
      <c r="X359" s="197"/>
      <c r="Y359" s="197"/>
      <c r="Z359" s="197"/>
    </row>
    <row r="360" ht="12.0" customHeight="1">
      <c r="A360" s="197"/>
      <c r="B360" s="198"/>
      <c r="C360" s="197"/>
      <c r="D360" s="197"/>
      <c r="E360" s="197"/>
      <c r="F360" s="197"/>
      <c r="G360" s="197"/>
      <c r="H360" s="197"/>
      <c r="I360" s="197"/>
      <c r="J360" s="197"/>
      <c r="K360" s="197"/>
      <c r="L360" s="197"/>
      <c r="M360" s="197"/>
      <c r="N360" s="197"/>
      <c r="O360" s="197"/>
      <c r="P360" s="197"/>
      <c r="Q360" s="197"/>
      <c r="R360" s="197"/>
      <c r="S360" s="197"/>
      <c r="T360" s="197"/>
      <c r="U360" s="197"/>
      <c r="V360" s="197"/>
      <c r="W360" s="197"/>
      <c r="X360" s="197"/>
      <c r="Y360" s="197"/>
      <c r="Z360" s="197"/>
    </row>
    <row r="361" ht="12.0" customHeight="1">
      <c r="A361" s="197"/>
      <c r="B361" s="198"/>
      <c r="C361" s="197"/>
      <c r="D361" s="197"/>
      <c r="E361" s="197"/>
      <c r="F361" s="197"/>
      <c r="G361" s="197"/>
      <c r="H361" s="197"/>
      <c r="I361" s="197"/>
      <c r="J361" s="197"/>
      <c r="K361" s="197"/>
      <c r="L361" s="197"/>
      <c r="M361" s="197"/>
      <c r="N361" s="197"/>
      <c r="O361" s="197"/>
      <c r="P361" s="197"/>
      <c r="Q361" s="197"/>
      <c r="R361" s="197"/>
      <c r="S361" s="197"/>
      <c r="T361" s="197"/>
      <c r="U361" s="197"/>
      <c r="V361" s="197"/>
      <c r="W361" s="197"/>
      <c r="X361" s="197"/>
      <c r="Y361" s="197"/>
      <c r="Z361" s="197"/>
    </row>
    <row r="362" ht="12.0" customHeight="1">
      <c r="A362" s="197"/>
      <c r="B362" s="198"/>
      <c r="C362" s="197"/>
      <c r="D362" s="197"/>
      <c r="E362" s="197"/>
      <c r="F362" s="197"/>
      <c r="G362" s="197"/>
      <c r="H362" s="197"/>
      <c r="I362" s="197"/>
      <c r="J362" s="197"/>
      <c r="K362" s="197"/>
      <c r="L362" s="197"/>
      <c r="M362" s="197"/>
      <c r="N362" s="197"/>
      <c r="O362" s="197"/>
      <c r="P362" s="197"/>
      <c r="Q362" s="197"/>
      <c r="R362" s="197"/>
      <c r="S362" s="197"/>
      <c r="T362" s="197"/>
      <c r="U362" s="197"/>
      <c r="V362" s="197"/>
      <c r="W362" s="197"/>
      <c r="X362" s="197"/>
      <c r="Y362" s="197"/>
      <c r="Z362" s="197"/>
    </row>
    <row r="363" ht="12.0" customHeight="1">
      <c r="A363" s="197"/>
      <c r="B363" s="198"/>
      <c r="C363" s="197"/>
      <c r="D363" s="197"/>
      <c r="E363" s="197"/>
      <c r="F363" s="197"/>
      <c r="G363" s="197"/>
      <c r="H363" s="197"/>
      <c r="I363" s="197"/>
      <c r="J363" s="197"/>
      <c r="K363" s="197"/>
      <c r="L363" s="197"/>
      <c r="M363" s="197"/>
      <c r="N363" s="197"/>
      <c r="O363" s="197"/>
      <c r="P363" s="197"/>
      <c r="Q363" s="197"/>
      <c r="R363" s="197"/>
      <c r="S363" s="197"/>
      <c r="T363" s="197"/>
      <c r="U363" s="197"/>
      <c r="V363" s="197"/>
      <c r="W363" s="197"/>
      <c r="X363" s="197"/>
      <c r="Y363" s="197"/>
      <c r="Z363" s="197"/>
    </row>
    <row r="364" ht="12.0" customHeight="1">
      <c r="A364" s="197"/>
      <c r="B364" s="198"/>
      <c r="C364" s="197"/>
      <c r="D364" s="197"/>
      <c r="E364" s="197"/>
      <c r="F364" s="197"/>
      <c r="G364" s="197"/>
      <c r="H364" s="197"/>
      <c r="I364" s="197"/>
      <c r="J364" s="197"/>
      <c r="K364" s="197"/>
      <c r="L364" s="197"/>
      <c r="M364" s="197"/>
      <c r="N364" s="197"/>
      <c r="O364" s="197"/>
      <c r="P364" s="197"/>
      <c r="Q364" s="197"/>
      <c r="R364" s="197"/>
      <c r="S364" s="197"/>
      <c r="T364" s="197"/>
      <c r="U364" s="197"/>
      <c r="V364" s="197"/>
      <c r="W364" s="197"/>
      <c r="X364" s="197"/>
      <c r="Y364" s="197"/>
      <c r="Z364" s="197"/>
    </row>
    <row r="365" ht="12.0" customHeight="1">
      <c r="A365" s="197"/>
      <c r="B365" s="198"/>
      <c r="C365" s="197"/>
      <c r="D365" s="197"/>
      <c r="E365" s="197"/>
      <c r="F365" s="197"/>
      <c r="G365" s="197"/>
      <c r="H365" s="197"/>
      <c r="I365" s="197"/>
      <c r="J365" s="197"/>
      <c r="K365" s="197"/>
      <c r="L365" s="197"/>
      <c r="M365" s="197"/>
      <c r="N365" s="197"/>
      <c r="O365" s="197"/>
      <c r="P365" s="197"/>
      <c r="Q365" s="197"/>
      <c r="R365" s="197"/>
      <c r="S365" s="197"/>
      <c r="T365" s="197"/>
      <c r="U365" s="197"/>
      <c r="V365" s="197"/>
      <c r="W365" s="197"/>
      <c r="X365" s="197"/>
      <c r="Y365" s="197"/>
      <c r="Z365" s="197"/>
    </row>
    <row r="366" ht="12.0" customHeight="1">
      <c r="A366" s="197"/>
      <c r="B366" s="198"/>
      <c r="C366" s="197"/>
      <c r="D366" s="197"/>
      <c r="E366" s="197"/>
      <c r="F366" s="197"/>
      <c r="G366" s="197"/>
      <c r="H366" s="197"/>
      <c r="I366" s="197"/>
      <c r="J366" s="197"/>
      <c r="K366" s="197"/>
      <c r="L366" s="197"/>
      <c r="M366" s="197"/>
      <c r="N366" s="197"/>
      <c r="O366" s="197"/>
      <c r="P366" s="197"/>
      <c r="Q366" s="197"/>
      <c r="R366" s="197"/>
      <c r="S366" s="197"/>
      <c r="T366" s="197"/>
      <c r="U366" s="197"/>
      <c r="V366" s="197"/>
      <c r="W366" s="197"/>
      <c r="X366" s="197"/>
      <c r="Y366" s="197"/>
      <c r="Z366" s="197"/>
    </row>
    <row r="367" ht="12.0" customHeight="1">
      <c r="A367" s="197"/>
      <c r="B367" s="198"/>
      <c r="C367" s="197"/>
      <c r="D367" s="197"/>
      <c r="E367" s="197"/>
      <c r="F367" s="197"/>
      <c r="G367" s="197"/>
      <c r="H367" s="197"/>
      <c r="I367" s="197"/>
      <c r="J367" s="197"/>
      <c r="K367" s="197"/>
      <c r="L367" s="197"/>
      <c r="M367" s="197"/>
      <c r="N367" s="197"/>
      <c r="O367" s="197"/>
      <c r="P367" s="197"/>
      <c r="Q367" s="197"/>
      <c r="R367" s="197"/>
      <c r="S367" s="197"/>
      <c r="T367" s="197"/>
      <c r="U367" s="197"/>
      <c r="V367" s="197"/>
      <c r="W367" s="197"/>
      <c r="X367" s="197"/>
      <c r="Y367" s="197"/>
      <c r="Z367" s="197"/>
    </row>
    <row r="368" ht="12.0" customHeight="1">
      <c r="A368" s="197"/>
      <c r="B368" s="198"/>
      <c r="C368" s="197"/>
      <c r="D368" s="197"/>
      <c r="E368" s="197"/>
      <c r="F368" s="197"/>
      <c r="G368" s="197"/>
      <c r="H368" s="197"/>
      <c r="I368" s="197"/>
      <c r="J368" s="197"/>
      <c r="K368" s="197"/>
      <c r="L368" s="197"/>
      <c r="M368" s="197"/>
      <c r="N368" s="197"/>
      <c r="O368" s="197"/>
      <c r="P368" s="197"/>
      <c r="Q368" s="197"/>
      <c r="R368" s="197"/>
      <c r="S368" s="197"/>
      <c r="T368" s="197"/>
      <c r="U368" s="197"/>
      <c r="V368" s="197"/>
      <c r="W368" s="197"/>
      <c r="X368" s="197"/>
      <c r="Y368" s="197"/>
      <c r="Z368" s="197"/>
    </row>
    <row r="369" ht="12.0" customHeight="1">
      <c r="A369" s="197"/>
      <c r="B369" s="198"/>
      <c r="C369" s="197"/>
      <c r="D369" s="197"/>
      <c r="E369" s="197"/>
      <c r="F369" s="197"/>
      <c r="G369" s="197"/>
      <c r="H369" s="197"/>
      <c r="I369" s="197"/>
      <c r="J369" s="197"/>
      <c r="K369" s="197"/>
      <c r="L369" s="197"/>
      <c r="M369" s="197"/>
      <c r="N369" s="197"/>
      <c r="O369" s="197"/>
      <c r="P369" s="197"/>
      <c r="Q369" s="197"/>
      <c r="R369" s="197"/>
      <c r="S369" s="197"/>
      <c r="T369" s="197"/>
      <c r="U369" s="197"/>
      <c r="V369" s="197"/>
      <c r="W369" s="197"/>
      <c r="X369" s="197"/>
      <c r="Y369" s="197"/>
      <c r="Z369" s="197"/>
    </row>
    <row r="370" ht="12.0" customHeight="1">
      <c r="A370" s="197"/>
      <c r="B370" s="198"/>
      <c r="C370" s="197"/>
      <c r="D370" s="197"/>
      <c r="E370" s="197"/>
      <c r="F370" s="197"/>
      <c r="G370" s="197"/>
      <c r="H370" s="197"/>
      <c r="I370" s="197"/>
      <c r="J370" s="197"/>
      <c r="K370" s="197"/>
      <c r="L370" s="197"/>
      <c r="M370" s="197"/>
      <c r="N370" s="197"/>
      <c r="O370" s="197"/>
      <c r="P370" s="197"/>
      <c r="Q370" s="197"/>
      <c r="R370" s="197"/>
      <c r="S370" s="197"/>
      <c r="T370" s="197"/>
      <c r="U370" s="197"/>
      <c r="V370" s="197"/>
      <c r="W370" s="197"/>
      <c r="X370" s="197"/>
      <c r="Y370" s="197"/>
      <c r="Z370" s="197"/>
    </row>
    <row r="371" ht="12.0" customHeight="1">
      <c r="A371" s="197"/>
      <c r="B371" s="198"/>
      <c r="C371" s="197"/>
      <c r="D371" s="197"/>
      <c r="E371" s="197"/>
      <c r="F371" s="197"/>
      <c r="G371" s="197"/>
      <c r="H371" s="197"/>
      <c r="I371" s="197"/>
      <c r="J371" s="197"/>
      <c r="K371" s="197"/>
      <c r="L371" s="197"/>
      <c r="M371" s="197"/>
      <c r="N371" s="197"/>
      <c r="O371" s="197"/>
      <c r="P371" s="197"/>
      <c r="Q371" s="197"/>
      <c r="R371" s="197"/>
      <c r="S371" s="197"/>
      <c r="T371" s="197"/>
      <c r="U371" s="197"/>
      <c r="V371" s="197"/>
      <c r="W371" s="197"/>
      <c r="X371" s="197"/>
      <c r="Y371" s="197"/>
      <c r="Z371" s="197"/>
    </row>
    <row r="372" ht="12.0" customHeight="1">
      <c r="A372" s="197"/>
      <c r="B372" s="198"/>
      <c r="C372" s="197"/>
      <c r="D372" s="197"/>
      <c r="E372" s="197"/>
      <c r="F372" s="197"/>
      <c r="G372" s="197"/>
      <c r="H372" s="197"/>
      <c r="I372" s="197"/>
      <c r="J372" s="197"/>
      <c r="K372" s="197"/>
      <c r="L372" s="197"/>
      <c r="M372" s="197"/>
      <c r="N372" s="197"/>
      <c r="O372" s="197"/>
      <c r="P372" s="197"/>
      <c r="Q372" s="197"/>
      <c r="R372" s="197"/>
      <c r="S372" s="197"/>
      <c r="T372" s="197"/>
      <c r="U372" s="197"/>
      <c r="V372" s="197"/>
      <c r="W372" s="197"/>
      <c r="X372" s="197"/>
      <c r="Y372" s="197"/>
      <c r="Z372" s="197"/>
    </row>
    <row r="373" ht="12.0" customHeight="1">
      <c r="A373" s="197"/>
      <c r="B373" s="198"/>
      <c r="C373" s="197"/>
      <c r="D373" s="197"/>
      <c r="E373" s="197"/>
      <c r="F373" s="197"/>
      <c r="G373" s="197"/>
      <c r="H373" s="197"/>
      <c r="I373" s="197"/>
      <c r="J373" s="197"/>
      <c r="K373" s="197"/>
      <c r="L373" s="197"/>
      <c r="M373" s="197"/>
      <c r="N373" s="197"/>
      <c r="O373" s="197"/>
      <c r="P373" s="197"/>
      <c r="Q373" s="197"/>
      <c r="R373" s="197"/>
      <c r="S373" s="197"/>
      <c r="T373" s="197"/>
      <c r="U373" s="197"/>
      <c r="V373" s="197"/>
      <c r="W373" s="197"/>
      <c r="X373" s="197"/>
      <c r="Y373" s="197"/>
      <c r="Z373" s="197"/>
    </row>
    <row r="374" ht="12.0" customHeight="1">
      <c r="A374" s="197"/>
      <c r="B374" s="198"/>
      <c r="C374" s="197"/>
      <c r="D374" s="197"/>
      <c r="E374" s="197"/>
      <c r="F374" s="197"/>
      <c r="G374" s="197"/>
      <c r="H374" s="197"/>
      <c r="I374" s="197"/>
      <c r="J374" s="197"/>
      <c r="K374" s="197"/>
      <c r="L374" s="197"/>
      <c r="M374" s="197"/>
      <c r="N374" s="197"/>
      <c r="O374" s="197"/>
      <c r="P374" s="197"/>
      <c r="Q374" s="197"/>
      <c r="R374" s="197"/>
      <c r="S374" s="197"/>
      <c r="T374" s="197"/>
      <c r="U374" s="197"/>
      <c r="V374" s="197"/>
      <c r="W374" s="197"/>
      <c r="X374" s="197"/>
      <c r="Y374" s="197"/>
      <c r="Z374" s="197"/>
    </row>
    <row r="375" ht="12.0" customHeight="1">
      <c r="A375" s="197"/>
      <c r="B375" s="198"/>
      <c r="C375" s="197"/>
      <c r="D375" s="197"/>
      <c r="E375" s="197"/>
      <c r="F375" s="197"/>
      <c r="G375" s="197"/>
      <c r="H375" s="197"/>
      <c r="I375" s="197"/>
      <c r="J375" s="197"/>
      <c r="K375" s="197"/>
      <c r="L375" s="197"/>
      <c r="M375" s="197"/>
      <c r="N375" s="197"/>
      <c r="O375" s="197"/>
      <c r="P375" s="197"/>
      <c r="Q375" s="197"/>
      <c r="R375" s="197"/>
      <c r="S375" s="197"/>
      <c r="T375" s="197"/>
      <c r="U375" s="197"/>
      <c r="V375" s="197"/>
      <c r="W375" s="197"/>
      <c r="X375" s="197"/>
      <c r="Y375" s="197"/>
      <c r="Z375" s="197"/>
    </row>
    <row r="376" ht="12.0" customHeight="1">
      <c r="A376" s="197"/>
      <c r="B376" s="198"/>
      <c r="C376" s="197"/>
      <c r="D376" s="197"/>
      <c r="E376" s="197"/>
      <c r="F376" s="197"/>
      <c r="G376" s="197"/>
      <c r="H376" s="197"/>
      <c r="I376" s="197"/>
      <c r="J376" s="197"/>
      <c r="K376" s="197"/>
      <c r="L376" s="197"/>
      <c r="M376" s="197"/>
      <c r="N376" s="197"/>
      <c r="O376" s="197"/>
      <c r="P376" s="197"/>
      <c r="Q376" s="197"/>
      <c r="R376" s="197"/>
      <c r="S376" s="197"/>
      <c r="T376" s="197"/>
      <c r="U376" s="197"/>
      <c r="V376" s="197"/>
      <c r="W376" s="197"/>
      <c r="X376" s="197"/>
      <c r="Y376" s="197"/>
      <c r="Z376" s="197"/>
    </row>
    <row r="377" ht="12.0" customHeight="1">
      <c r="A377" s="197"/>
      <c r="B377" s="198"/>
      <c r="C377" s="197"/>
      <c r="D377" s="197"/>
      <c r="E377" s="197"/>
      <c r="F377" s="197"/>
      <c r="G377" s="197"/>
      <c r="H377" s="197"/>
      <c r="I377" s="197"/>
      <c r="J377" s="197"/>
      <c r="K377" s="197"/>
      <c r="L377" s="197"/>
      <c r="M377" s="197"/>
      <c r="N377" s="197"/>
      <c r="O377" s="197"/>
      <c r="P377" s="197"/>
      <c r="Q377" s="197"/>
      <c r="R377" s="197"/>
      <c r="S377" s="197"/>
      <c r="T377" s="197"/>
      <c r="U377" s="197"/>
      <c r="V377" s="197"/>
      <c r="W377" s="197"/>
      <c r="X377" s="197"/>
      <c r="Y377" s="197"/>
      <c r="Z377" s="197"/>
    </row>
    <row r="378" ht="12.0" customHeight="1">
      <c r="A378" s="197"/>
      <c r="B378" s="198"/>
      <c r="C378" s="197"/>
      <c r="D378" s="197"/>
      <c r="E378" s="197"/>
      <c r="F378" s="197"/>
      <c r="G378" s="197"/>
      <c r="H378" s="197"/>
      <c r="I378" s="197"/>
      <c r="J378" s="197"/>
      <c r="K378" s="197"/>
      <c r="L378" s="197"/>
      <c r="M378" s="197"/>
      <c r="N378" s="197"/>
      <c r="O378" s="197"/>
      <c r="P378" s="197"/>
      <c r="Q378" s="197"/>
      <c r="R378" s="197"/>
      <c r="S378" s="197"/>
      <c r="T378" s="197"/>
      <c r="U378" s="197"/>
      <c r="V378" s="197"/>
      <c r="W378" s="197"/>
      <c r="X378" s="197"/>
      <c r="Y378" s="197"/>
      <c r="Z378" s="197"/>
    </row>
    <row r="379" ht="12.0" customHeight="1">
      <c r="A379" s="197"/>
      <c r="B379" s="198"/>
      <c r="C379" s="197"/>
      <c r="D379" s="197"/>
      <c r="E379" s="197"/>
      <c r="F379" s="197"/>
      <c r="G379" s="197"/>
      <c r="H379" s="197"/>
      <c r="I379" s="197"/>
      <c r="J379" s="197"/>
      <c r="K379" s="197"/>
      <c r="L379" s="197"/>
      <c r="M379" s="197"/>
      <c r="N379" s="197"/>
      <c r="O379" s="197"/>
      <c r="P379" s="197"/>
      <c r="Q379" s="197"/>
      <c r="R379" s="197"/>
      <c r="S379" s="197"/>
      <c r="T379" s="197"/>
      <c r="U379" s="197"/>
      <c r="V379" s="197"/>
      <c r="W379" s="197"/>
      <c r="X379" s="197"/>
      <c r="Y379" s="197"/>
      <c r="Z379" s="197"/>
    </row>
    <row r="380" ht="12.0" customHeight="1">
      <c r="A380" s="197"/>
      <c r="B380" s="198"/>
      <c r="C380" s="197"/>
      <c r="D380" s="197"/>
      <c r="E380" s="197"/>
      <c r="F380" s="197"/>
      <c r="G380" s="197"/>
      <c r="H380" s="197"/>
      <c r="I380" s="197"/>
      <c r="J380" s="197"/>
      <c r="K380" s="197"/>
      <c r="L380" s="197"/>
      <c r="M380" s="197"/>
      <c r="N380" s="197"/>
      <c r="O380" s="197"/>
      <c r="P380" s="197"/>
      <c r="Q380" s="197"/>
      <c r="R380" s="197"/>
      <c r="S380" s="197"/>
      <c r="T380" s="197"/>
      <c r="U380" s="197"/>
      <c r="V380" s="197"/>
      <c r="W380" s="197"/>
      <c r="X380" s="197"/>
      <c r="Y380" s="197"/>
      <c r="Z380" s="197"/>
    </row>
    <row r="381" ht="12.0" customHeight="1">
      <c r="A381" s="197"/>
      <c r="B381" s="198"/>
      <c r="C381" s="197"/>
      <c r="D381" s="197"/>
      <c r="E381" s="197"/>
      <c r="F381" s="197"/>
      <c r="G381" s="197"/>
      <c r="H381" s="197"/>
      <c r="I381" s="197"/>
      <c r="J381" s="197"/>
      <c r="K381" s="197"/>
      <c r="L381" s="197"/>
      <c r="M381" s="197"/>
      <c r="N381" s="197"/>
      <c r="O381" s="197"/>
      <c r="P381" s="197"/>
      <c r="Q381" s="197"/>
      <c r="R381" s="197"/>
      <c r="S381" s="197"/>
      <c r="T381" s="197"/>
      <c r="U381" s="197"/>
      <c r="V381" s="197"/>
      <c r="W381" s="197"/>
      <c r="X381" s="197"/>
      <c r="Y381" s="197"/>
      <c r="Z381" s="197"/>
    </row>
    <row r="382" ht="12.0" customHeight="1">
      <c r="A382" s="197"/>
      <c r="B382" s="198"/>
      <c r="C382" s="197"/>
      <c r="D382" s="197"/>
      <c r="E382" s="197"/>
      <c r="F382" s="197"/>
      <c r="G382" s="197"/>
      <c r="H382" s="197"/>
      <c r="I382" s="197"/>
      <c r="J382" s="197"/>
      <c r="K382" s="197"/>
      <c r="L382" s="197"/>
      <c r="M382" s="197"/>
      <c r="N382" s="197"/>
      <c r="O382" s="197"/>
      <c r="P382" s="197"/>
      <c r="Q382" s="197"/>
      <c r="R382" s="197"/>
      <c r="S382" s="197"/>
      <c r="T382" s="197"/>
      <c r="U382" s="197"/>
      <c r="V382" s="197"/>
      <c r="W382" s="197"/>
      <c r="X382" s="197"/>
      <c r="Y382" s="197"/>
      <c r="Z382" s="197"/>
    </row>
    <row r="383" ht="12.0" customHeight="1">
      <c r="A383" s="197"/>
      <c r="B383" s="198"/>
      <c r="C383" s="197"/>
      <c r="D383" s="197"/>
      <c r="E383" s="197"/>
      <c r="F383" s="197"/>
      <c r="G383" s="197"/>
      <c r="H383" s="197"/>
      <c r="I383" s="197"/>
      <c r="J383" s="197"/>
      <c r="K383" s="197"/>
      <c r="L383" s="197"/>
      <c r="M383" s="197"/>
      <c r="N383" s="197"/>
      <c r="O383" s="197"/>
      <c r="P383" s="197"/>
      <c r="Q383" s="197"/>
      <c r="R383" s="197"/>
      <c r="S383" s="197"/>
      <c r="T383" s="197"/>
      <c r="U383" s="197"/>
      <c r="V383" s="197"/>
      <c r="W383" s="197"/>
      <c r="X383" s="197"/>
      <c r="Y383" s="197"/>
      <c r="Z383" s="197"/>
    </row>
    <row r="384" ht="12.0" customHeight="1">
      <c r="A384" s="197"/>
      <c r="B384" s="198"/>
      <c r="C384" s="197"/>
      <c r="D384" s="197"/>
      <c r="E384" s="197"/>
      <c r="F384" s="197"/>
      <c r="G384" s="197"/>
      <c r="H384" s="197"/>
      <c r="I384" s="197"/>
      <c r="J384" s="197"/>
      <c r="K384" s="197"/>
      <c r="L384" s="197"/>
      <c r="M384" s="197"/>
      <c r="N384" s="197"/>
      <c r="O384" s="197"/>
      <c r="P384" s="197"/>
      <c r="Q384" s="197"/>
      <c r="R384" s="197"/>
      <c r="S384" s="197"/>
      <c r="T384" s="197"/>
      <c r="U384" s="197"/>
      <c r="V384" s="197"/>
      <c r="W384" s="197"/>
      <c r="X384" s="197"/>
      <c r="Y384" s="197"/>
      <c r="Z384" s="197"/>
    </row>
    <row r="385" ht="12.0" customHeight="1">
      <c r="A385" s="197"/>
      <c r="B385" s="198"/>
      <c r="C385" s="197"/>
      <c r="D385" s="197"/>
      <c r="E385" s="197"/>
      <c r="F385" s="197"/>
      <c r="G385" s="197"/>
      <c r="H385" s="197"/>
      <c r="I385" s="197"/>
      <c r="J385" s="197"/>
      <c r="K385" s="197"/>
      <c r="L385" s="197"/>
      <c r="M385" s="197"/>
      <c r="N385" s="197"/>
      <c r="O385" s="197"/>
      <c r="P385" s="197"/>
      <c r="Q385" s="197"/>
      <c r="R385" s="197"/>
      <c r="S385" s="197"/>
      <c r="T385" s="197"/>
      <c r="U385" s="197"/>
      <c r="V385" s="197"/>
      <c r="W385" s="197"/>
      <c r="X385" s="197"/>
      <c r="Y385" s="197"/>
      <c r="Z385" s="197"/>
    </row>
    <row r="386" ht="12.0" customHeight="1">
      <c r="A386" s="197"/>
      <c r="B386" s="198"/>
      <c r="C386" s="197"/>
      <c r="D386" s="197"/>
      <c r="E386" s="197"/>
      <c r="F386" s="197"/>
      <c r="G386" s="197"/>
      <c r="H386" s="197"/>
      <c r="I386" s="197"/>
      <c r="J386" s="197"/>
      <c r="K386" s="197"/>
      <c r="L386" s="197"/>
      <c r="M386" s="197"/>
      <c r="N386" s="197"/>
      <c r="O386" s="197"/>
      <c r="P386" s="197"/>
      <c r="Q386" s="197"/>
      <c r="R386" s="197"/>
      <c r="S386" s="197"/>
      <c r="T386" s="197"/>
      <c r="U386" s="197"/>
      <c r="V386" s="197"/>
      <c r="W386" s="197"/>
      <c r="X386" s="197"/>
      <c r="Y386" s="197"/>
      <c r="Z386" s="197"/>
    </row>
    <row r="387" ht="12.0" customHeight="1">
      <c r="A387" s="197"/>
      <c r="B387" s="198"/>
      <c r="C387" s="197"/>
      <c r="D387" s="197"/>
      <c r="E387" s="197"/>
      <c r="F387" s="197"/>
      <c r="G387" s="197"/>
      <c r="H387" s="197"/>
      <c r="I387" s="197"/>
      <c r="J387" s="197"/>
      <c r="K387" s="197"/>
      <c r="L387" s="197"/>
      <c r="M387" s="197"/>
      <c r="N387" s="197"/>
      <c r="O387" s="197"/>
      <c r="P387" s="197"/>
      <c r="Q387" s="197"/>
      <c r="R387" s="197"/>
      <c r="S387" s="197"/>
      <c r="T387" s="197"/>
      <c r="U387" s="197"/>
      <c r="V387" s="197"/>
      <c r="W387" s="197"/>
      <c r="X387" s="197"/>
      <c r="Y387" s="197"/>
      <c r="Z387" s="197"/>
    </row>
    <row r="388" ht="12.0" customHeight="1">
      <c r="A388" s="197"/>
      <c r="B388" s="198"/>
      <c r="C388" s="197"/>
      <c r="D388" s="197"/>
      <c r="E388" s="197"/>
      <c r="F388" s="197"/>
      <c r="G388" s="197"/>
      <c r="H388" s="197"/>
      <c r="I388" s="197"/>
      <c r="J388" s="197"/>
      <c r="K388" s="197"/>
      <c r="L388" s="197"/>
      <c r="M388" s="197"/>
      <c r="N388" s="197"/>
      <c r="O388" s="197"/>
      <c r="P388" s="197"/>
      <c r="Q388" s="197"/>
      <c r="R388" s="197"/>
      <c r="S388" s="197"/>
      <c r="T388" s="197"/>
      <c r="U388" s="197"/>
      <c r="V388" s="197"/>
      <c r="W388" s="197"/>
      <c r="X388" s="197"/>
      <c r="Y388" s="197"/>
      <c r="Z388" s="197"/>
    </row>
    <row r="389" ht="12.0" customHeight="1">
      <c r="A389" s="197"/>
      <c r="B389" s="198"/>
      <c r="C389" s="197"/>
      <c r="D389" s="197"/>
      <c r="E389" s="197"/>
      <c r="F389" s="197"/>
      <c r="G389" s="197"/>
      <c r="H389" s="197"/>
      <c r="I389" s="197"/>
      <c r="J389" s="197"/>
      <c r="K389" s="197"/>
      <c r="L389" s="197"/>
      <c r="M389" s="197"/>
      <c r="N389" s="197"/>
      <c r="O389" s="197"/>
      <c r="P389" s="197"/>
      <c r="Q389" s="197"/>
      <c r="R389" s="197"/>
      <c r="S389" s="197"/>
      <c r="T389" s="197"/>
      <c r="U389" s="197"/>
      <c r="V389" s="197"/>
      <c r="W389" s="197"/>
      <c r="X389" s="197"/>
      <c r="Y389" s="197"/>
      <c r="Z389" s="197"/>
    </row>
    <row r="390" ht="12.0" customHeight="1">
      <c r="A390" s="197"/>
      <c r="B390" s="198"/>
      <c r="C390" s="197"/>
      <c r="D390" s="197"/>
      <c r="E390" s="197"/>
      <c r="F390" s="197"/>
      <c r="G390" s="197"/>
      <c r="H390" s="197"/>
      <c r="I390" s="197"/>
      <c r="J390" s="197"/>
      <c r="K390" s="197"/>
      <c r="L390" s="197"/>
      <c r="M390" s="197"/>
      <c r="N390" s="197"/>
      <c r="O390" s="197"/>
      <c r="P390" s="197"/>
      <c r="Q390" s="197"/>
      <c r="R390" s="197"/>
      <c r="S390" s="197"/>
      <c r="T390" s="197"/>
      <c r="U390" s="197"/>
      <c r="V390" s="197"/>
      <c r="W390" s="197"/>
      <c r="X390" s="197"/>
      <c r="Y390" s="197"/>
      <c r="Z390" s="197"/>
    </row>
    <row r="391" ht="12.0" customHeight="1">
      <c r="A391" s="197"/>
      <c r="B391" s="198"/>
      <c r="C391" s="197"/>
      <c r="D391" s="197"/>
      <c r="E391" s="197"/>
      <c r="F391" s="197"/>
      <c r="G391" s="197"/>
      <c r="H391" s="197"/>
      <c r="I391" s="197"/>
      <c r="J391" s="197"/>
      <c r="K391" s="197"/>
      <c r="L391" s="197"/>
      <c r="M391" s="197"/>
      <c r="N391" s="197"/>
      <c r="O391" s="197"/>
      <c r="P391" s="197"/>
      <c r="Q391" s="197"/>
      <c r="R391" s="197"/>
      <c r="S391" s="197"/>
      <c r="T391" s="197"/>
      <c r="U391" s="197"/>
      <c r="V391" s="197"/>
      <c r="W391" s="197"/>
      <c r="X391" s="197"/>
      <c r="Y391" s="197"/>
      <c r="Z391" s="197"/>
    </row>
    <row r="392" ht="12.0" customHeight="1">
      <c r="A392" s="197"/>
      <c r="B392" s="198"/>
      <c r="C392" s="197"/>
      <c r="D392" s="197"/>
      <c r="E392" s="197"/>
      <c r="F392" s="197"/>
      <c r="G392" s="197"/>
      <c r="H392" s="197"/>
      <c r="I392" s="197"/>
      <c r="J392" s="197"/>
      <c r="K392" s="197"/>
      <c r="L392" s="197"/>
      <c r="M392" s="197"/>
      <c r="N392" s="197"/>
      <c r="O392" s="197"/>
      <c r="P392" s="197"/>
      <c r="Q392" s="197"/>
      <c r="R392" s="197"/>
      <c r="S392" s="197"/>
      <c r="T392" s="197"/>
      <c r="U392" s="197"/>
      <c r="V392" s="197"/>
      <c r="W392" s="197"/>
      <c r="X392" s="197"/>
      <c r="Y392" s="197"/>
      <c r="Z392" s="197"/>
    </row>
    <row r="393" ht="12.0" customHeight="1">
      <c r="A393" s="197"/>
      <c r="B393" s="198"/>
      <c r="C393" s="197"/>
      <c r="D393" s="197"/>
      <c r="E393" s="197"/>
      <c r="F393" s="197"/>
      <c r="G393" s="197"/>
      <c r="H393" s="197"/>
      <c r="I393" s="197"/>
      <c r="J393" s="197"/>
      <c r="K393" s="197"/>
      <c r="L393" s="197"/>
      <c r="M393" s="197"/>
      <c r="N393" s="197"/>
      <c r="O393" s="197"/>
      <c r="P393" s="197"/>
      <c r="Q393" s="197"/>
      <c r="R393" s="197"/>
      <c r="S393" s="197"/>
      <c r="T393" s="197"/>
      <c r="U393" s="197"/>
      <c r="V393" s="197"/>
      <c r="W393" s="197"/>
      <c r="X393" s="197"/>
      <c r="Y393" s="197"/>
      <c r="Z393" s="197"/>
    </row>
    <row r="394" ht="12.0" customHeight="1">
      <c r="A394" s="197"/>
      <c r="B394" s="198"/>
      <c r="C394" s="197"/>
      <c r="D394" s="197"/>
      <c r="E394" s="197"/>
      <c r="F394" s="197"/>
      <c r="G394" s="197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  <c r="U394" s="197"/>
      <c r="V394" s="197"/>
      <c r="W394" s="197"/>
      <c r="X394" s="197"/>
      <c r="Y394" s="197"/>
      <c r="Z394" s="197"/>
    </row>
    <row r="395" ht="12.0" customHeight="1">
      <c r="A395" s="197"/>
      <c r="B395" s="198"/>
      <c r="C395" s="197"/>
      <c r="D395" s="197"/>
      <c r="E395" s="197"/>
      <c r="F395" s="197"/>
      <c r="G395" s="197"/>
      <c r="H395" s="197"/>
      <c r="I395" s="197"/>
      <c r="J395" s="197"/>
      <c r="K395" s="197"/>
      <c r="L395" s="197"/>
      <c r="M395" s="197"/>
      <c r="N395" s="197"/>
      <c r="O395" s="197"/>
      <c r="P395" s="197"/>
      <c r="Q395" s="197"/>
      <c r="R395" s="197"/>
      <c r="S395" s="197"/>
      <c r="T395" s="197"/>
      <c r="U395" s="197"/>
      <c r="V395" s="197"/>
      <c r="W395" s="197"/>
      <c r="X395" s="197"/>
      <c r="Y395" s="197"/>
      <c r="Z395" s="197"/>
    </row>
    <row r="396" ht="12.0" customHeight="1">
      <c r="A396" s="197"/>
      <c r="B396" s="198"/>
      <c r="C396" s="197"/>
      <c r="D396" s="197"/>
      <c r="E396" s="197"/>
      <c r="F396" s="197"/>
      <c r="G396" s="197"/>
      <c r="H396" s="197"/>
      <c r="I396" s="197"/>
      <c r="J396" s="197"/>
      <c r="K396" s="197"/>
      <c r="L396" s="197"/>
      <c r="M396" s="197"/>
      <c r="N396" s="197"/>
      <c r="O396" s="197"/>
      <c r="P396" s="197"/>
      <c r="Q396" s="197"/>
      <c r="R396" s="197"/>
      <c r="S396" s="197"/>
      <c r="T396" s="197"/>
      <c r="U396" s="197"/>
      <c r="V396" s="197"/>
      <c r="W396" s="197"/>
      <c r="X396" s="197"/>
      <c r="Y396" s="197"/>
      <c r="Z396" s="197"/>
    </row>
    <row r="397" ht="12.0" customHeight="1">
      <c r="A397" s="197"/>
      <c r="B397" s="198"/>
      <c r="C397" s="197"/>
      <c r="D397" s="197"/>
      <c r="E397" s="197"/>
      <c r="F397" s="197"/>
      <c r="G397" s="197"/>
      <c r="H397" s="197"/>
      <c r="I397" s="197"/>
      <c r="J397" s="197"/>
      <c r="K397" s="197"/>
      <c r="L397" s="197"/>
      <c r="M397" s="197"/>
      <c r="N397" s="197"/>
      <c r="O397" s="197"/>
      <c r="P397" s="197"/>
      <c r="Q397" s="197"/>
      <c r="R397" s="197"/>
      <c r="S397" s="197"/>
      <c r="T397" s="197"/>
      <c r="U397" s="197"/>
      <c r="V397" s="197"/>
      <c r="W397" s="197"/>
      <c r="X397" s="197"/>
      <c r="Y397" s="197"/>
      <c r="Z397" s="197"/>
    </row>
    <row r="398" ht="12.0" customHeight="1">
      <c r="A398" s="197"/>
      <c r="B398" s="198"/>
      <c r="C398" s="197"/>
      <c r="D398" s="197"/>
      <c r="E398" s="197"/>
      <c r="F398" s="197"/>
      <c r="G398" s="197"/>
      <c r="H398" s="197"/>
      <c r="I398" s="197"/>
      <c r="J398" s="197"/>
      <c r="K398" s="197"/>
      <c r="L398" s="197"/>
      <c r="M398" s="197"/>
      <c r="N398" s="197"/>
      <c r="O398" s="197"/>
      <c r="P398" s="197"/>
      <c r="Q398" s="197"/>
      <c r="R398" s="197"/>
      <c r="S398" s="197"/>
      <c r="T398" s="197"/>
      <c r="U398" s="197"/>
      <c r="V398" s="197"/>
      <c r="W398" s="197"/>
      <c r="X398" s="197"/>
      <c r="Y398" s="197"/>
      <c r="Z398" s="197"/>
    </row>
    <row r="399" ht="12.0" customHeight="1">
      <c r="A399" s="197"/>
      <c r="B399" s="198"/>
      <c r="C399" s="197"/>
      <c r="D399" s="197"/>
      <c r="E399" s="197"/>
      <c r="F399" s="197"/>
      <c r="G399" s="197"/>
      <c r="H399" s="197"/>
      <c r="I399" s="197"/>
      <c r="J399" s="197"/>
      <c r="K399" s="197"/>
      <c r="L399" s="197"/>
      <c r="M399" s="197"/>
      <c r="N399" s="197"/>
      <c r="O399" s="197"/>
      <c r="P399" s="197"/>
      <c r="Q399" s="197"/>
      <c r="R399" s="197"/>
      <c r="S399" s="197"/>
      <c r="T399" s="197"/>
      <c r="U399" s="197"/>
      <c r="V399" s="197"/>
      <c r="W399" s="197"/>
      <c r="X399" s="197"/>
      <c r="Y399" s="197"/>
      <c r="Z399" s="197"/>
    </row>
    <row r="400" ht="12.0" customHeight="1">
      <c r="A400" s="197"/>
      <c r="B400" s="198"/>
      <c r="C400" s="197"/>
      <c r="D400" s="197"/>
      <c r="E400" s="197"/>
      <c r="F400" s="197"/>
      <c r="G400" s="197"/>
      <c r="H400" s="197"/>
      <c r="I400" s="197"/>
      <c r="J400" s="197"/>
      <c r="K400" s="197"/>
      <c r="L400" s="197"/>
      <c r="M400" s="197"/>
      <c r="N400" s="197"/>
      <c r="O400" s="197"/>
      <c r="P400" s="197"/>
      <c r="Q400" s="197"/>
      <c r="R400" s="197"/>
      <c r="S400" s="197"/>
      <c r="T400" s="197"/>
      <c r="U400" s="197"/>
      <c r="V400" s="197"/>
      <c r="W400" s="197"/>
      <c r="X400" s="197"/>
      <c r="Y400" s="197"/>
      <c r="Z400" s="197"/>
    </row>
    <row r="401" ht="12.0" customHeight="1">
      <c r="A401" s="197"/>
      <c r="B401" s="198"/>
      <c r="C401" s="197"/>
      <c r="D401" s="197"/>
      <c r="E401" s="197"/>
      <c r="F401" s="197"/>
      <c r="G401" s="197"/>
      <c r="H401" s="197"/>
      <c r="I401" s="197"/>
      <c r="J401" s="197"/>
      <c r="K401" s="197"/>
      <c r="L401" s="197"/>
      <c r="M401" s="197"/>
      <c r="N401" s="197"/>
      <c r="O401" s="197"/>
      <c r="P401" s="197"/>
      <c r="Q401" s="197"/>
      <c r="R401" s="197"/>
      <c r="S401" s="197"/>
      <c r="T401" s="197"/>
      <c r="U401" s="197"/>
      <c r="V401" s="197"/>
      <c r="W401" s="197"/>
      <c r="X401" s="197"/>
      <c r="Y401" s="197"/>
      <c r="Z401" s="197"/>
    </row>
    <row r="402" ht="12.0" customHeight="1">
      <c r="A402" s="197"/>
      <c r="B402" s="198"/>
      <c r="C402" s="197"/>
      <c r="D402" s="197"/>
      <c r="E402" s="197"/>
      <c r="F402" s="197"/>
      <c r="G402" s="197"/>
      <c r="H402" s="197"/>
      <c r="I402" s="197"/>
      <c r="J402" s="197"/>
      <c r="K402" s="197"/>
      <c r="L402" s="197"/>
      <c r="M402" s="197"/>
      <c r="N402" s="197"/>
      <c r="O402" s="197"/>
      <c r="P402" s="197"/>
      <c r="Q402" s="197"/>
      <c r="R402" s="197"/>
      <c r="S402" s="197"/>
      <c r="T402" s="197"/>
      <c r="U402" s="197"/>
      <c r="V402" s="197"/>
      <c r="W402" s="197"/>
      <c r="X402" s="197"/>
      <c r="Y402" s="197"/>
      <c r="Z402" s="197"/>
    </row>
    <row r="403" ht="12.0" customHeight="1">
      <c r="A403" s="197"/>
      <c r="B403" s="198"/>
      <c r="C403" s="197"/>
      <c r="D403" s="197"/>
      <c r="E403" s="197"/>
      <c r="F403" s="197"/>
      <c r="G403" s="197"/>
      <c r="H403" s="197"/>
      <c r="I403" s="197"/>
      <c r="J403" s="197"/>
      <c r="K403" s="197"/>
      <c r="L403" s="197"/>
      <c r="M403" s="197"/>
      <c r="N403" s="197"/>
      <c r="O403" s="197"/>
      <c r="P403" s="197"/>
      <c r="Q403" s="197"/>
      <c r="R403" s="197"/>
      <c r="S403" s="197"/>
      <c r="T403" s="197"/>
      <c r="U403" s="197"/>
      <c r="V403" s="197"/>
      <c r="W403" s="197"/>
      <c r="X403" s="197"/>
      <c r="Y403" s="197"/>
      <c r="Z403" s="197"/>
    </row>
    <row r="404" ht="12.0" customHeight="1">
      <c r="A404" s="197"/>
      <c r="B404" s="198"/>
      <c r="C404" s="197"/>
      <c r="D404" s="197"/>
      <c r="E404" s="197"/>
      <c r="F404" s="197"/>
      <c r="G404" s="197"/>
      <c r="H404" s="197"/>
      <c r="I404" s="197"/>
      <c r="J404" s="197"/>
      <c r="K404" s="197"/>
      <c r="L404" s="197"/>
      <c r="M404" s="197"/>
      <c r="N404" s="197"/>
      <c r="O404" s="197"/>
      <c r="P404" s="197"/>
      <c r="Q404" s="197"/>
      <c r="R404" s="197"/>
      <c r="S404" s="197"/>
      <c r="T404" s="197"/>
      <c r="U404" s="197"/>
      <c r="V404" s="197"/>
      <c r="W404" s="197"/>
      <c r="X404" s="197"/>
      <c r="Y404" s="197"/>
      <c r="Z404" s="197"/>
    </row>
    <row r="405" ht="12.0" customHeight="1">
      <c r="A405" s="197"/>
      <c r="B405" s="198"/>
      <c r="C405" s="197"/>
      <c r="D405" s="197"/>
      <c r="E405" s="197"/>
      <c r="F405" s="197"/>
      <c r="G405" s="197"/>
      <c r="H405" s="197"/>
      <c r="I405" s="197"/>
      <c r="J405" s="197"/>
      <c r="K405" s="197"/>
      <c r="L405" s="197"/>
      <c r="M405" s="197"/>
      <c r="N405" s="197"/>
      <c r="O405" s="197"/>
      <c r="P405" s="197"/>
      <c r="Q405" s="197"/>
      <c r="R405" s="197"/>
      <c r="S405" s="197"/>
      <c r="T405" s="197"/>
      <c r="U405" s="197"/>
      <c r="V405" s="197"/>
      <c r="W405" s="197"/>
      <c r="X405" s="197"/>
      <c r="Y405" s="197"/>
      <c r="Z405" s="197"/>
    </row>
    <row r="406" ht="12.0" customHeight="1">
      <c r="A406" s="197"/>
      <c r="B406" s="198"/>
      <c r="C406" s="197"/>
      <c r="D406" s="197"/>
      <c r="E406" s="197"/>
      <c r="F406" s="197"/>
      <c r="G406" s="197"/>
      <c r="H406" s="197"/>
      <c r="I406" s="197"/>
      <c r="J406" s="197"/>
      <c r="K406" s="197"/>
      <c r="L406" s="197"/>
      <c r="M406" s="197"/>
      <c r="N406" s="197"/>
      <c r="O406" s="197"/>
      <c r="P406" s="197"/>
      <c r="Q406" s="197"/>
      <c r="R406" s="197"/>
      <c r="S406" s="197"/>
      <c r="T406" s="197"/>
      <c r="U406" s="197"/>
      <c r="V406" s="197"/>
      <c r="W406" s="197"/>
      <c r="X406" s="197"/>
      <c r="Y406" s="197"/>
      <c r="Z406" s="197"/>
    </row>
    <row r="407" ht="12.0" customHeight="1">
      <c r="A407" s="197"/>
      <c r="B407" s="198"/>
      <c r="C407" s="197"/>
      <c r="D407" s="197"/>
      <c r="E407" s="197"/>
      <c r="F407" s="197"/>
      <c r="G407" s="197"/>
      <c r="H407" s="197"/>
      <c r="I407" s="197"/>
      <c r="J407" s="197"/>
      <c r="K407" s="197"/>
      <c r="L407" s="197"/>
      <c r="M407" s="197"/>
      <c r="N407" s="197"/>
      <c r="O407" s="197"/>
      <c r="P407" s="197"/>
      <c r="Q407" s="197"/>
      <c r="R407" s="197"/>
      <c r="S407" s="197"/>
      <c r="T407" s="197"/>
      <c r="U407" s="197"/>
      <c r="V407" s="197"/>
      <c r="W407" s="197"/>
      <c r="X407" s="197"/>
      <c r="Y407" s="197"/>
      <c r="Z407" s="197"/>
    </row>
    <row r="408" ht="12.0" customHeight="1">
      <c r="A408" s="197"/>
      <c r="B408" s="198"/>
      <c r="C408" s="197"/>
      <c r="D408" s="197"/>
      <c r="E408" s="197"/>
      <c r="F408" s="197"/>
      <c r="G408" s="197"/>
      <c r="H408" s="197"/>
      <c r="I408" s="197"/>
      <c r="J408" s="197"/>
      <c r="K408" s="197"/>
      <c r="L408" s="197"/>
      <c r="M408" s="197"/>
      <c r="N408" s="197"/>
      <c r="O408" s="197"/>
      <c r="P408" s="197"/>
      <c r="Q408" s="197"/>
      <c r="R408" s="197"/>
      <c r="S408" s="197"/>
      <c r="T408" s="197"/>
      <c r="U408" s="197"/>
      <c r="V408" s="197"/>
      <c r="W408" s="197"/>
      <c r="X408" s="197"/>
      <c r="Y408" s="197"/>
      <c r="Z408" s="197"/>
    </row>
    <row r="409" ht="12.0" customHeight="1">
      <c r="A409" s="197"/>
      <c r="B409" s="198"/>
      <c r="C409" s="197"/>
      <c r="D409" s="197"/>
      <c r="E409" s="197"/>
      <c r="F409" s="197"/>
      <c r="G409" s="197"/>
      <c r="H409" s="197"/>
      <c r="I409" s="197"/>
      <c r="J409" s="197"/>
      <c r="K409" s="197"/>
      <c r="L409" s="197"/>
      <c r="M409" s="197"/>
      <c r="N409" s="197"/>
      <c r="O409" s="197"/>
      <c r="P409" s="197"/>
      <c r="Q409" s="197"/>
      <c r="R409" s="197"/>
      <c r="S409" s="197"/>
      <c r="T409" s="197"/>
      <c r="U409" s="197"/>
      <c r="V409" s="197"/>
      <c r="W409" s="197"/>
      <c r="X409" s="197"/>
      <c r="Y409" s="197"/>
      <c r="Z409" s="197"/>
    </row>
    <row r="410" ht="12.0" customHeight="1">
      <c r="A410" s="197"/>
      <c r="B410" s="198"/>
      <c r="C410" s="197"/>
      <c r="D410" s="197"/>
      <c r="E410" s="197"/>
      <c r="F410" s="197"/>
      <c r="G410" s="197"/>
      <c r="H410" s="197"/>
      <c r="I410" s="197"/>
      <c r="J410" s="197"/>
      <c r="K410" s="197"/>
      <c r="L410" s="197"/>
      <c r="M410" s="197"/>
      <c r="N410" s="197"/>
      <c r="O410" s="197"/>
      <c r="P410" s="197"/>
      <c r="Q410" s="197"/>
      <c r="R410" s="197"/>
      <c r="S410" s="197"/>
      <c r="T410" s="197"/>
      <c r="U410" s="197"/>
      <c r="V410" s="197"/>
      <c r="W410" s="197"/>
      <c r="X410" s="197"/>
      <c r="Y410" s="197"/>
      <c r="Z410" s="197"/>
    </row>
    <row r="411" ht="12.0" customHeight="1">
      <c r="A411" s="197"/>
      <c r="B411" s="198"/>
      <c r="C411" s="197"/>
      <c r="D411" s="197"/>
      <c r="E411" s="197"/>
      <c r="F411" s="197"/>
      <c r="G411" s="197"/>
      <c r="H411" s="197"/>
      <c r="I411" s="197"/>
      <c r="J411" s="197"/>
      <c r="K411" s="197"/>
      <c r="L411" s="197"/>
      <c r="M411" s="197"/>
      <c r="N411" s="197"/>
      <c r="O411" s="197"/>
      <c r="P411" s="197"/>
      <c r="Q411" s="197"/>
      <c r="R411" s="197"/>
      <c r="S411" s="197"/>
      <c r="T411" s="197"/>
      <c r="U411" s="197"/>
      <c r="V411" s="197"/>
      <c r="W411" s="197"/>
      <c r="X411" s="197"/>
      <c r="Y411" s="197"/>
      <c r="Z411" s="197"/>
    </row>
    <row r="412" ht="12.0" customHeight="1">
      <c r="A412" s="197"/>
      <c r="B412" s="198"/>
      <c r="C412" s="197"/>
      <c r="D412" s="197"/>
      <c r="E412" s="197"/>
      <c r="F412" s="197"/>
      <c r="G412" s="197"/>
      <c r="H412" s="197"/>
      <c r="I412" s="197"/>
      <c r="J412" s="197"/>
      <c r="K412" s="197"/>
      <c r="L412" s="197"/>
      <c r="M412" s="197"/>
      <c r="N412" s="197"/>
      <c r="O412" s="197"/>
      <c r="P412" s="197"/>
      <c r="Q412" s="197"/>
      <c r="R412" s="197"/>
      <c r="S412" s="197"/>
      <c r="T412" s="197"/>
      <c r="U412" s="197"/>
      <c r="V412" s="197"/>
      <c r="W412" s="197"/>
      <c r="X412" s="197"/>
      <c r="Y412" s="197"/>
      <c r="Z412" s="197"/>
    </row>
    <row r="413" ht="12.0" customHeight="1">
      <c r="A413" s="197"/>
      <c r="B413" s="198"/>
      <c r="C413" s="197"/>
      <c r="D413" s="197"/>
      <c r="E413" s="197"/>
      <c r="F413" s="197"/>
      <c r="G413" s="197"/>
      <c r="H413" s="197"/>
      <c r="I413" s="197"/>
      <c r="J413" s="197"/>
      <c r="K413" s="197"/>
      <c r="L413" s="197"/>
      <c r="M413" s="197"/>
      <c r="N413" s="197"/>
      <c r="O413" s="197"/>
      <c r="P413" s="197"/>
      <c r="Q413" s="197"/>
      <c r="R413" s="197"/>
      <c r="S413" s="197"/>
      <c r="T413" s="197"/>
      <c r="U413" s="197"/>
      <c r="V413" s="197"/>
      <c r="W413" s="197"/>
      <c r="X413" s="197"/>
      <c r="Y413" s="197"/>
      <c r="Z413" s="197"/>
    </row>
    <row r="414" ht="12.0" customHeight="1">
      <c r="A414" s="197"/>
      <c r="B414" s="198"/>
      <c r="C414" s="197"/>
      <c r="D414" s="197"/>
      <c r="E414" s="197"/>
      <c r="F414" s="197"/>
      <c r="G414" s="197"/>
      <c r="H414" s="197"/>
      <c r="I414" s="197"/>
      <c r="J414" s="197"/>
      <c r="K414" s="197"/>
      <c r="L414" s="197"/>
      <c r="M414" s="197"/>
      <c r="N414" s="197"/>
      <c r="O414" s="197"/>
      <c r="P414" s="197"/>
      <c r="Q414" s="197"/>
      <c r="R414" s="197"/>
      <c r="S414" s="197"/>
      <c r="T414" s="197"/>
      <c r="U414" s="197"/>
      <c r="V414" s="197"/>
      <c r="W414" s="197"/>
      <c r="X414" s="197"/>
      <c r="Y414" s="197"/>
      <c r="Z414" s="197"/>
    </row>
    <row r="415" ht="12.0" customHeight="1">
      <c r="A415" s="197"/>
      <c r="B415" s="198"/>
      <c r="C415" s="197"/>
      <c r="D415" s="197"/>
      <c r="E415" s="197"/>
      <c r="F415" s="197"/>
      <c r="G415" s="197"/>
      <c r="H415" s="197"/>
      <c r="I415" s="197"/>
      <c r="J415" s="197"/>
      <c r="K415" s="197"/>
      <c r="L415" s="197"/>
      <c r="M415" s="197"/>
      <c r="N415" s="197"/>
      <c r="O415" s="197"/>
      <c r="P415" s="197"/>
      <c r="Q415" s="197"/>
      <c r="R415" s="197"/>
      <c r="S415" s="197"/>
      <c r="T415" s="197"/>
      <c r="U415" s="197"/>
      <c r="V415" s="197"/>
      <c r="W415" s="197"/>
      <c r="X415" s="197"/>
      <c r="Y415" s="197"/>
      <c r="Z415" s="197"/>
    </row>
    <row r="416" ht="12.0" customHeight="1">
      <c r="A416" s="197"/>
      <c r="B416" s="198"/>
      <c r="C416" s="197"/>
      <c r="D416" s="197"/>
      <c r="E416" s="197"/>
      <c r="F416" s="197"/>
      <c r="G416" s="197"/>
      <c r="H416" s="197"/>
      <c r="I416" s="197"/>
      <c r="J416" s="197"/>
      <c r="K416" s="197"/>
      <c r="L416" s="197"/>
      <c r="M416" s="197"/>
      <c r="N416" s="197"/>
      <c r="O416" s="197"/>
      <c r="P416" s="197"/>
      <c r="Q416" s="197"/>
      <c r="R416" s="197"/>
      <c r="S416" s="197"/>
      <c r="T416" s="197"/>
      <c r="U416" s="197"/>
      <c r="V416" s="197"/>
      <c r="W416" s="197"/>
      <c r="X416" s="197"/>
      <c r="Y416" s="197"/>
      <c r="Z416" s="197"/>
    </row>
    <row r="417" ht="12.0" customHeight="1">
      <c r="A417" s="197"/>
      <c r="B417" s="198"/>
      <c r="C417" s="197"/>
      <c r="D417" s="197"/>
      <c r="E417" s="197"/>
      <c r="F417" s="197"/>
      <c r="G417" s="197"/>
      <c r="H417" s="197"/>
      <c r="I417" s="197"/>
      <c r="J417" s="197"/>
      <c r="K417" s="197"/>
      <c r="L417" s="197"/>
      <c r="M417" s="197"/>
      <c r="N417" s="197"/>
      <c r="O417" s="197"/>
      <c r="P417" s="197"/>
      <c r="Q417" s="197"/>
      <c r="R417" s="197"/>
      <c r="S417" s="197"/>
      <c r="T417" s="197"/>
      <c r="U417" s="197"/>
      <c r="V417" s="197"/>
      <c r="W417" s="197"/>
      <c r="X417" s="197"/>
      <c r="Y417" s="197"/>
      <c r="Z417" s="197"/>
    </row>
    <row r="418" ht="12.0" customHeight="1">
      <c r="A418" s="197"/>
      <c r="B418" s="198"/>
      <c r="C418" s="197"/>
      <c r="D418" s="197"/>
      <c r="E418" s="197"/>
      <c r="F418" s="197"/>
      <c r="G418" s="197"/>
      <c r="H418" s="197"/>
      <c r="I418" s="197"/>
      <c r="J418" s="197"/>
      <c r="K418" s="197"/>
      <c r="L418" s="197"/>
      <c r="M418" s="197"/>
      <c r="N418" s="197"/>
      <c r="O418" s="197"/>
      <c r="P418" s="197"/>
      <c r="Q418" s="197"/>
      <c r="R418" s="197"/>
      <c r="S418" s="197"/>
      <c r="T418" s="197"/>
      <c r="U418" s="197"/>
      <c r="V418" s="197"/>
      <c r="W418" s="197"/>
      <c r="X418" s="197"/>
      <c r="Y418" s="197"/>
      <c r="Z418" s="197"/>
    </row>
    <row r="419" ht="12.0" customHeight="1">
      <c r="A419" s="197"/>
      <c r="B419" s="198"/>
      <c r="C419" s="197"/>
      <c r="D419" s="197"/>
      <c r="E419" s="197"/>
      <c r="F419" s="197"/>
      <c r="G419" s="197"/>
      <c r="H419" s="197"/>
      <c r="I419" s="197"/>
      <c r="J419" s="197"/>
      <c r="K419" s="197"/>
      <c r="L419" s="197"/>
      <c r="M419" s="197"/>
      <c r="N419" s="197"/>
      <c r="O419" s="197"/>
      <c r="P419" s="197"/>
      <c r="Q419" s="197"/>
      <c r="R419" s="197"/>
      <c r="S419" s="197"/>
      <c r="T419" s="197"/>
      <c r="U419" s="197"/>
      <c r="V419" s="197"/>
      <c r="W419" s="197"/>
      <c r="X419" s="197"/>
      <c r="Y419" s="197"/>
      <c r="Z419" s="197"/>
    </row>
    <row r="420" ht="12.0" customHeight="1">
      <c r="A420" s="197"/>
      <c r="B420" s="198"/>
      <c r="C420" s="197"/>
      <c r="D420" s="197"/>
      <c r="E420" s="197"/>
      <c r="F420" s="197"/>
      <c r="G420" s="197"/>
      <c r="H420" s="197"/>
      <c r="I420" s="197"/>
      <c r="J420" s="197"/>
      <c r="K420" s="197"/>
      <c r="L420" s="197"/>
      <c r="M420" s="197"/>
      <c r="N420" s="197"/>
      <c r="O420" s="197"/>
      <c r="P420" s="197"/>
      <c r="Q420" s="197"/>
      <c r="R420" s="197"/>
      <c r="S420" s="197"/>
      <c r="T420" s="197"/>
      <c r="U420" s="197"/>
      <c r="V420" s="197"/>
      <c r="W420" s="197"/>
      <c r="X420" s="197"/>
      <c r="Y420" s="197"/>
      <c r="Z420" s="197"/>
    </row>
    <row r="421" ht="12.0" customHeight="1">
      <c r="A421" s="197"/>
      <c r="B421" s="198"/>
      <c r="C421" s="197"/>
      <c r="D421" s="197"/>
      <c r="E421" s="197"/>
      <c r="F421" s="197"/>
      <c r="G421" s="197"/>
      <c r="H421" s="197"/>
      <c r="I421" s="197"/>
      <c r="J421" s="197"/>
      <c r="K421" s="197"/>
      <c r="L421" s="197"/>
      <c r="M421" s="197"/>
      <c r="N421" s="197"/>
      <c r="O421" s="197"/>
      <c r="P421" s="197"/>
      <c r="Q421" s="197"/>
      <c r="R421" s="197"/>
      <c r="S421" s="197"/>
      <c r="T421" s="197"/>
      <c r="U421" s="197"/>
      <c r="V421" s="197"/>
      <c r="W421" s="197"/>
      <c r="X421" s="197"/>
      <c r="Y421" s="197"/>
      <c r="Z421" s="197"/>
    </row>
    <row r="422" ht="12.0" customHeight="1">
      <c r="A422" s="197"/>
      <c r="B422" s="198"/>
      <c r="C422" s="197"/>
      <c r="D422" s="197"/>
      <c r="E422" s="197"/>
      <c r="F422" s="197"/>
      <c r="G422" s="197"/>
      <c r="H422" s="197"/>
      <c r="I422" s="197"/>
      <c r="J422" s="197"/>
      <c r="K422" s="197"/>
      <c r="L422" s="197"/>
      <c r="M422" s="197"/>
      <c r="N422" s="197"/>
      <c r="O422" s="197"/>
      <c r="P422" s="197"/>
      <c r="Q422" s="197"/>
      <c r="R422" s="197"/>
      <c r="S422" s="197"/>
      <c r="T422" s="197"/>
      <c r="U422" s="197"/>
      <c r="V422" s="197"/>
      <c r="W422" s="197"/>
      <c r="X422" s="197"/>
      <c r="Y422" s="197"/>
      <c r="Z422" s="197"/>
    </row>
    <row r="423" ht="12.0" customHeight="1">
      <c r="A423" s="197"/>
      <c r="B423" s="198"/>
      <c r="C423" s="197"/>
      <c r="D423" s="197"/>
      <c r="E423" s="197"/>
      <c r="F423" s="197"/>
      <c r="G423" s="197"/>
      <c r="H423" s="197"/>
      <c r="I423" s="197"/>
      <c r="J423" s="197"/>
      <c r="K423" s="197"/>
      <c r="L423" s="197"/>
      <c r="M423" s="197"/>
      <c r="N423" s="197"/>
      <c r="O423" s="197"/>
      <c r="P423" s="197"/>
      <c r="Q423" s="197"/>
      <c r="R423" s="197"/>
      <c r="S423" s="197"/>
      <c r="T423" s="197"/>
      <c r="U423" s="197"/>
      <c r="V423" s="197"/>
      <c r="W423" s="197"/>
      <c r="X423" s="197"/>
      <c r="Y423" s="197"/>
      <c r="Z423" s="197"/>
    </row>
    <row r="424" ht="12.0" customHeight="1">
      <c r="A424" s="197"/>
      <c r="B424" s="198"/>
      <c r="C424" s="197"/>
      <c r="D424" s="197"/>
      <c r="E424" s="197"/>
      <c r="F424" s="197"/>
      <c r="G424" s="197"/>
      <c r="H424" s="197"/>
      <c r="I424" s="197"/>
      <c r="J424" s="197"/>
      <c r="K424" s="197"/>
      <c r="L424" s="197"/>
      <c r="M424" s="197"/>
      <c r="N424" s="197"/>
      <c r="O424" s="197"/>
      <c r="P424" s="197"/>
      <c r="Q424" s="197"/>
      <c r="R424" s="197"/>
      <c r="S424" s="197"/>
      <c r="T424" s="197"/>
      <c r="U424" s="197"/>
      <c r="V424" s="197"/>
      <c r="W424" s="197"/>
      <c r="X424" s="197"/>
      <c r="Y424" s="197"/>
      <c r="Z424" s="197"/>
    </row>
    <row r="425" ht="12.0" customHeight="1">
      <c r="A425" s="197"/>
      <c r="B425" s="198"/>
      <c r="C425" s="197"/>
      <c r="D425" s="197"/>
      <c r="E425" s="197"/>
      <c r="F425" s="197"/>
      <c r="G425" s="197"/>
      <c r="H425" s="197"/>
      <c r="I425" s="197"/>
      <c r="J425" s="197"/>
      <c r="K425" s="197"/>
      <c r="L425" s="197"/>
      <c r="M425" s="197"/>
      <c r="N425" s="197"/>
      <c r="O425" s="197"/>
      <c r="P425" s="197"/>
      <c r="Q425" s="197"/>
      <c r="R425" s="197"/>
      <c r="S425" s="197"/>
      <c r="T425" s="197"/>
      <c r="U425" s="197"/>
      <c r="V425" s="197"/>
      <c r="W425" s="197"/>
      <c r="X425" s="197"/>
      <c r="Y425" s="197"/>
      <c r="Z425" s="197"/>
    </row>
    <row r="426" ht="12.0" customHeight="1">
      <c r="A426" s="197"/>
      <c r="B426" s="198"/>
      <c r="C426" s="197"/>
      <c r="D426" s="197"/>
      <c r="E426" s="197"/>
      <c r="F426" s="197"/>
      <c r="G426" s="197"/>
      <c r="H426" s="197"/>
      <c r="I426" s="197"/>
      <c r="J426" s="197"/>
      <c r="K426" s="197"/>
      <c r="L426" s="197"/>
      <c r="M426" s="197"/>
      <c r="N426" s="197"/>
      <c r="O426" s="197"/>
      <c r="P426" s="197"/>
      <c r="Q426" s="197"/>
      <c r="R426" s="197"/>
      <c r="S426" s="197"/>
      <c r="T426" s="197"/>
      <c r="U426" s="197"/>
      <c r="V426" s="197"/>
      <c r="W426" s="197"/>
      <c r="X426" s="197"/>
      <c r="Y426" s="197"/>
      <c r="Z426" s="197"/>
    </row>
    <row r="427" ht="12.0" customHeight="1">
      <c r="A427" s="197"/>
      <c r="B427" s="198"/>
      <c r="C427" s="197"/>
      <c r="D427" s="197"/>
      <c r="E427" s="197"/>
      <c r="F427" s="197"/>
      <c r="G427" s="197"/>
      <c r="H427" s="197"/>
      <c r="I427" s="197"/>
      <c r="J427" s="197"/>
      <c r="K427" s="197"/>
      <c r="L427" s="197"/>
      <c r="M427" s="197"/>
      <c r="N427" s="197"/>
      <c r="O427" s="197"/>
      <c r="P427" s="197"/>
      <c r="Q427" s="197"/>
      <c r="R427" s="197"/>
      <c r="S427" s="197"/>
      <c r="T427" s="197"/>
      <c r="U427" s="197"/>
      <c r="V427" s="197"/>
      <c r="W427" s="197"/>
      <c r="X427" s="197"/>
      <c r="Y427" s="197"/>
      <c r="Z427" s="197"/>
    </row>
    <row r="428" ht="12.0" customHeight="1">
      <c r="A428" s="197"/>
      <c r="B428" s="198"/>
      <c r="C428" s="197"/>
      <c r="D428" s="197"/>
      <c r="E428" s="197"/>
      <c r="F428" s="197"/>
      <c r="G428" s="197"/>
      <c r="H428" s="197"/>
      <c r="I428" s="197"/>
      <c r="J428" s="197"/>
      <c r="K428" s="197"/>
      <c r="L428" s="197"/>
      <c r="M428" s="197"/>
      <c r="N428" s="197"/>
      <c r="O428" s="197"/>
      <c r="P428" s="197"/>
      <c r="Q428" s="197"/>
      <c r="R428" s="197"/>
      <c r="S428" s="197"/>
      <c r="T428" s="197"/>
      <c r="U428" s="197"/>
      <c r="V428" s="197"/>
      <c r="W428" s="197"/>
      <c r="X428" s="197"/>
      <c r="Y428" s="197"/>
      <c r="Z428" s="197"/>
    </row>
    <row r="429" ht="12.0" customHeight="1">
      <c r="A429" s="197"/>
      <c r="B429" s="198"/>
      <c r="C429" s="197"/>
      <c r="D429" s="197"/>
      <c r="E429" s="197"/>
      <c r="F429" s="197"/>
      <c r="G429" s="197"/>
      <c r="H429" s="197"/>
      <c r="I429" s="197"/>
      <c r="J429" s="197"/>
      <c r="K429" s="197"/>
      <c r="L429" s="197"/>
      <c r="M429" s="197"/>
      <c r="N429" s="197"/>
      <c r="O429" s="197"/>
      <c r="P429" s="197"/>
      <c r="Q429" s="197"/>
      <c r="R429" s="197"/>
      <c r="S429" s="197"/>
      <c r="T429" s="197"/>
      <c r="U429" s="197"/>
      <c r="V429" s="197"/>
      <c r="W429" s="197"/>
      <c r="X429" s="197"/>
      <c r="Y429" s="197"/>
      <c r="Z429" s="197"/>
    </row>
    <row r="430" ht="12.0" customHeight="1">
      <c r="A430" s="197"/>
      <c r="B430" s="198"/>
      <c r="C430" s="197"/>
      <c r="D430" s="197"/>
      <c r="E430" s="197"/>
      <c r="F430" s="197"/>
      <c r="G430" s="197"/>
      <c r="H430" s="197"/>
      <c r="I430" s="197"/>
      <c r="J430" s="197"/>
      <c r="K430" s="197"/>
      <c r="L430" s="197"/>
      <c r="M430" s="197"/>
      <c r="N430" s="197"/>
      <c r="O430" s="197"/>
      <c r="P430" s="197"/>
      <c r="Q430" s="197"/>
      <c r="R430" s="197"/>
      <c r="S430" s="197"/>
      <c r="T430" s="197"/>
      <c r="U430" s="197"/>
      <c r="V430" s="197"/>
      <c r="W430" s="197"/>
      <c r="X430" s="197"/>
      <c r="Y430" s="197"/>
      <c r="Z430" s="197"/>
    </row>
    <row r="431" ht="12.0" customHeight="1">
      <c r="A431" s="197"/>
      <c r="B431" s="198"/>
      <c r="C431" s="197"/>
      <c r="D431" s="197"/>
      <c r="E431" s="197"/>
      <c r="F431" s="197"/>
      <c r="G431" s="197"/>
      <c r="H431" s="197"/>
      <c r="I431" s="197"/>
      <c r="J431" s="197"/>
      <c r="K431" s="197"/>
      <c r="L431" s="197"/>
      <c r="M431" s="197"/>
      <c r="N431" s="197"/>
      <c r="O431" s="197"/>
      <c r="P431" s="197"/>
      <c r="Q431" s="197"/>
      <c r="R431" s="197"/>
      <c r="S431" s="197"/>
      <c r="T431" s="197"/>
      <c r="U431" s="197"/>
      <c r="V431" s="197"/>
      <c r="W431" s="197"/>
      <c r="X431" s="197"/>
      <c r="Y431" s="197"/>
      <c r="Z431" s="197"/>
    </row>
    <row r="432" ht="12.0" customHeight="1">
      <c r="A432" s="197"/>
      <c r="B432" s="198"/>
      <c r="C432" s="197"/>
      <c r="D432" s="197"/>
      <c r="E432" s="197"/>
      <c r="F432" s="197"/>
      <c r="G432" s="197"/>
      <c r="H432" s="197"/>
      <c r="I432" s="197"/>
      <c r="J432" s="197"/>
      <c r="K432" s="197"/>
      <c r="L432" s="197"/>
      <c r="M432" s="197"/>
      <c r="N432" s="197"/>
      <c r="O432" s="197"/>
      <c r="P432" s="197"/>
      <c r="Q432" s="197"/>
      <c r="R432" s="197"/>
      <c r="S432" s="197"/>
      <c r="T432" s="197"/>
      <c r="U432" s="197"/>
      <c r="V432" s="197"/>
      <c r="W432" s="197"/>
      <c r="X432" s="197"/>
      <c r="Y432" s="197"/>
      <c r="Z432" s="197"/>
    </row>
    <row r="433" ht="12.0" customHeight="1">
      <c r="A433" s="197"/>
      <c r="B433" s="198"/>
      <c r="C433" s="197"/>
      <c r="D433" s="197"/>
      <c r="E433" s="197"/>
      <c r="F433" s="197"/>
      <c r="G433" s="197"/>
      <c r="H433" s="197"/>
      <c r="I433" s="197"/>
      <c r="J433" s="197"/>
      <c r="K433" s="197"/>
      <c r="L433" s="197"/>
      <c r="M433" s="197"/>
      <c r="N433" s="197"/>
      <c r="O433" s="197"/>
      <c r="P433" s="197"/>
      <c r="Q433" s="197"/>
      <c r="R433" s="197"/>
      <c r="S433" s="197"/>
      <c r="T433" s="197"/>
      <c r="U433" s="197"/>
      <c r="V433" s="197"/>
      <c r="W433" s="197"/>
      <c r="X433" s="197"/>
      <c r="Y433" s="197"/>
      <c r="Z433" s="197"/>
    </row>
    <row r="434" ht="12.0" customHeight="1">
      <c r="A434" s="197"/>
      <c r="B434" s="198"/>
      <c r="C434" s="197"/>
      <c r="D434" s="197"/>
      <c r="E434" s="197"/>
      <c r="F434" s="197"/>
      <c r="G434" s="197"/>
      <c r="H434" s="197"/>
      <c r="I434" s="197"/>
      <c r="J434" s="197"/>
      <c r="K434" s="197"/>
      <c r="L434" s="197"/>
      <c r="M434" s="197"/>
      <c r="N434" s="197"/>
      <c r="O434" s="197"/>
      <c r="P434" s="197"/>
      <c r="Q434" s="197"/>
      <c r="R434" s="197"/>
      <c r="S434" s="197"/>
      <c r="T434" s="197"/>
      <c r="U434" s="197"/>
      <c r="V434" s="197"/>
      <c r="W434" s="197"/>
      <c r="X434" s="197"/>
      <c r="Y434" s="197"/>
      <c r="Z434" s="197"/>
    </row>
    <row r="435" ht="12.0" customHeight="1">
      <c r="A435" s="197"/>
      <c r="B435" s="198"/>
      <c r="C435" s="197"/>
      <c r="D435" s="197"/>
      <c r="E435" s="197"/>
      <c r="F435" s="197"/>
      <c r="G435" s="197"/>
      <c r="H435" s="197"/>
      <c r="I435" s="197"/>
      <c r="J435" s="197"/>
      <c r="K435" s="197"/>
      <c r="L435" s="197"/>
      <c r="M435" s="197"/>
      <c r="N435" s="197"/>
      <c r="O435" s="197"/>
      <c r="P435" s="197"/>
      <c r="Q435" s="197"/>
      <c r="R435" s="197"/>
      <c r="S435" s="197"/>
      <c r="T435" s="197"/>
      <c r="U435" s="197"/>
      <c r="V435" s="197"/>
      <c r="W435" s="197"/>
      <c r="X435" s="197"/>
      <c r="Y435" s="197"/>
      <c r="Z435" s="197"/>
    </row>
    <row r="436" ht="12.0" customHeight="1">
      <c r="A436" s="197"/>
      <c r="B436" s="198"/>
      <c r="C436" s="197"/>
      <c r="D436" s="197"/>
      <c r="E436" s="197"/>
      <c r="F436" s="197"/>
      <c r="G436" s="197"/>
      <c r="H436" s="197"/>
      <c r="I436" s="197"/>
      <c r="J436" s="197"/>
      <c r="K436" s="197"/>
      <c r="L436" s="197"/>
      <c r="M436" s="197"/>
      <c r="N436" s="197"/>
      <c r="O436" s="197"/>
      <c r="P436" s="197"/>
      <c r="Q436" s="197"/>
      <c r="R436" s="197"/>
      <c r="S436" s="197"/>
      <c r="T436" s="197"/>
      <c r="U436" s="197"/>
      <c r="V436" s="197"/>
      <c r="W436" s="197"/>
      <c r="X436" s="197"/>
      <c r="Y436" s="197"/>
      <c r="Z436" s="197"/>
    </row>
    <row r="437" ht="12.0" customHeight="1">
      <c r="A437" s="197"/>
      <c r="B437" s="198"/>
      <c r="C437" s="197"/>
      <c r="D437" s="197"/>
      <c r="E437" s="197"/>
      <c r="F437" s="197"/>
      <c r="G437" s="197"/>
      <c r="H437" s="197"/>
      <c r="I437" s="197"/>
      <c r="J437" s="197"/>
      <c r="K437" s="197"/>
      <c r="L437" s="197"/>
      <c r="M437" s="197"/>
      <c r="N437" s="197"/>
      <c r="O437" s="197"/>
      <c r="P437" s="197"/>
      <c r="Q437" s="197"/>
      <c r="R437" s="197"/>
      <c r="S437" s="197"/>
      <c r="T437" s="197"/>
      <c r="U437" s="197"/>
      <c r="V437" s="197"/>
      <c r="W437" s="197"/>
      <c r="X437" s="197"/>
      <c r="Y437" s="197"/>
      <c r="Z437" s="197"/>
    </row>
    <row r="438" ht="12.0" customHeight="1">
      <c r="A438" s="197"/>
      <c r="B438" s="198"/>
      <c r="C438" s="197"/>
      <c r="D438" s="197"/>
      <c r="E438" s="197"/>
      <c r="F438" s="197"/>
      <c r="G438" s="197"/>
      <c r="H438" s="197"/>
      <c r="I438" s="197"/>
      <c r="J438" s="197"/>
      <c r="K438" s="197"/>
      <c r="L438" s="197"/>
      <c r="M438" s="197"/>
      <c r="N438" s="197"/>
      <c r="O438" s="197"/>
      <c r="P438" s="197"/>
      <c r="Q438" s="197"/>
      <c r="R438" s="197"/>
      <c r="S438" s="197"/>
      <c r="T438" s="197"/>
      <c r="U438" s="197"/>
      <c r="V438" s="197"/>
      <c r="W438" s="197"/>
      <c r="X438" s="197"/>
      <c r="Y438" s="197"/>
      <c r="Z438" s="197"/>
    </row>
    <row r="439" ht="12.0" customHeight="1">
      <c r="A439" s="197"/>
      <c r="B439" s="198"/>
      <c r="C439" s="197"/>
      <c r="D439" s="197"/>
      <c r="E439" s="197"/>
      <c r="F439" s="197"/>
      <c r="G439" s="197"/>
      <c r="H439" s="197"/>
      <c r="I439" s="197"/>
      <c r="J439" s="197"/>
      <c r="K439" s="197"/>
      <c r="L439" s="197"/>
      <c r="M439" s="197"/>
      <c r="N439" s="197"/>
      <c r="O439" s="197"/>
      <c r="P439" s="197"/>
      <c r="Q439" s="197"/>
      <c r="R439" s="197"/>
      <c r="S439" s="197"/>
      <c r="T439" s="197"/>
      <c r="U439" s="197"/>
      <c r="V439" s="197"/>
      <c r="W439" s="197"/>
      <c r="X439" s="197"/>
      <c r="Y439" s="197"/>
      <c r="Z439" s="197"/>
    </row>
    <row r="440" ht="12.0" customHeight="1">
      <c r="A440" s="197"/>
      <c r="B440" s="198"/>
      <c r="C440" s="197"/>
      <c r="D440" s="197"/>
      <c r="E440" s="197"/>
      <c r="F440" s="197"/>
      <c r="G440" s="197"/>
      <c r="H440" s="197"/>
      <c r="I440" s="197"/>
      <c r="J440" s="197"/>
      <c r="K440" s="197"/>
      <c r="L440" s="197"/>
      <c r="M440" s="197"/>
      <c r="N440" s="197"/>
      <c r="O440" s="197"/>
      <c r="P440" s="197"/>
      <c r="Q440" s="197"/>
      <c r="R440" s="197"/>
      <c r="S440" s="197"/>
      <c r="T440" s="197"/>
      <c r="U440" s="197"/>
      <c r="V440" s="197"/>
      <c r="W440" s="197"/>
      <c r="X440" s="197"/>
      <c r="Y440" s="197"/>
      <c r="Z440" s="197"/>
    </row>
    <row r="441" ht="12.0" customHeight="1">
      <c r="A441" s="197"/>
      <c r="B441" s="198"/>
      <c r="C441" s="197"/>
      <c r="D441" s="197"/>
      <c r="E441" s="197"/>
      <c r="F441" s="197"/>
      <c r="G441" s="197"/>
      <c r="H441" s="197"/>
      <c r="I441" s="197"/>
      <c r="J441" s="197"/>
      <c r="K441" s="197"/>
      <c r="L441" s="197"/>
      <c r="M441" s="197"/>
      <c r="N441" s="197"/>
      <c r="O441" s="197"/>
      <c r="P441" s="197"/>
      <c r="Q441" s="197"/>
      <c r="R441" s="197"/>
      <c r="S441" s="197"/>
      <c r="T441" s="197"/>
      <c r="U441" s="197"/>
      <c r="V441" s="197"/>
      <c r="W441" s="197"/>
      <c r="X441" s="197"/>
      <c r="Y441" s="197"/>
      <c r="Z441" s="197"/>
    </row>
    <row r="442" ht="12.0" customHeight="1">
      <c r="A442" s="197"/>
      <c r="B442" s="198"/>
      <c r="C442" s="197"/>
      <c r="D442" s="197"/>
      <c r="E442" s="197"/>
      <c r="F442" s="197"/>
      <c r="G442" s="197"/>
      <c r="H442" s="197"/>
      <c r="I442" s="197"/>
      <c r="J442" s="197"/>
      <c r="K442" s="197"/>
      <c r="L442" s="197"/>
      <c r="M442" s="197"/>
      <c r="N442" s="197"/>
      <c r="O442" s="197"/>
      <c r="P442" s="197"/>
      <c r="Q442" s="197"/>
      <c r="R442" s="197"/>
      <c r="S442" s="197"/>
      <c r="T442" s="197"/>
      <c r="U442" s="197"/>
      <c r="V442" s="197"/>
      <c r="W442" s="197"/>
      <c r="X442" s="197"/>
      <c r="Y442" s="197"/>
      <c r="Z442" s="197"/>
    </row>
    <row r="443" ht="12.0" customHeight="1">
      <c r="A443" s="197"/>
      <c r="B443" s="198"/>
      <c r="C443" s="197"/>
      <c r="D443" s="197"/>
      <c r="E443" s="197"/>
      <c r="F443" s="197"/>
      <c r="G443" s="197"/>
      <c r="H443" s="197"/>
      <c r="I443" s="197"/>
      <c r="J443" s="197"/>
      <c r="K443" s="197"/>
      <c r="L443" s="197"/>
      <c r="M443" s="197"/>
      <c r="N443" s="197"/>
      <c r="O443" s="197"/>
      <c r="P443" s="197"/>
      <c r="Q443" s="197"/>
      <c r="R443" s="197"/>
      <c r="S443" s="197"/>
      <c r="T443" s="197"/>
      <c r="U443" s="197"/>
      <c r="V443" s="197"/>
      <c r="W443" s="197"/>
      <c r="X443" s="197"/>
      <c r="Y443" s="197"/>
      <c r="Z443" s="197"/>
    </row>
    <row r="444" ht="12.0" customHeight="1">
      <c r="A444" s="197"/>
      <c r="B444" s="198"/>
      <c r="C444" s="197"/>
      <c r="D444" s="197"/>
      <c r="E444" s="197"/>
      <c r="F444" s="197"/>
      <c r="G444" s="197"/>
      <c r="H444" s="197"/>
      <c r="I444" s="197"/>
      <c r="J444" s="197"/>
      <c r="K444" s="197"/>
      <c r="L444" s="197"/>
      <c r="M444" s="197"/>
      <c r="N444" s="197"/>
      <c r="O444" s="197"/>
      <c r="P444" s="197"/>
      <c r="Q444" s="197"/>
      <c r="R444" s="197"/>
      <c r="S444" s="197"/>
      <c r="T444" s="197"/>
      <c r="U444" s="197"/>
      <c r="V444" s="197"/>
      <c r="W444" s="197"/>
      <c r="X444" s="197"/>
      <c r="Y444" s="197"/>
      <c r="Z444" s="197"/>
    </row>
    <row r="445" ht="12.0" customHeight="1">
      <c r="A445" s="197"/>
      <c r="B445" s="198"/>
      <c r="C445" s="197"/>
      <c r="D445" s="197"/>
      <c r="E445" s="197"/>
      <c r="F445" s="197"/>
      <c r="G445" s="197"/>
      <c r="H445" s="197"/>
      <c r="I445" s="197"/>
      <c r="J445" s="197"/>
      <c r="K445" s="197"/>
      <c r="L445" s="197"/>
      <c r="M445" s="197"/>
      <c r="N445" s="197"/>
      <c r="O445" s="197"/>
      <c r="P445" s="197"/>
      <c r="Q445" s="197"/>
      <c r="R445" s="197"/>
      <c r="S445" s="197"/>
      <c r="T445" s="197"/>
      <c r="U445" s="197"/>
      <c r="V445" s="197"/>
      <c r="W445" s="197"/>
      <c r="X445" s="197"/>
      <c r="Y445" s="197"/>
      <c r="Z445" s="197"/>
    </row>
    <row r="446" ht="12.0" customHeight="1">
      <c r="A446" s="197"/>
      <c r="B446" s="198"/>
      <c r="C446" s="197"/>
      <c r="D446" s="197"/>
      <c r="E446" s="197"/>
      <c r="F446" s="197"/>
      <c r="G446" s="197"/>
      <c r="H446" s="197"/>
      <c r="I446" s="197"/>
      <c r="J446" s="197"/>
      <c r="K446" s="197"/>
      <c r="L446" s="197"/>
      <c r="M446" s="197"/>
      <c r="N446" s="197"/>
      <c r="O446" s="197"/>
      <c r="P446" s="197"/>
      <c r="Q446" s="197"/>
      <c r="R446" s="197"/>
      <c r="S446" s="197"/>
      <c r="T446" s="197"/>
      <c r="U446" s="197"/>
      <c r="V446" s="197"/>
      <c r="W446" s="197"/>
      <c r="X446" s="197"/>
      <c r="Y446" s="197"/>
      <c r="Z446" s="197"/>
    </row>
    <row r="447" ht="12.0" customHeight="1">
      <c r="A447" s="197"/>
      <c r="B447" s="198"/>
      <c r="C447" s="197"/>
      <c r="D447" s="197"/>
      <c r="E447" s="197"/>
      <c r="F447" s="197"/>
      <c r="G447" s="197"/>
      <c r="H447" s="197"/>
      <c r="I447" s="197"/>
      <c r="J447" s="197"/>
      <c r="K447" s="197"/>
      <c r="L447" s="197"/>
      <c r="M447" s="197"/>
      <c r="N447" s="197"/>
      <c r="O447" s="197"/>
      <c r="P447" s="197"/>
      <c r="Q447" s="197"/>
      <c r="R447" s="197"/>
      <c r="S447" s="197"/>
      <c r="T447" s="197"/>
      <c r="U447" s="197"/>
      <c r="V447" s="197"/>
      <c r="W447" s="197"/>
      <c r="X447" s="197"/>
      <c r="Y447" s="197"/>
      <c r="Z447" s="197"/>
    </row>
    <row r="448" ht="12.0" customHeight="1">
      <c r="A448" s="197"/>
      <c r="B448" s="198"/>
      <c r="C448" s="197"/>
      <c r="D448" s="197"/>
      <c r="E448" s="197"/>
      <c r="F448" s="197"/>
      <c r="G448" s="197"/>
      <c r="H448" s="197"/>
      <c r="I448" s="197"/>
      <c r="J448" s="197"/>
      <c r="K448" s="197"/>
      <c r="L448" s="197"/>
      <c r="M448" s="197"/>
      <c r="N448" s="197"/>
      <c r="O448" s="197"/>
      <c r="P448" s="197"/>
      <c r="Q448" s="197"/>
      <c r="R448" s="197"/>
      <c r="S448" s="197"/>
      <c r="T448" s="197"/>
      <c r="U448" s="197"/>
      <c r="V448" s="197"/>
      <c r="W448" s="197"/>
      <c r="X448" s="197"/>
      <c r="Y448" s="197"/>
      <c r="Z448" s="197"/>
    </row>
    <row r="449" ht="12.0" customHeight="1">
      <c r="A449" s="197"/>
      <c r="B449" s="198"/>
      <c r="C449" s="197"/>
      <c r="D449" s="197"/>
      <c r="E449" s="197"/>
      <c r="F449" s="197"/>
      <c r="G449" s="197"/>
      <c r="H449" s="197"/>
      <c r="I449" s="197"/>
      <c r="J449" s="197"/>
      <c r="K449" s="197"/>
      <c r="L449" s="197"/>
      <c r="M449" s="197"/>
      <c r="N449" s="197"/>
      <c r="O449" s="197"/>
      <c r="P449" s="197"/>
      <c r="Q449" s="197"/>
      <c r="R449" s="197"/>
      <c r="S449" s="197"/>
      <c r="T449" s="197"/>
      <c r="U449" s="197"/>
      <c r="V449" s="197"/>
      <c r="W449" s="197"/>
      <c r="X449" s="197"/>
      <c r="Y449" s="197"/>
      <c r="Z449" s="197"/>
    </row>
    <row r="450" ht="12.0" customHeight="1">
      <c r="A450" s="197"/>
      <c r="B450" s="198"/>
      <c r="C450" s="197"/>
      <c r="D450" s="197"/>
      <c r="E450" s="197"/>
      <c r="F450" s="197"/>
      <c r="G450" s="197"/>
      <c r="H450" s="197"/>
      <c r="I450" s="197"/>
      <c r="J450" s="197"/>
      <c r="K450" s="197"/>
      <c r="L450" s="197"/>
      <c r="M450" s="197"/>
      <c r="N450" s="197"/>
      <c r="O450" s="197"/>
      <c r="P450" s="197"/>
      <c r="Q450" s="197"/>
      <c r="R450" s="197"/>
      <c r="S450" s="197"/>
      <c r="T450" s="197"/>
      <c r="U450" s="197"/>
      <c r="V450" s="197"/>
      <c r="W450" s="197"/>
      <c r="X450" s="197"/>
      <c r="Y450" s="197"/>
      <c r="Z450" s="197"/>
    </row>
    <row r="451" ht="12.0" customHeight="1">
      <c r="A451" s="197"/>
      <c r="B451" s="198"/>
      <c r="C451" s="197"/>
      <c r="D451" s="197"/>
      <c r="E451" s="197"/>
      <c r="F451" s="197"/>
      <c r="G451" s="197"/>
      <c r="H451" s="197"/>
      <c r="I451" s="197"/>
      <c r="J451" s="197"/>
      <c r="K451" s="197"/>
      <c r="L451" s="197"/>
      <c r="M451" s="197"/>
      <c r="N451" s="197"/>
      <c r="O451" s="197"/>
      <c r="P451" s="197"/>
      <c r="Q451" s="197"/>
      <c r="R451" s="197"/>
      <c r="S451" s="197"/>
      <c r="T451" s="197"/>
      <c r="U451" s="197"/>
      <c r="V451" s="197"/>
      <c r="W451" s="197"/>
      <c r="X451" s="197"/>
      <c r="Y451" s="197"/>
      <c r="Z451" s="197"/>
    </row>
    <row r="452" ht="12.0" customHeight="1">
      <c r="A452" s="197"/>
      <c r="B452" s="198"/>
      <c r="C452" s="197"/>
      <c r="D452" s="197"/>
      <c r="E452" s="197"/>
      <c r="F452" s="197"/>
      <c r="G452" s="197"/>
      <c r="H452" s="197"/>
      <c r="I452" s="197"/>
      <c r="J452" s="197"/>
      <c r="K452" s="197"/>
      <c r="L452" s="197"/>
      <c r="M452" s="197"/>
      <c r="N452" s="197"/>
      <c r="O452" s="197"/>
      <c r="P452" s="197"/>
      <c r="Q452" s="197"/>
      <c r="R452" s="197"/>
      <c r="S452" s="197"/>
      <c r="T452" s="197"/>
      <c r="U452" s="197"/>
      <c r="V452" s="197"/>
      <c r="W452" s="197"/>
      <c r="X452" s="197"/>
      <c r="Y452" s="197"/>
      <c r="Z452" s="197"/>
    </row>
    <row r="453" ht="12.0" customHeight="1">
      <c r="A453" s="197"/>
      <c r="B453" s="198"/>
      <c r="C453" s="197"/>
      <c r="D453" s="197"/>
      <c r="E453" s="197"/>
      <c r="F453" s="197"/>
      <c r="G453" s="197"/>
      <c r="H453" s="197"/>
      <c r="I453" s="197"/>
      <c r="J453" s="197"/>
      <c r="K453" s="197"/>
      <c r="L453" s="197"/>
      <c r="M453" s="197"/>
      <c r="N453" s="197"/>
      <c r="O453" s="197"/>
      <c r="P453" s="197"/>
      <c r="Q453" s="197"/>
      <c r="R453" s="197"/>
      <c r="S453" s="197"/>
      <c r="T453" s="197"/>
      <c r="U453" s="197"/>
      <c r="V453" s="197"/>
      <c r="W453" s="197"/>
      <c r="X453" s="197"/>
      <c r="Y453" s="197"/>
      <c r="Z453" s="197"/>
    </row>
    <row r="454" ht="12.0" customHeight="1">
      <c r="A454" s="197"/>
      <c r="B454" s="198"/>
      <c r="C454" s="197"/>
      <c r="D454" s="197"/>
      <c r="E454" s="197"/>
      <c r="F454" s="197"/>
      <c r="G454" s="197"/>
      <c r="H454" s="197"/>
      <c r="I454" s="197"/>
      <c r="J454" s="197"/>
      <c r="K454" s="197"/>
      <c r="L454" s="197"/>
      <c r="M454" s="197"/>
      <c r="N454" s="197"/>
      <c r="O454" s="197"/>
      <c r="P454" s="197"/>
      <c r="Q454" s="197"/>
      <c r="R454" s="197"/>
      <c r="S454" s="197"/>
      <c r="T454" s="197"/>
      <c r="U454" s="197"/>
      <c r="V454" s="197"/>
      <c r="W454" s="197"/>
      <c r="X454" s="197"/>
      <c r="Y454" s="197"/>
      <c r="Z454" s="197"/>
    </row>
    <row r="455" ht="12.0" customHeight="1">
      <c r="A455" s="197"/>
      <c r="B455" s="198"/>
      <c r="C455" s="197"/>
      <c r="D455" s="197"/>
      <c r="E455" s="197"/>
      <c r="F455" s="197"/>
      <c r="G455" s="197"/>
      <c r="H455" s="197"/>
      <c r="I455" s="197"/>
      <c r="J455" s="197"/>
      <c r="K455" s="197"/>
      <c r="L455" s="197"/>
      <c r="M455" s="197"/>
      <c r="N455" s="197"/>
      <c r="O455" s="197"/>
      <c r="P455" s="197"/>
      <c r="Q455" s="197"/>
      <c r="R455" s="197"/>
      <c r="S455" s="197"/>
      <c r="T455" s="197"/>
      <c r="U455" s="197"/>
      <c r="V455" s="197"/>
      <c r="W455" s="197"/>
      <c r="X455" s="197"/>
      <c r="Y455" s="197"/>
      <c r="Z455" s="197"/>
    </row>
    <row r="456" ht="12.0" customHeight="1">
      <c r="A456" s="197"/>
      <c r="B456" s="198"/>
      <c r="C456" s="197"/>
      <c r="D456" s="197"/>
      <c r="E456" s="197"/>
      <c r="F456" s="197"/>
      <c r="G456" s="197"/>
      <c r="H456" s="197"/>
      <c r="I456" s="197"/>
      <c r="J456" s="197"/>
      <c r="K456" s="197"/>
      <c r="L456" s="197"/>
      <c r="M456" s="197"/>
      <c r="N456" s="197"/>
      <c r="O456" s="197"/>
      <c r="P456" s="197"/>
      <c r="Q456" s="197"/>
      <c r="R456" s="197"/>
      <c r="S456" s="197"/>
      <c r="T456" s="197"/>
      <c r="U456" s="197"/>
      <c r="V456" s="197"/>
      <c r="W456" s="197"/>
      <c r="X456" s="197"/>
      <c r="Y456" s="197"/>
      <c r="Z456" s="197"/>
    </row>
    <row r="457" ht="12.0" customHeight="1">
      <c r="A457" s="197"/>
      <c r="B457" s="198"/>
      <c r="C457" s="197"/>
      <c r="D457" s="197"/>
      <c r="E457" s="197"/>
      <c r="F457" s="197"/>
      <c r="G457" s="197"/>
      <c r="H457" s="197"/>
      <c r="I457" s="197"/>
      <c r="J457" s="197"/>
      <c r="K457" s="197"/>
      <c r="L457" s="197"/>
      <c r="M457" s="197"/>
      <c r="N457" s="197"/>
      <c r="O457" s="197"/>
      <c r="P457" s="197"/>
      <c r="Q457" s="197"/>
      <c r="R457" s="197"/>
      <c r="S457" s="197"/>
      <c r="T457" s="197"/>
      <c r="U457" s="197"/>
      <c r="V457" s="197"/>
      <c r="W457" s="197"/>
      <c r="X457" s="197"/>
      <c r="Y457" s="197"/>
      <c r="Z457" s="197"/>
    </row>
    <row r="458" ht="12.0" customHeight="1">
      <c r="A458" s="197"/>
      <c r="B458" s="198"/>
      <c r="C458" s="197"/>
      <c r="D458" s="197"/>
      <c r="E458" s="197"/>
      <c r="F458" s="197"/>
      <c r="G458" s="197"/>
      <c r="H458" s="197"/>
      <c r="I458" s="197"/>
      <c r="J458" s="197"/>
      <c r="K458" s="197"/>
      <c r="L458" s="197"/>
      <c r="M458" s="197"/>
      <c r="N458" s="197"/>
      <c r="O458" s="197"/>
      <c r="P458" s="197"/>
      <c r="Q458" s="197"/>
      <c r="R458" s="197"/>
      <c r="S458" s="197"/>
      <c r="T458" s="197"/>
      <c r="U458" s="197"/>
      <c r="V458" s="197"/>
      <c r="W458" s="197"/>
      <c r="X458" s="197"/>
      <c r="Y458" s="197"/>
      <c r="Z458" s="197"/>
    </row>
    <row r="459" ht="12.0" customHeight="1">
      <c r="A459" s="197"/>
      <c r="B459" s="198"/>
      <c r="C459" s="197"/>
      <c r="D459" s="197"/>
      <c r="E459" s="197"/>
      <c r="F459" s="197"/>
      <c r="G459" s="197"/>
      <c r="H459" s="197"/>
      <c r="I459" s="197"/>
      <c r="J459" s="197"/>
      <c r="K459" s="197"/>
      <c r="L459" s="197"/>
      <c r="M459" s="197"/>
      <c r="N459" s="197"/>
      <c r="O459" s="197"/>
      <c r="P459" s="197"/>
      <c r="Q459" s="197"/>
      <c r="R459" s="197"/>
      <c r="S459" s="197"/>
      <c r="T459" s="197"/>
      <c r="U459" s="197"/>
      <c r="V459" s="197"/>
      <c r="W459" s="197"/>
      <c r="X459" s="197"/>
      <c r="Y459" s="197"/>
      <c r="Z459" s="197"/>
    </row>
    <row r="460" ht="12.0" customHeight="1">
      <c r="A460" s="197"/>
      <c r="B460" s="198"/>
      <c r="C460" s="197"/>
      <c r="D460" s="197"/>
      <c r="E460" s="197"/>
      <c r="F460" s="197"/>
      <c r="G460" s="197"/>
      <c r="H460" s="197"/>
      <c r="I460" s="197"/>
      <c r="J460" s="197"/>
      <c r="K460" s="197"/>
      <c r="L460" s="197"/>
      <c r="M460" s="197"/>
      <c r="N460" s="197"/>
      <c r="O460" s="197"/>
      <c r="P460" s="197"/>
      <c r="Q460" s="197"/>
      <c r="R460" s="197"/>
      <c r="S460" s="197"/>
      <c r="T460" s="197"/>
      <c r="U460" s="197"/>
      <c r="V460" s="197"/>
      <c r="W460" s="197"/>
      <c r="X460" s="197"/>
      <c r="Y460" s="197"/>
      <c r="Z460" s="197"/>
    </row>
    <row r="461" ht="12.0" customHeight="1">
      <c r="A461" s="197"/>
      <c r="B461" s="198"/>
      <c r="C461" s="197"/>
      <c r="D461" s="197"/>
      <c r="E461" s="197"/>
      <c r="F461" s="197"/>
      <c r="G461" s="197"/>
      <c r="H461" s="197"/>
      <c r="I461" s="197"/>
      <c r="J461" s="197"/>
      <c r="K461" s="197"/>
      <c r="L461" s="197"/>
      <c r="M461" s="197"/>
      <c r="N461" s="197"/>
      <c r="O461" s="197"/>
      <c r="P461" s="197"/>
      <c r="Q461" s="197"/>
      <c r="R461" s="197"/>
      <c r="S461" s="197"/>
      <c r="T461" s="197"/>
      <c r="U461" s="197"/>
      <c r="V461" s="197"/>
      <c r="W461" s="197"/>
      <c r="X461" s="197"/>
      <c r="Y461" s="197"/>
      <c r="Z461" s="197"/>
    </row>
    <row r="462" ht="12.0" customHeight="1">
      <c r="A462" s="197"/>
      <c r="B462" s="198"/>
      <c r="C462" s="197"/>
      <c r="D462" s="197"/>
      <c r="E462" s="197"/>
      <c r="F462" s="197"/>
      <c r="G462" s="197"/>
      <c r="H462" s="197"/>
      <c r="I462" s="197"/>
      <c r="J462" s="197"/>
      <c r="K462" s="197"/>
      <c r="L462" s="197"/>
      <c r="M462" s="197"/>
      <c r="N462" s="197"/>
      <c r="O462" s="197"/>
      <c r="P462" s="197"/>
      <c r="Q462" s="197"/>
      <c r="R462" s="197"/>
      <c r="S462" s="197"/>
      <c r="T462" s="197"/>
      <c r="U462" s="197"/>
      <c r="V462" s="197"/>
      <c r="W462" s="197"/>
      <c r="X462" s="197"/>
      <c r="Y462" s="197"/>
      <c r="Z462" s="197"/>
    </row>
    <row r="463" ht="12.0" customHeight="1">
      <c r="A463" s="197"/>
      <c r="B463" s="198"/>
      <c r="C463" s="197"/>
      <c r="D463" s="197"/>
      <c r="E463" s="197"/>
      <c r="F463" s="197"/>
      <c r="G463" s="197"/>
      <c r="H463" s="197"/>
      <c r="I463" s="197"/>
      <c r="J463" s="197"/>
      <c r="K463" s="197"/>
      <c r="L463" s="197"/>
      <c r="M463" s="197"/>
      <c r="N463" s="197"/>
      <c r="O463" s="197"/>
      <c r="P463" s="197"/>
      <c r="Q463" s="197"/>
      <c r="R463" s="197"/>
      <c r="S463" s="197"/>
      <c r="T463" s="197"/>
      <c r="U463" s="197"/>
      <c r="V463" s="197"/>
      <c r="W463" s="197"/>
      <c r="X463" s="197"/>
      <c r="Y463" s="197"/>
      <c r="Z463" s="197"/>
    </row>
    <row r="464" ht="12.0" customHeight="1">
      <c r="A464" s="197"/>
      <c r="B464" s="198"/>
      <c r="C464" s="197"/>
      <c r="D464" s="197"/>
      <c r="E464" s="197"/>
      <c r="F464" s="197"/>
      <c r="G464" s="197"/>
      <c r="H464" s="197"/>
      <c r="I464" s="197"/>
      <c r="J464" s="197"/>
      <c r="K464" s="197"/>
      <c r="L464" s="197"/>
      <c r="M464" s="197"/>
      <c r="N464" s="197"/>
      <c r="O464" s="197"/>
      <c r="P464" s="197"/>
      <c r="Q464" s="197"/>
      <c r="R464" s="197"/>
      <c r="S464" s="197"/>
      <c r="T464" s="197"/>
      <c r="U464" s="197"/>
      <c r="V464" s="197"/>
      <c r="W464" s="197"/>
      <c r="X464" s="197"/>
      <c r="Y464" s="197"/>
      <c r="Z464" s="197"/>
    </row>
    <row r="465" ht="12.0" customHeight="1">
      <c r="A465" s="197"/>
      <c r="B465" s="198"/>
      <c r="C465" s="197"/>
      <c r="D465" s="197"/>
      <c r="E465" s="197"/>
      <c r="F465" s="197"/>
      <c r="G465" s="197"/>
      <c r="H465" s="197"/>
      <c r="I465" s="197"/>
      <c r="J465" s="197"/>
      <c r="K465" s="197"/>
      <c r="L465" s="197"/>
      <c r="M465" s="197"/>
      <c r="N465" s="197"/>
      <c r="O465" s="197"/>
      <c r="P465" s="197"/>
      <c r="Q465" s="197"/>
      <c r="R465" s="197"/>
      <c r="S465" s="197"/>
      <c r="T465" s="197"/>
      <c r="U465" s="197"/>
      <c r="V465" s="197"/>
      <c r="W465" s="197"/>
      <c r="X465" s="197"/>
      <c r="Y465" s="197"/>
      <c r="Z465" s="197"/>
    </row>
    <row r="466" ht="12.0" customHeight="1">
      <c r="A466" s="197"/>
      <c r="B466" s="198"/>
      <c r="C466" s="197"/>
      <c r="D466" s="197"/>
      <c r="E466" s="197"/>
      <c r="F466" s="197"/>
      <c r="G466" s="197"/>
      <c r="H466" s="197"/>
      <c r="I466" s="197"/>
      <c r="J466" s="197"/>
      <c r="K466" s="197"/>
      <c r="L466" s="197"/>
      <c r="M466" s="197"/>
      <c r="N466" s="197"/>
      <c r="O466" s="197"/>
      <c r="P466" s="197"/>
      <c r="Q466" s="197"/>
      <c r="R466" s="197"/>
      <c r="S466" s="197"/>
      <c r="T466" s="197"/>
      <c r="U466" s="197"/>
      <c r="V466" s="197"/>
      <c r="W466" s="197"/>
      <c r="X466" s="197"/>
      <c r="Y466" s="197"/>
      <c r="Z466" s="197"/>
    </row>
    <row r="467" ht="12.0" customHeight="1">
      <c r="A467" s="197"/>
      <c r="B467" s="198"/>
      <c r="C467" s="197"/>
      <c r="D467" s="197"/>
      <c r="E467" s="197"/>
      <c r="F467" s="197"/>
      <c r="G467" s="197"/>
      <c r="H467" s="197"/>
      <c r="I467" s="197"/>
      <c r="J467" s="197"/>
      <c r="K467" s="197"/>
      <c r="L467" s="197"/>
      <c r="M467" s="197"/>
      <c r="N467" s="197"/>
      <c r="O467" s="197"/>
      <c r="P467" s="197"/>
      <c r="Q467" s="197"/>
      <c r="R467" s="197"/>
      <c r="S467" s="197"/>
      <c r="T467" s="197"/>
      <c r="U467" s="197"/>
      <c r="V467" s="197"/>
      <c r="W467" s="197"/>
      <c r="X467" s="197"/>
      <c r="Y467" s="197"/>
      <c r="Z467" s="197"/>
    </row>
    <row r="468" ht="12.0" customHeight="1">
      <c r="A468" s="197"/>
      <c r="B468" s="198"/>
      <c r="C468" s="197"/>
      <c r="D468" s="197"/>
      <c r="E468" s="197"/>
      <c r="F468" s="197"/>
      <c r="G468" s="197"/>
      <c r="H468" s="197"/>
      <c r="I468" s="197"/>
      <c r="J468" s="197"/>
      <c r="K468" s="197"/>
      <c r="L468" s="197"/>
      <c r="M468" s="197"/>
      <c r="N468" s="197"/>
      <c r="O468" s="197"/>
      <c r="P468" s="197"/>
      <c r="Q468" s="197"/>
      <c r="R468" s="197"/>
      <c r="S468" s="197"/>
      <c r="T468" s="197"/>
      <c r="U468" s="197"/>
      <c r="V468" s="197"/>
      <c r="W468" s="197"/>
      <c r="X468" s="197"/>
      <c r="Y468" s="197"/>
      <c r="Z468" s="197"/>
    </row>
    <row r="469" ht="12.0" customHeight="1">
      <c r="A469" s="197"/>
      <c r="B469" s="198"/>
      <c r="C469" s="197"/>
      <c r="D469" s="197"/>
      <c r="E469" s="197"/>
      <c r="F469" s="197"/>
      <c r="G469" s="197"/>
      <c r="H469" s="197"/>
      <c r="I469" s="197"/>
      <c r="J469" s="197"/>
      <c r="K469" s="197"/>
      <c r="L469" s="197"/>
      <c r="M469" s="197"/>
      <c r="N469" s="197"/>
      <c r="O469" s="197"/>
      <c r="P469" s="197"/>
      <c r="Q469" s="197"/>
      <c r="R469" s="197"/>
      <c r="S469" s="197"/>
      <c r="T469" s="197"/>
      <c r="U469" s="197"/>
      <c r="V469" s="197"/>
      <c r="W469" s="197"/>
      <c r="X469" s="197"/>
      <c r="Y469" s="197"/>
      <c r="Z469" s="197"/>
    </row>
    <row r="470" ht="12.0" customHeight="1">
      <c r="A470" s="197"/>
      <c r="B470" s="198"/>
      <c r="C470" s="197"/>
      <c r="D470" s="197"/>
      <c r="E470" s="197"/>
      <c r="F470" s="197"/>
      <c r="G470" s="197"/>
      <c r="H470" s="197"/>
      <c r="I470" s="197"/>
      <c r="J470" s="197"/>
      <c r="K470" s="197"/>
      <c r="L470" s="197"/>
      <c r="M470" s="197"/>
      <c r="N470" s="197"/>
      <c r="O470" s="197"/>
      <c r="P470" s="197"/>
      <c r="Q470" s="197"/>
      <c r="R470" s="197"/>
      <c r="S470" s="197"/>
      <c r="T470" s="197"/>
      <c r="U470" s="197"/>
      <c r="V470" s="197"/>
      <c r="W470" s="197"/>
      <c r="X470" s="197"/>
      <c r="Y470" s="197"/>
      <c r="Z470" s="197"/>
    </row>
    <row r="471" ht="12.0" customHeight="1">
      <c r="A471" s="197"/>
      <c r="B471" s="198"/>
      <c r="C471" s="197"/>
      <c r="D471" s="197"/>
      <c r="E471" s="197"/>
      <c r="F471" s="197"/>
      <c r="G471" s="197"/>
      <c r="H471" s="197"/>
      <c r="I471" s="197"/>
      <c r="J471" s="197"/>
      <c r="K471" s="197"/>
      <c r="L471" s="197"/>
      <c r="M471" s="197"/>
      <c r="N471" s="197"/>
      <c r="O471" s="197"/>
      <c r="P471" s="197"/>
      <c r="Q471" s="197"/>
      <c r="R471" s="197"/>
      <c r="S471" s="197"/>
      <c r="T471" s="197"/>
      <c r="U471" s="197"/>
      <c r="V471" s="197"/>
      <c r="W471" s="197"/>
      <c r="X471" s="197"/>
      <c r="Y471" s="197"/>
      <c r="Z471" s="197"/>
    </row>
    <row r="472" ht="12.0" customHeight="1">
      <c r="A472" s="197"/>
      <c r="B472" s="198"/>
      <c r="C472" s="197"/>
      <c r="D472" s="197"/>
      <c r="E472" s="197"/>
      <c r="F472" s="197"/>
      <c r="G472" s="197"/>
      <c r="H472" s="197"/>
      <c r="I472" s="197"/>
      <c r="J472" s="197"/>
      <c r="K472" s="197"/>
      <c r="L472" s="197"/>
      <c r="M472" s="197"/>
      <c r="N472" s="197"/>
      <c r="O472" s="197"/>
      <c r="P472" s="197"/>
      <c r="Q472" s="197"/>
      <c r="R472" s="197"/>
      <c r="S472" s="197"/>
      <c r="T472" s="197"/>
      <c r="U472" s="197"/>
      <c r="V472" s="197"/>
      <c r="W472" s="197"/>
      <c r="X472" s="197"/>
      <c r="Y472" s="197"/>
      <c r="Z472" s="197"/>
    </row>
    <row r="473" ht="12.0" customHeight="1">
      <c r="A473" s="197"/>
      <c r="B473" s="198"/>
      <c r="C473" s="197"/>
      <c r="D473" s="197"/>
      <c r="E473" s="197"/>
      <c r="F473" s="197"/>
      <c r="G473" s="197"/>
      <c r="H473" s="197"/>
      <c r="I473" s="197"/>
      <c r="J473" s="197"/>
      <c r="K473" s="197"/>
      <c r="L473" s="197"/>
      <c r="M473" s="197"/>
      <c r="N473" s="197"/>
      <c r="O473" s="197"/>
      <c r="P473" s="197"/>
      <c r="Q473" s="197"/>
      <c r="R473" s="197"/>
      <c r="S473" s="197"/>
      <c r="T473" s="197"/>
      <c r="U473" s="197"/>
      <c r="V473" s="197"/>
      <c r="W473" s="197"/>
      <c r="X473" s="197"/>
      <c r="Y473" s="197"/>
      <c r="Z473" s="197"/>
    </row>
    <row r="474" ht="12.0" customHeight="1">
      <c r="A474" s="197"/>
      <c r="B474" s="198"/>
      <c r="C474" s="197"/>
      <c r="D474" s="197"/>
      <c r="E474" s="197"/>
      <c r="F474" s="197"/>
      <c r="G474" s="197"/>
      <c r="H474" s="197"/>
      <c r="I474" s="197"/>
      <c r="J474" s="197"/>
      <c r="K474" s="197"/>
      <c r="L474" s="197"/>
      <c r="M474" s="197"/>
      <c r="N474" s="197"/>
      <c r="O474" s="197"/>
      <c r="P474" s="197"/>
      <c r="Q474" s="197"/>
      <c r="R474" s="197"/>
      <c r="S474" s="197"/>
      <c r="T474" s="197"/>
      <c r="U474" s="197"/>
      <c r="V474" s="197"/>
      <c r="W474" s="197"/>
      <c r="X474" s="197"/>
      <c r="Y474" s="197"/>
      <c r="Z474" s="197"/>
    </row>
    <row r="475" ht="12.0" customHeight="1">
      <c r="A475" s="197"/>
      <c r="B475" s="198"/>
      <c r="C475" s="197"/>
      <c r="D475" s="197"/>
      <c r="E475" s="197"/>
      <c r="F475" s="197"/>
      <c r="G475" s="197"/>
      <c r="H475" s="197"/>
      <c r="I475" s="197"/>
      <c r="J475" s="197"/>
      <c r="K475" s="197"/>
      <c r="L475" s="197"/>
      <c r="M475" s="197"/>
      <c r="N475" s="197"/>
      <c r="O475" s="197"/>
      <c r="P475" s="197"/>
      <c r="Q475" s="197"/>
      <c r="R475" s="197"/>
      <c r="S475" s="197"/>
      <c r="T475" s="197"/>
      <c r="U475" s="197"/>
      <c r="V475" s="197"/>
      <c r="W475" s="197"/>
      <c r="X475" s="197"/>
      <c r="Y475" s="197"/>
      <c r="Z475" s="197"/>
    </row>
    <row r="476" ht="12.0" customHeight="1">
      <c r="A476" s="197"/>
      <c r="B476" s="198"/>
      <c r="C476" s="197"/>
      <c r="D476" s="197"/>
      <c r="E476" s="197"/>
      <c r="F476" s="197"/>
      <c r="G476" s="197"/>
      <c r="H476" s="197"/>
      <c r="I476" s="197"/>
      <c r="J476" s="197"/>
      <c r="K476" s="197"/>
      <c r="L476" s="197"/>
      <c r="M476" s="197"/>
      <c r="N476" s="197"/>
      <c r="O476" s="197"/>
      <c r="P476" s="197"/>
      <c r="Q476" s="197"/>
      <c r="R476" s="197"/>
      <c r="S476" s="197"/>
      <c r="T476" s="197"/>
      <c r="U476" s="197"/>
      <c r="V476" s="197"/>
      <c r="W476" s="197"/>
      <c r="X476" s="197"/>
      <c r="Y476" s="197"/>
      <c r="Z476" s="197"/>
    </row>
    <row r="477" ht="12.0" customHeight="1">
      <c r="A477" s="197"/>
      <c r="B477" s="198"/>
      <c r="C477" s="197"/>
      <c r="D477" s="197"/>
      <c r="E477" s="197"/>
      <c r="F477" s="197"/>
      <c r="G477" s="197"/>
      <c r="H477" s="197"/>
      <c r="I477" s="197"/>
      <c r="J477" s="197"/>
      <c r="K477" s="197"/>
      <c r="L477" s="197"/>
      <c r="M477" s="197"/>
      <c r="N477" s="197"/>
      <c r="O477" s="197"/>
      <c r="P477" s="197"/>
      <c r="Q477" s="197"/>
      <c r="R477" s="197"/>
      <c r="S477" s="197"/>
      <c r="T477" s="197"/>
      <c r="U477" s="197"/>
      <c r="V477" s="197"/>
      <c r="W477" s="197"/>
      <c r="X477" s="197"/>
      <c r="Y477" s="197"/>
      <c r="Z477" s="197"/>
    </row>
    <row r="478" ht="12.0" customHeight="1">
      <c r="A478" s="197"/>
      <c r="B478" s="198"/>
      <c r="C478" s="197"/>
      <c r="D478" s="197"/>
      <c r="E478" s="197"/>
      <c r="F478" s="197"/>
      <c r="G478" s="197"/>
      <c r="H478" s="197"/>
      <c r="I478" s="197"/>
      <c r="J478" s="197"/>
      <c r="K478" s="197"/>
      <c r="L478" s="197"/>
      <c r="M478" s="197"/>
      <c r="N478" s="197"/>
      <c r="O478" s="197"/>
      <c r="P478" s="197"/>
      <c r="Q478" s="197"/>
      <c r="R478" s="197"/>
      <c r="S478" s="197"/>
      <c r="T478" s="197"/>
      <c r="U478" s="197"/>
      <c r="V478" s="197"/>
      <c r="W478" s="197"/>
      <c r="X478" s="197"/>
      <c r="Y478" s="197"/>
      <c r="Z478" s="197"/>
    </row>
    <row r="479" ht="12.0" customHeight="1">
      <c r="A479" s="197"/>
      <c r="B479" s="198"/>
      <c r="C479" s="197"/>
      <c r="D479" s="197"/>
      <c r="E479" s="197"/>
      <c r="F479" s="197"/>
      <c r="G479" s="197"/>
      <c r="H479" s="197"/>
      <c r="I479" s="197"/>
      <c r="J479" s="197"/>
      <c r="K479" s="197"/>
      <c r="L479" s="197"/>
      <c r="M479" s="197"/>
      <c r="N479" s="197"/>
      <c r="O479" s="197"/>
      <c r="P479" s="197"/>
      <c r="Q479" s="197"/>
      <c r="R479" s="197"/>
      <c r="S479" s="197"/>
      <c r="T479" s="197"/>
      <c r="U479" s="197"/>
      <c r="V479" s="197"/>
      <c r="W479" s="197"/>
      <c r="X479" s="197"/>
      <c r="Y479" s="197"/>
      <c r="Z479" s="197"/>
    </row>
    <row r="480" ht="12.0" customHeight="1">
      <c r="A480" s="197"/>
      <c r="B480" s="198"/>
      <c r="C480" s="197"/>
      <c r="D480" s="197"/>
      <c r="E480" s="197"/>
      <c r="F480" s="197"/>
      <c r="G480" s="197"/>
      <c r="H480" s="197"/>
      <c r="I480" s="197"/>
      <c r="J480" s="197"/>
      <c r="K480" s="197"/>
      <c r="L480" s="197"/>
      <c r="M480" s="197"/>
      <c r="N480" s="197"/>
      <c r="O480" s="197"/>
      <c r="P480" s="197"/>
      <c r="Q480" s="197"/>
      <c r="R480" s="197"/>
      <c r="S480" s="197"/>
      <c r="T480" s="197"/>
      <c r="U480" s="197"/>
      <c r="V480" s="197"/>
      <c r="W480" s="197"/>
      <c r="X480" s="197"/>
      <c r="Y480" s="197"/>
      <c r="Z480" s="197"/>
    </row>
    <row r="481" ht="12.0" customHeight="1">
      <c r="A481" s="197"/>
      <c r="B481" s="198"/>
      <c r="C481" s="197"/>
      <c r="D481" s="197"/>
      <c r="E481" s="197"/>
      <c r="F481" s="197"/>
      <c r="G481" s="197"/>
      <c r="H481" s="197"/>
      <c r="I481" s="197"/>
      <c r="J481" s="197"/>
      <c r="K481" s="197"/>
      <c r="L481" s="197"/>
      <c r="M481" s="197"/>
      <c r="N481" s="197"/>
      <c r="O481" s="197"/>
      <c r="P481" s="197"/>
      <c r="Q481" s="197"/>
      <c r="R481" s="197"/>
      <c r="S481" s="197"/>
      <c r="T481" s="197"/>
      <c r="U481" s="197"/>
      <c r="V481" s="197"/>
      <c r="W481" s="197"/>
      <c r="X481" s="197"/>
      <c r="Y481" s="197"/>
      <c r="Z481" s="197"/>
    </row>
    <row r="482" ht="12.0" customHeight="1">
      <c r="A482" s="197"/>
      <c r="B482" s="198"/>
      <c r="C482" s="197"/>
      <c r="D482" s="197"/>
      <c r="E482" s="197"/>
      <c r="F482" s="197"/>
      <c r="G482" s="197"/>
      <c r="H482" s="197"/>
      <c r="I482" s="197"/>
      <c r="J482" s="197"/>
      <c r="K482" s="197"/>
      <c r="L482" s="197"/>
      <c r="M482" s="197"/>
      <c r="N482" s="197"/>
      <c r="O482" s="197"/>
      <c r="P482" s="197"/>
      <c r="Q482" s="197"/>
      <c r="R482" s="197"/>
      <c r="S482" s="197"/>
      <c r="T482" s="197"/>
      <c r="U482" s="197"/>
      <c r="V482" s="197"/>
      <c r="W482" s="197"/>
      <c r="X482" s="197"/>
      <c r="Y482" s="197"/>
      <c r="Z482" s="197"/>
    </row>
    <row r="483" ht="12.0" customHeight="1">
      <c r="A483" s="197"/>
      <c r="B483" s="198"/>
      <c r="C483" s="197"/>
      <c r="D483" s="197"/>
      <c r="E483" s="197"/>
      <c r="F483" s="197"/>
      <c r="G483" s="197"/>
      <c r="H483" s="197"/>
      <c r="I483" s="197"/>
      <c r="J483" s="197"/>
      <c r="K483" s="197"/>
      <c r="L483" s="197"/>
      <c r="M483" s="197"/>
      <c r="N483" s="197"/>
      <c r="O483" s="197"/>
      <c r="P483" s="197"/>
      <c r="Q483" s="197"/>
      <c r="R483" s="197"/>
      <c r="S483" s="197"/>
      <c r="T483" s="197"/>
      <c r="U483" s="197"/>
      <c r="V483" s="197"/>
      <c r="W483" s="197"/>
      <c r="X483" s="197"/>
      <c r="Y483" s="197"/>
      <c r="Z483" s="197"/>
    </row>
    <row r="484" ht="12.0" customHeight="1">
      <c r="A484" s="197"/>
      <c r="B484" s="198"/>
      <c r="C484" s="197"/>
      <c r="D484" s="197"/>
      <c r="E484" s="197"/>
      <c r="F484" s="197"/>
      <c r="G484" s="197"/>
      <c r="H484" s="197"/>
      <c r="I484" s="197"/>
      <c r="J484" s="197"/>
      <c r="K484" s="197"/>
      <c r="L484" s="197"/>
      <c r="M484" s="197"/>
      <c r="N484" s="197"/>
      <c r="O484" s="197"/>
      <c r="P484" s="197"/>
      <c r="Q484" s="197"/>
      <c r="R484" s="197"/>
      <c r="S484" s="197"/>
      <c r="T484" s="197"/>
      <c r="U484" s="197"/>
      <c r="V484" s="197"/>
      <c r="W484" s="197"/>
      <c r="X484" s="197"/>
      <c r="Y484" s="197"/>
      <c r="Z484" s="197"/>
    </row>
    <row r="485" ht="12.0" customHeight="1">
      <c r="A485" s="197"/>
      <c r="B485" s="198"/>
      <c r="C485" s="197"/>
      <c r="D485" s="197"/>
      <c r="E485" s="197"/>
      <c r="F485" s="197"/>
      <c r="G485" s="197"/>
      <c r="H485" s="197"/>
      <c r="I485" s="197"/>
      <c r="J485" s="197"/>
      <c r="K485" s="197"/>
      <c r="L485" s="197"/>
      <c r="M485" s="197"/>
      <c r="N485" s="197"/>
      <c r="O485" s="197"/>
      <c r="P485" s="197"/>
      <c r="Q485" s="197"/>
      <c r="R485" s="197"/>
      <c r="S485" s="197"/>
      <c r="T485" s="197"/>
      <c r="U485" s="197"/>
      <c r="V485" s="197"/>
      <c r="W485" s="197"/>
      <c r="X485" s="197"/>
      <c r="Y485" s="197"/>
      <c r="Z485" s="197"/>
    </row>
    <row r="486" ht="12.0" customHeight="1">
      <c r="A486" s="197"/>
      <c r="B486" s="198"/>
      <c r="C486" s="197"/>
      <c r="D486" s="197"/>
      <c r="E486" s="197"/>
      <c r="F486" s="197"/>
      <c r="G486" s="197"/>
      <c r="H486" s="197"/>
      <c r="I486" s="197"/>
      <c r="J486" s="197"/>
      <c r="K486" s="197"/>
      <c r="L486" s="197"/>
      <c r="M486" s="197"/>
      <c r="N486" s="197"/>
      <c r="O486" s="197"/>
      <c r="P486" s="197"/>
      <c r="Q486" s="197"/>
      <c r="R486" s="197"/>
      <c r="S486" s="197"/>
      <c r="T486" s="197"/>
      <c r="U486" s="197"/>
      <c r="V486" s="197"/>
      <c r="W486" s="197"/>
      <c r="X486" s="197"/>
      <c r="Y486" s="197"/>
      <c r="Z486" s="197"/>
    </row>
    <row r="487" ht="12.0" customHeight="1">
      <c r="A487" s="197"/>
      <c r="B487" s="198"/>
      <c r="C487" s="197"/>
      <c r="D487" s="197"/>
      <c r="E487" s="197"/>
      <c r="F487" s="197"/>
      <c r="G487" s="197"/>
      <c r="H487" s="197"/>
      <c r="I487" s="197"/>
      <c r="J487" s="197"/>
      <c r="K487" s="197"/>
      <c r="L487" s="197"/>
      <c r="M487" s="197"/>
      <c r="N487" s="197"/>
      <c r="O487" s="197"/>
      <c r="P487" s="197"/>
      <c r="Q487" s="197"/>
      <c r="R487" s="197"/>
      <c r="S487" s="197"/>
      <c r="T487" s="197"/>
      <c r="U487" s="197"/>
      <c r="V487" s="197"/>
      <c r="W487" s="197"/>
      <c r="X487" s="197"/>
      <c r="Y487" s="197"/>
      <c r="Z487" s="197"/>
    </row>
    <row r="488" ht="12.0" customHeight="1">
      <c r="A488" s="197"/>
      <c r="B488" s="198"/>
      <c r="C488" s="197"/>
      <c r="D488" s="197"/>
      <c r="E488" s="197"/>
      <c r="F488" s="197"/>
      <c r="G488" s="197"/>
      <c r="H488" s="197"/>
      <c r="I488" s="197"/>
      <c r="J488" s="197"/>
      <c r="K488" s="197"/>
      <c r="L488" s="197"/>
      <c r="M488" s="197"/>
      <c r="N488" s="197"/>
      <c r="O488" s="197"/>
      <c r="P488" s="197"/>
      <c r="Q488" s="197"/>
      <c r="R488" s="197"/>
      <c r="S488" s="197"/>
      <c r="T488" s="197"/>
      <c r="U488" s="197"/>
      <c r="V488" s="197"/>
      <c r="W488" s="197"/>
      <c r="X488" s="197"/>
      <c r="Y488" s="197"/>
      <c r="Z488" s="197"/>
    </row>
    <row r="489" ht="12.0" customHeight="1">
      <c r="A489" s="197"/>
      <c r="B489" s="198"/>
      <c r="C489" s="197"/>
      <c r="D489" s="197"/>
      <c r="E489" s="197"/>
      <c r="F489" s="197"/>
      <c r="G489" s="197"/>
      <c r="H489" s="197"/>
      <c r="I489" s="197"/>
      <c r="J489" s="197"/>
      <c r="K489" s="197"/>
      <c r="L489" s="197"/>
      <c r="M489" s="197"/>
      <c r="N489" s="197"/>
      <c r="O489" s="197"/>
      <c r="P489" s="197"/>
      <c r="Q489" s="197"/>
      <c r="R489" s="197"/>
      <c r="S489" s="197"/>
      <c r="T489" s="197"/>
      <c r="U489" s="197"/>
      <c r="V489" s="197"/>
      <c r="W489" s="197"/>
      <c r="X489" s="197"/>
      <c r="Y489" s="197"/>
      <c r="Z489" s="197"/>
    </row>
    <row r="490" ht="12.0" customHeight="1">
      <c r="A490" s="197"/>
      <c r="B490" s="198"/>
      <c r="C490" s="197"/>
      <c r="D490" s="197"/>
      <c r="E490" s="197"/>
      <c r="F490" s="197"/>
      <c r="G490" s="197"/>
      <c r="H490" s="197"/>
      <c r="I490" s="197"/>
      <c r="J490" s="197"/>
      <c r="K490" s="197"/>
      <c r="L490" s="197"/>
      <c r="M490" s="197"/>
      <c r="N490" s="197"/>
      <c r="O490" s="197"/>
      <c r="P490" s="197"/>
      <c r="Q490" s="197"/>
      <c r="R490" s="197"/>
      <c r="S490" s="197"/>
      <c r="T490" s="197"/>
      <c r="U490" s="197"/>
      <c r="V490" s="197"/>
      <c r="W490" s="197"/>
      <c r="X490" s="197"/>
      <c r="Y490" s="197"/>
      <c r="Z490" s="197"/>
    </row>
    <row r="491" ht="12.0" customHeight="1">
      <c r="A491" s="197"/>
      <c r="B491" s="198"/>
      <c r="C491" s="197"/>
      <c r="D491" s="197"/>
      <c r="E491" s="197"/>
      <c r="F491" s="197"/>
      <c r="G491" s="197"/>
      <c r="H491" s="197"/>
      <c r="I491" s="197"/>
      <c r="J491" s="197"/>
      <c r="K491" s="197"/>
      <c r="L491" s="197"/>
      <c r="M491" s="197"/>
      <c r="N491" s="197"/>
      <c r="O491" s="197"/>
      <c r="P491" s="197"/>
      <c r="Q491" s="197"/>
      <c r="R491" s="197"/>
      <c r="S491" s="197"/>
      <c r="T491" s="197"/>
      <c r="U491" s="197"/>
      <c r="V491" s="197"/>
      <c r="W491" s="197"/>
      <c r="X491" s="197"/>
      <c r="Y491" s="197"/>
      <c r="Z491" s="197"/>
    </row>
    <row r="492" ht="12.0" customHeight="1">
      <c r="A492" s="197"/>
      <c r="B492" s="198"/>
      <c r="C492" s="197"/>
      <c r="D492" s="197"/>
      <c r="E492" s="197"/>
      <c r="F492" s="197"/>
      <c r="G492" s="197"/>
      <c r="H492" s="197"/>
      <c r="I492" s="197"/>
      <c r="J492" s="197"/>
      <c r="K492" s="197"/>
      <c r="L492" s="197"/>
      <c r="M492" s="197"/>
      <c r="N492" s="197"/>
      <c r="O492" s="197"/>
      <c r="P492" s="197"/>
      <c r="Q492" s="197"/>
      <c r="R492" s="197"/>
      <c r="S492" s="197"/>
      <c r="T492" s="197"/>
      <c r="U492" s="197"/>
      <c r="V492" s="197"/>
      <c r="W492" s="197"/>
      <c r="X492" s="197"/>
      <c r="Y492" s="197"/>
      <c r="Z492" s="197"/>
    </row>
    <row r="493" ht="12.0" customHeight="1">
      <c r="A493" s="197"/>
      <c r="B493" s="198"/>
      <c r="C493" s="197"/>
      <c r="D493" s="197"/>
      <c r="E493" s="197"/>
      <c r="F493" s="197"/>
      <c r="G493" s="197"/>
      <c r="H493" s="197"/>
      <c r="I493" s="197"/>
      <c r="J493" s="197"/>
      <c r="K493" s="197"/>
      <c r="L493" s="197"/>
      <c r="M493" s="197"/>
      <c r="N493" s="197"/>
      <c r="O493" s="197"/>
      <c r="P493" s="197"/>
      <c r="Q493" s="197"/>
      <c r="R493" s="197"/>
      <c r="S493" s="197"/>
      <c r="T493" s="197"/>
      <c r="U493" s="197"/>
      <c r="V493" s="197"/>
      <c r="W493" s="197"/>
      <c r="X493" s="197"/>
      <c r="Y493" s="197"/>
      <c r="Z493" s="197"/>
    </row>
    <row r="494" ht="12.0" customHeight="1">
      <c r="A494" s="197"/>
      <c r="B494" s="198"/>
      <c r="C494" s="197"/>
      <c r="D494" s="197"/>
      <c r="E494" s="197"/>
      <c r="F494" s="197"/>
      <c r="G494" s="197"/>
      <c r="H494" s="197"/>
      <c r="I494" s="197"/>
      <c r="J494" s="197"/>
      <c r="K494" s="197"/>
      <c r="L494" s="197"/>
      <c r="M494" s="197"/>
      <c r="N494" s="197"/>
      <c r="O494" s="197"/>
      <c r="P494" s="197"/>
      <c r="Q494" s="197"/>
      <c r="R494" s="197"/>
      <c r="S494" s="197"/>
      <c r="T494" s="197"/>
      <c r="U494" s="197"/>
      <c r="V494" s="197"/>
      <c r="W494" s="197"/>
      <c r="X494" s="197"/>
      <c r="Y494" s="197"/>
      <c r="Z494" s="197"/>
    </row>
    <row r="495" ht="12.0" customHeight="1">
      <c r="A495" s="197"/>
      <c r="B495" s="198"/>
      <c r="C495" s="197"/>
      <c r="D495" s="197"/>
      <c r="E495" s="197"/>
      <c r="F495" s="197"/>
      <c r="G495" s="197"/>
      <c r="H495" s="197"/>
      <c r="I495" s="197"/>
      <c r="J495" s="197"/>
      <c r="K495" s="197"/>
      <c r="L495" s="197"/>
      <c r="M495" s="197"/>
      <c r="N495" s="197"/>
      <c r="O495" s="197"/>
      <c r="P495" s="197"/>
      <c r="Q495" s="197"/>
      <c r="R495" s="197"/>
      <c r="S495" s="197"/>
      <c r="T495" s="197"/>
      <c r="U495" s="197"/>
      <c r="V495" s="197"/>
      <c r="W495" s="197"/>
      <c r="X495" s="197"/>
      <c r="Y495" s="197"/>
      <c r="Z495" s="197"/>
    </row>
    <row r="496" ht="12.0" customHeight="1">
      <c r="A496" s="197"/>
      <c r="B496" s="198"/>
      <c r="C496" s="197"/>
      <c r="D496" s="197"/>
      <c r="E496" s="197"/>
      <c r="F496" s="197"/>
      <c r="G496" s="197"/>
      <c r="H496" s="197"/>
      <c r="I496" s="197"/>
      <c r="J496" s="197"/>
      <c r="K496" s="197"/>
      <c r="L496" s="197"/>
      <c r="M496" s="197"/>
      <c r="N496" s="197"/>
      <c r="O496" s="197"/>
      <c r="P496" s="197"/>
      <c r="Q496" s="197"/>
      <c r="R496" s="197"/>
      <c r="S496" s="197"/>
      <c r="T496" s="197"/>
      <c r="U496" s="197"/>
      <c r="V496" s="197"/>
      <c r="W496" s="197"/>
      <c r="X496" s="197"/>
      <c r="Y496" s="197"/>
      <c r="Z496" s="197"/>
    </row>
    <row r="497" ht="12.0" customHeight="1">
      <c r="A497" s="197"/>
      <c r="B497" s="198"/>
      <c r="C497" s="197"/>
      <c r="D497" s="197"/>
      <c r="E497" s="197"/>
      <c r="F497" s="197"/>
      <c r="G497" s="197"/>
      <c r="H497" s="197"/>
      <c r="I497" s="197"/>
      <c r="J497" s="197"/>
      <c r="K497" s="197"/>
      <c r="L497" s="197"/>
      <c r="M497" s="197"/>
      <c r="N497" s="197"/>
      <c r="O497" s="197"/>
      <c r="P497" s="197"/>
      <c r="Q497" s="197"/>
      <c r="R497" s="197"/>
      <c r="S497" s="197"/>
      <c r="T497" s="197"/>
      <c r="U497" s="197"/>
      <c r="V497" s="197"/>
      <c r="W497" s="197"/>
      <c r="X497" s="197"/>
      <c r="Y497" s="197"/>
      <c r="Z497" s="197"/>
    </row>
    <row r="498" ht="12.0" customHeight="1">
      <c r="A498" s="197"/>
      <c r="B498" s="198"/>
      <c r="C498" s="197"/>
      <c r="D498" s="197"/>
      <c r="E498" s="197"/>
      <c r="F498" s="197"/>
      <c r="G498" s="197"/>
      <c r="H498" s="197"/>
      <c r="I498" s="197"/>
      <c r="J498" s="197"/>
      <c r="K498" s="197"/>
      <c r="L498" s="197"/>
      <c r="M498" s="197"/>
      <c r="N498" s="197"/>
      <c r="O498" s="197"/>
      <c r="P498" s="197"/>
      <c r="Q498" s="197"/>
      <c r="R498" s="197"/>
      <c r="S498" s="197"/>
      <c r="T498" s="197"/>
      <c r="U498" s="197"/>
      <c r="V498" s="197"/>
      <c r="W498" s="197"/>
      <c r="X498" s="197"/>
      <c r="Y498" s="197"/>
      <c r="Z498" s="197"/>
    </row>
    <row r="499" ht="12.0" customHeight="1">
      <c r="A499" s="197"/>
      <c r="B499" s="198"/>
      <c r="C499" s="197"/>
      <c r="D499" s="197"/>
      <c r="E499" s="197"/>
      <c r="F499" s="197"/>
      <c r="G499" s="197"/>
      <c r="H499" s="197"/>
      <c r="I499" s="197"/>
      <c r="J499" s="197"/>
      <c r="K499" s="197"/>
      <c r="L499" s="197"/>
      <c r="M499" s="197"/>
      <c r="N499" s="197"/>
      <c r="O499" s="197"/>
      <c r="P499" s="197"/>
      <c r="Q499" s="197"/>
      <c r="R499" s="197"/>
      <c r="S499" s="197"/>
      <c r="T499" s="197"/>
      <c r="U499" s="197"/>
      <c r="V499" s="197"/>
      <c r="W499" s="197"/>
      <c r="X499" s="197"/>
      <c r="Y499" s="197"/>
      <c r="Z499" s="197"/>
    </row>
    <row r="500" ht="12.0" customHeight="1">
      <c r="A500" s="197"/>
      <c r="B500" s="198"/>
      <c r="C500" s="197"/>
      <c r="D500" s="197"/>
      <c r="E500" s="197"/>
      <c r="F500" s="197"/>
      <c r="G500" s="197"/>
      <c r="H500" s="197"/>
      <c r="I500" s="197"/>
      <c r="J500" s="197"/>
      <c r="K500" s="197"/>
      <c r="L500" s="197"/>
      <c r="M500" s="197"/>
      <c r="N500" s="197"/>
      <c r="O500" s="197"/>
      <c r="P500" s="197"/>
      <c r="Q500" s="197"/>
      <c r="R500" s="197"/>
      <c r="S500" s="197"/>
      <c r="T500" s="197"/>
      <c r="U500" s="197"/>
      <c r="V500" s="197"/>
      <c r="W500" s="197"/>
      <c r="X500" s="197"/>
      <c r="Y500" s="197"/>
      <c r="Z500" s="197"/>
    </row>
    <row r="501" ht="12.0" customHeight="1">
      <c r="A501" s="197"/>
      <c r="B501" s="198"/>
      <c r="C501" s="197"/>
      <c r="D501" s="197"/>
      <c r="E501" s="197"/>
      <c r="F501" s="197"/>
      <c r="G501" s="197"/>
      <c r="H501" s="197"/>
      <c r="I501" s="197"/>
      <c r="J501" s="197"/>
      <c r="K501" s="197"/>
      <c r="L501" s="197"/>
      <c r="M501" s="197"/>
      <c r="N501" s="197"/>
      <c r="O501" s="197"/>
      <c r="P501" s="197"/>
      <c r="Q501" s="197"/>
      <c r="R501" s="197"/>
      <c r="S501" s="197"/>
      <c r="T501" s="197"/>
      <c r="U501" s="197"/>
      <c r="V501" s="197"/>
      <c r="W501" s="197"/>
      <c r="X501" s="197"/>
      <c r="Y501" s="197"/>
      <c r="Z501" s="197"/>
    </row>
    <row r="502" ht="12.0" customHeight="1">
      <c r="A502" s="197"/>
      <c r="B502" s="198"/>
      <c r="C502" s="197"/>
      <c r="D502" s="197"/>
      <c r="E502" s="197"/>
      <c r="F502" s="197"/>
      <c r="G502" s="197"/>
      <c r="H502" s="197"/>
      <c r="I502" s="197"/>
      <c r="J502" s="197"/>
      <c r="K502" s="197"/>
      <c r="L502" s="197"/>
      <c r="M502" s="197"/>
      <c r="N502" s="197"/>
      <c r="O502" s="197"/>
      <c r="P502" s="197"/>
      <c r="Q502" s="197"/>
      <c r="R502" s="197"/>
      <c r="S502" s="197"/>
      <c r="T502" s="197"/>
      <c r="U502" s="197"/>
      <c r="V502" s="197"/>
      <c r="W502" s="197"/>
      <c r="X502" s="197"/>
      <c r="Y502" s="197"/>
      <c r="Z502" s="197"/>
    </row>
    <row r="503" ht="12.0" customHeight="1">
      <c r="A503" s="197"/>
      <c r="B503" s="198"/>
      <c r="C503" s="197"/>
      <c r="D503" s="197"/>
      <c r="E503" s="197"/>
      <c r="F503" s="197"/>
      <c r="G503" s="197"/>
      <c r="H503" s="197"/>
      <c r="I503" s="197"/>
      <c r="J503" s="197"/>
      <c r="K503" s="197"/>
      <c r="L503" s="197"/>
      <c r="M503" s="197"/>
      <c r="N503" s="197"/>
      <c r="O503" s="197"/>
      <c r="P503" s="197"/>
      <c r="Q503" s="197"/>
      <c r="R503" s="197"/>
      <c r="S503" s="197"/>
      <c r="T503" s="197"/>
      <c r="U503" s="197"/>
      <c r="V503" s="197"/>
      <c r="W503" s="197"/>
      <c r="X503" s="197"/>
      <c r="Y503" s="197"/>
      <c r="Z503" s="197"/>
    </row>
    <row r="504" ht="12.0" customHeight="1">
      <c r="A504" s="197"/>
      <c r="B504" s="198"/>
      <c r="C504" s="197"/>
      <c r="D504" s="197"/>
      <c r="E504" s="197"/>
      <c r="F504" s="197"/>
      <c r="G504" s="197"/>
      <c r="H504" s="197"/>
      <c r="I504" s="197"/>
      <c r="J504" s="197"/>
      <c r="K504" s="197"/>
      <c r="L504" s="197"/>
      <c r="M504" s="197"/>
      <c r="N504" s="197"/>
      <c r="O504" s="197"/>
      <c r="P504" s="197"/>
      <c r="Q504" s="197"/>
      <c r="R504" s="197"/>
      <c r="S504" s="197"/>
      <c r="T504" s="197"/>
      <c r="U504" s="197"/>
      <c r="V504" s="197"/>
      <c r="W504" s="197"/>
      <c r="X504" s="197"/>
      <c r="Y504" s="197"/>
      <c r="Z504" s="197"/>
    </row>
    <row r="505" ht="12.0" customHeight="1">
      <c r="A505" s="197"/>
      <c r="B505" s="198"/>
      <c r="C505" s="197"/>
      <c r="D505" s="197"/>
      <c r="E505" s="197"/>
      <c r="F505" s="197"/>
      <c r="G505" s="197"/>
      <c r="H505" s="197"/>
      <c r="I505" s="197"/>
      <c r="J505" s="197"/>
      <c r="K505" s="197"/>
      <c r="L505" s="197"/>
      <c r="M505" s="197"/>
      <c r="N505" s="197"/>
      <c r="O505" s="197"/>
      <c r="P505" s="197"/>
      <c r="Q505" s="197"/>
      <c r="R505" s="197"/>
      <c r="S505" s="197"/>
      <c r="T505" s="197"/>
      <c r="U505" s="197"/>
      <c r="V505" s="197"/>
      <c r="W505" s="197"/>
      <c r="X505" s="197"/>
      <c r="Y505" s="197"/>
      <c r="Z505" s="197"/>
    </row>
    <row r="506" ht="12.0" customHeight="1">
      <c r="A506" s="197"/>
      <c r="B506" s="198"/>
      <c r="C506" s="197"/>
      <c r="D506" s="197"/>
      <c r="E506" s="197"/>
      <c r="F506" s="197"/>
      <c r="G506" s="197"/>
      <c r="H506" s="197"/>
      <c r="I506" s="197"/>
      <c r="J506" s="197"/>
      <c r="K506" s="197"/>
      <c r="L506" s="197"/>
      <c r="M506" s="197"/>
      <c r="N506" s="197"/>
      <c r="O506" s="197"/>
      <c r="P506" s="197"/>
      <c r="Q506" s="197"/>
      <c r="R506" s="197"/>
      <c r="S506" s="197"/>
      <c r="T506" s="197"/>
      <c r="U506" s="197"/>
      <c r="V506" s="197"/>
      <c r="W506" s="197"/>
      <c r="X506" s="197"/>
      <c r="Y506" s="197"/>
      <c r="Z506" s="197"/>
    </row>
    <row r="507" ht="12.0" customHeight="1">
      <c r="A507" s="197"/>
      <c r="B507" s="198"/>
      <c r="C507" s="197"/>
      <c r="D507" s="197"/>
      <c r="E507" s="197"/>
      <c r="F507" s="197"/>
      <c r="G507" s="197"/>
      <c r="H507" s="197"/>
      <c r="I507" s="197"/>
      <c r="J507" s="197"/>
      <c r="K507" s="197"/>
      <c r="L507" s="197"/>
      <c r="M507" s="197"/>
      <c r="N507" s="197"/>
      <c r="O507" s="197"/>
      <c r="P507" s="197"/>
      <c r="Q507" s="197"/>
      <c r="R507" s="197"/>
      <c r="S507" s="197"/>
      <c r="T507" s="197"/>
      <c r="U507" s="197"/>
      <c r="V507" s="197"/>
      <c r="W507" s="197"/>
      <c r="X507" s="197"/>
      <c r="Y507" s="197"/>
      <c r="Z507" s="197"/>
    </row>
    <row r="508" ht="12.0" customHeight="1">
      <c r="A508" s="197"/>
      <c r="B508" s="198"/>
      <c r="C508" s="197"/>
      <c r="D508" s="197"/>
      <c r="E508" s="197"/>
      <c r="F508" s="197"/>
      <c r="G508" s="197"/>
      <c r="H508" s="197"/>
      <c r="I508" s="197"/>
      <c r="J508" s="197"/>
      <c r="K508" s="197"/>
      <c r="L508" s="197"/>
      <c r="M508" s="197"/>
      <c r="N508" s="197"/>
      <c r="O508" s="197"/>
      <c r="P508" s="197"/>
      <c r="Q508" s="197"/>
      <c r="R508" s="197"/>
      <c r="S508" s="197"/>
      <c r="T508" s="197"/>
      <c r="U508" s="197"/>
      <c r="V508" s="197"/>
      <c r="W508" s="197"/>
      <c r="X508" s="197"/>
      <c r="Y508" s="197"/>
      <c r="Z508" s="197"/>
    </row>
    <row r="509" ht="12.0" customHeight="1">
      <c r="A509" s="197"/>
      <c r="B509" s="198"/>
      <c r="C509" s="197"/>
      <c r="D509" s="197"/>
      <c r="E509" s="197"/>
      <c r="F509" s="197"/>
      <c r="G509" s="197"/>
      <c r="H509" s="197"/>
      <c r="I509" s="197"/>
      <c r="J509" s="197"/>
      <c r="K509" s="197"/>
      <c r="L509" s="197"/>
      <c r="M509" s="197"/>
      <c r="N509" s="197"/>
      <c r="O509" s="197"/>
      <c r="P509" s="197"/>
      <c r="Q509" s="197"/>
      <c r="R509" s="197"/>
      <c r="S509" s="197"/>
      <c r="T509" s="197"/>
      <c r="U509" s="197"/>
      <c r="V509" s="197"/>
      <c r="W509" s="197"/>
      <c r="X509" s="197"/>
      <c r="Y509" s="197"/>
      <c r="Z509" s="197"/>
    </row>
    <row r="510" ht="12.0" customHeight="1">
      <c r="A510" s="197"/>
      <c r="B510" s="198"/>
      <c r="C510" s="197"/>
      <c r="D510" s="197"/>
      <c r="E510" s="197"/>
      <c r="F510" s="197"/>
      <c r="G510" s="197"/>
      <c r="H510" s="197"/>
      <c r="I510" s="197"/>
      <c r="J510" s="197"/>
      <c r="K510" s="197"/>
      <c r="L510" s="197"/>
      <c r="M510" s="197"/>
      <c r="N510" s="197"/>
      <c r="O510" s="197"/>
      <c r="P510" s="197"/>
      <c r="Q510" s="197"/>
      <c r="R510" s="197"/>
      <c r="S510" s="197"/>
      <c r="T510" s="197"/>
      <c r="U510" s="197"/>
      <c r="V510" s="197"/>
      <c r="W510" s="197"/>
      <c r="X510" s="197"/>
      <c r="Y510" s="197"/>
      <c r="Z510" s="197"/>
    </row>
    <row r="511" ht="12.0" customHeight="1">
      <c r="A511" s="197"/>
      <c r="B511" s="198"/>
      <c r="C511" s="197"/>
      <c r="D511" s="197"/>
      <c r="E511" s="197"/>
      <c r="F511" s="197"/>
      <c r="G511" s="197"/>
      <c r="H511" s="197"/>
      <c r="I511" s="197"/>
      <c r="J511" s="197"/>
      <c r="K511" s="197"/>
      <c r="L511" s="197"/>
      <c r="M511" s="197"/>
      <c r="N511" s="197"/>
      <c r="O511" s="197"/>
      <c r="P511" s="197"/>
      <c r="Q511" s="197"/>
      <c r="R511" s="197"/>
      <c r="S511" s="197"/>
      <c r="T511" s="197"/>
      <c r="U511" s="197"/>
      <c r="V511" s="197"/>
      <c r="W511" s="197"/>
      <c r="X511" s="197"/>
      <c r="Y511" s="197"/>
      <c r="Z511" s="197"/>
    </row>
    <row r="512" ht="12.0" customHeight="1">
      <c r="A512" s="197"/>
      <c r="B512" s="198"/>
      <c r="C512" s="197"/>
      <c r="D512" s="197"/>
      <c r="E512" s="197"/>
      <c r="F512" s="197"/>
      <c r="G512" s="197"/>
      <c r="H512" s="197"/>
      <c r="I512" s="197"/>
      <c r="J512" s="197"/>
      <c r="K512" s="197"/>
      <c r="L512" s="197"/>
      <c r="M512" s="197"/>
      <c r="N512" s="197"/>
      <c r="O512" s="197"/>
      <c r="P512" s="197"/>
      <c r="Q512" s="197"/>
      <c r="R512" s="197"/>
      <c r="S512" s="197"/>
      <c r="T512" s="197"/>
      <c r="U512" s="197"/>
      <c r="V512" s="197"/>
      <c r="W512" s="197"/>
      <c r="X512" s="197"/>
      <c r="Y512" s="197"/>
      <c r="Z512" s="197"/>
    </row>
    <row r="513" ht="12.0" customHeight="1">
      <c r="A513" s="197"/>
      <c r="B513" s="198"/>
      <c r="C513" s="197"/>
      <c r="D513" s="197"/>
      <c r="E513" s="197"/>
      <c r="F513" s="197"/>
      <c r="G513" s="197"/>
      <c r="H513" s="197"/>
      <c r="I513" s="197"/>
      <c r="J513" s="197"/>
      <c r="K513" s="197"/>
      <c r="L513" s="197"/>
      <c r="M513" s="197"/>
      <c r="N513" s="197"/>
      <c r="O513" s="197"/>
      <c r="P513" s="197"/>
      <c r="Q513" s="197"/>
      <c r="R513" s="197"/>
      <c r="S513" s="197"/>
      <c r="T513" s="197"/>
      <c r="U513" s="197"/>
      <c r="V513" s="197"/>
      <c r="W513" s="197"/>
      <c r="X513" s="197"/>
      <c r="Y513" s="197"/>
      <c r="Z513" s="197"/>
    </row>
    <row r="514" ht="12.0" customHeight="1">
      <c r="A514" s="197"/>
      <c r="B514" s="198"/>
      <c r="C514" s="197"/>
      <c r="D514" s="197"/>
      <c r="E514" s="197"/>
      <c r="F514" s="197"/>
      <c r="G514" s="197"/>
      <c r="H514" s="197"/>
      <c r="I514" s="197"/>
      <c r="J514" s="197"/>
      <c r="K514" s="197"/>
      <c r="L514" s="197"/>
      <c r="M514" s="197"/>
      <c r="N514" s="197"/>
      <c r="O514" s="197"/>
      <c r="P514" s="197"/>
      <c r="Q514" s="197"/>
      <c r="R514" s="197"/>
      <c r="S514" s="197"/>
      <c r="T514" s="197"/>
      <c r="U514" s="197"/>
      <c r="V514" s="197"/>
      <c r="W514" s="197"/>
      <c r="X514" s="197"/>
      <c r="Y514" s="197"/>
      <c r="Z514" s="197"/>
    </row>
    <row r="515" ht="12.0" customHeight="1">
      <c r="A515" s="197"/>
      <c r="B515" s="198"/>
      <c r="C515" s="197"/>
      <c r="D515" s="197"/>
      <c r="E515" s="197"/>
      <c r="F515" s="197"/>
      <c r="G515" s="197"/>
      <c r="H515" s="197"/>
      <c r="I515" s="197"/>
      <c r="J515" s="197"/>
      <c r="K515" s="197"/>
      <c r="L515" s="197"/>
      <c r="M515" s="197"/>
      <c r="N515" s="197"/>
      <c r="O515" s="197"/>
      <c r="P515" s="197"/>
      <c r="Q515" s="197"/>
      <c r="R515" s="197"/>
      <c r="S515" s="197"/>
      <c r="T515" s="197"/>
      <c r="U515" s="197"/>
      <c r="V515" s="197"/>
      <c r="W515" s="197"/>
      <c r="X515" s="197"/>
      <c r="Y515" s="197"/>
      <c r="Z515" s="197"/>
    </row>
    <row r="516" ht="12.0" customHeight="1">
      <c r="A516" s="197"/>
      <c r="B516" s="198"/>
      <c r="C516" s="197"/>
      <c r="D516" s="197"/>
      <c r="E516" s="197"/>
      <c r="F516" s="197"/>
      <c r="G516" s="197"/>
      <c r="H516" s="197"/>
      <c r="I516" s="197"/>
      <c r="J516" s="197"/>
      <c r="K516" s="197"/>
      <c r="L516" s="197"/>
      <c r="M516" s="197"/>
      <c r="N516" s="197"/>
      <c r="O516" s="197"/>
      <c r="P516" s="197"/>
      <c r="Q516" s="197"/>
      <c r="R516" s="197"/>
      <c r="S516" s="197"/>
      <c r="T516" s="197"/>
      <c r="U516" s="197"/>
      <c r="V516" s="197"/>
      <c r="W516" s="197"/>
      <c r="X516" s="197"/>
      <c r="Y516" s="197"/>
      <c r="Z516" s="197"/>
    </row>
    <row r="517" ht="12.0" customHeight="1">
      <c r="A517" s="197"/>
      <c r="B517" s="198"/>
      <c r="C517" s="197"/>
      <c r="D517" s="197"/>
      <c r="E517" s="197"/>
      <c r="F517" s="197"/>
      <c r="G517" s="197"/>
      <c r="H517" s="197"/>
      <c r="I517" s="197"/>
      <c r="J517" s="197"/>
      <c r="K517" s="197"/>
      <c r="L517" s="197"/>
      <c r="M517" s="197"/>
      <c r="N517" s="197"/>
      <c r="O517" s="197"/>
      <c r="P517" s="197"/>
      <c r="Q517" s="197"/>
      <c r="R517" s="197"/>
      <c r="S517" s="197"/>
      <c r="T517" s="197"/>
      <c r="U517" s="197"/>
      <c r="V517" s="197"/>
      <c r="W517" s="197"/>
      <c r="X517" s="197"/>
      <c r="Y517" s="197"/>
      <c r="Z517" s="197"/>
    </row>
    <row r="518" ht="12.0" customHeight="1">
      <c r="A518" s="197"/>
      <c r="B518" s="198"/>
      <c r="C518" s="197"/>
      <c r="D518" s="197"/>
      <c r="E518" s="197"/>
      <c r="F518" s="197"/>
      <c r="G518" s="197"/>
      <c r="H518" s="197"/>
      <c r="I518" s="197"/>
      <c r="J518" s="197"/>
      <c r="K518" s="197"/>
      <c r="L518" s="197"/>
      <c r="M518" s="197"/>
      <c r="N518" s="197"/>
      <c r="O518" s="197"/>
      <c r="P518" s="197"/>
      <c r="Q518" s="197"/>
      <c r="R518" s="197"/>
      <c r="S518" s="197"/>
      <c r="T518" s="197"/>
      <c r="U518" s="197"/>
      <c r="V518" s="197"/>
      <c r="W518" s="197"/>
      <c r="X518" s="197"/>
      <c r="Y518" s="197"/>
      <c r="Z518" s="197"/>
    </row>
    <row r="519" ht="12.0" customHeight="1">
      <c r="A519" s="197"/>
      <c r="B519" s="198"/>
      <c r="C519" s="197"/>
      <c r="D519" s="197"/>
      <c r="E519" s="197"/>
      <c r="F519" s="197"/>
      <c r="G519" s="197"/>
      <c r="H519" s="197"/>
      <c r="I519" s="197"/>
      <c r="J519" s="197"/>
      <c r="K519" s="197"/>
      <c r="L519" s="197"/>
      <c r="M519" s="197"/>
      <c r="N519" s="197"/>
      <c r="O519" s="197"/>
      <c r="P519" s="197"/>
      <c r="Q519" s="197"/>
      <c r="R519" s="197"/>
      <c r="S519" s="197"/>
      <c r="T519" s="197"/>
      <c r="U519" s="197"/>
      <c r="V519" s="197"/>
      <c r="W519" s="197"/>
      <c r="X519" s="197"/>
      <c r="Y519" s="197"/>
      <c r="Z519" s="197"/>
    </row>
    <row r="520" ht="12.0" customHeight="1">
      <c r="A520" s="197"/>
      <c r="B520" s="198"/>
      <c r="C520" s="197"/>
      <c r="D520" s="197"/>
      <c r="E520" s="197"/>
      <c r="F520" s="197"/>
      <c r="G520" s="197"/>
      <c r="H520" s="197"/>
      <c r="I520" s="197"/>
      <c r="J520" s="197"/>
      <c r="K520" s="197"/>
      <c r="L520" s="197"/>
      <c r="M520" s="197"/>
      <c r="N520" s="197"/>
      <c r="O520" s="197"/>
      <c r="P520" s="197"/>
      <c r="Q520" s="197"/>
      <c r="R520" s="197"/>
      <c r="S520" s="197"/>
      <c r="T520" s="197"/>
      <c r="U520" s="197"/>
      <c r="V520" s="197"/>
      <c r="W520" s="197"/>
      <c r="X520" s="197"/>
      <c r="Y520" s="197"/>
      <c r="Z520" s="197"/>
    </row>
    <row r="521" ht="12.0" customHeight="1">
      <c r="A521" s="197"/>
      <c r="B521" s="198"/>
      <c r="C521" s="197"/>
      <c r="D521" s="197"/>
      <c r="E521" s="197"/>
      <c r="F521" s="197"/>
      <c r="G521" s="197"/>
      <c r="H521" s="197"/>
      <c r="I521" s="197"/>
      <c r="J521" s="197"/>
      <c r="K521" s="197"/>
      <c r="L521" s="197"/>
      <c r="M521" s="197"/>
      <c r="N521" s="197"/>
      <c r="O521" s="197"/>
      <c r="P521" s="197"/>
      <c r="Q521" s="197"/>
      <c r="R521" s="197"/>
      <c r="S521" s="197"/>
      <c r="T521" s="197"/>
      <c r="U521" s="197"/>
      <c r="V521" s="197"/>
      <c r="W521" s="197"/>
      <c r="X521" s="197"/>
      <c r="Y521" s="197"/>
      <c r="Z521" s="197"/>
    </row>
    <row r="522" ht="12.0" customHeight="1">
      <c r="A522" s="197"/>
      <c r="B522" s="198"/>
      <c r="C522" s="197"/>
      <c r="D522" s="197"/>
      <c r="E522" s="197"/>
      <c r="F522" s="197"/>
      <c r="G522" s="197"/>
      <c r="H522" s="197"/>
      <c r="I522" s="197"/>
      <c r="J522" s="197"/>
      <c r="K522" s="197"/>
      <c r="L522" s="197"/>
      <c r="M522" s="197"/>
      <c r="N522" s="197"/>
      <c r="O522" s="197"/>
      <c r="P522" s="197"/>
      <c r="Q522" s="197"/>
      <c r="R522" s="197"/>
      <c r="S522" s="197"/>
      <c r="T522" s="197"/>
      <c r="U522" s="197"/>
      <c r="V522" s="197"/>
      <c r="W522" s="197"/>
      <c r="X522" s="197"/>
      <c r="Y522" s="197"/>
      <c r="Z522" s="197"/>
    </row>
    <row r="523" ht="12.0" customHeight="1">
      <c r="A523" s="197"/>
      <c r="B523" s="198"/>
      <c r="C523" s="197"/>
      <c r="D523" s="197"/>
      <c r="E523" s="197"/>
      <c r="F523" s="197"/>
      <c r="G523" s="197"/>
      <c r="H523" s="197"/>
      <c r="I523" s="197"/>
      <c r="J523" s="197"/>
      <c r="K523" s="197"/>
      <c r="L523" s="197"/>
      <c r="M523" s="197"/>
      <c r="N523" s="197"/>
      <c r="O523" s="197"/>
      <c r="P523" s="197"/>
      <c r="Q523" s="197"/>
      <c r="R523" s="197"/>
      <c r="S523" s="197"/>
      <c r="T523" s="197"/>
      <c r="U523" s="197"/>
      <c r="V523" s="197"/>
      <c r="W523" s="197"/>
      <c r="X523" s="197"/>
      <c r="Y523" s="197"/>
      <c r="Z523" s="197"/>
    </row>
    <row r="524" ht="12.0" customHeight="1">
      <c r="A524" s="197"/>
      <c r="B524" s="198"/>
      <c r="C524" s="197"/>
      <c r="D524" s="197"/>
      <c r="E524" s="197"/>
      <c r="F524" s="197"/>
      <c r="G524" s="197"/>
      <c r="H524" s="197"/>
      <c r="I524" s="197"/>
      <c r="J524" s="197"/>
      <c r="K524" s="197"/>
      <c r="L524" s="197"/>
      <c r="M524" s="197"/>
      <c r="N524" s="197"/>
      <c r="O524" s="197"/>
      <c r="P524" s="197"/>
      <c r="Q524" s="197"/>
      <c r="R524" s="197"/>
      <c r="S524" s="197"/>
      <c r="T524" s="197"/>
      <c r="U524" s="197"/>
      <c r="V524" s="197"/>
      <c r="W524" s="197"/>
      <c r="X524" s="197"/>
      <c r="Y524" s="197"/>
      <c r="Z524" s="197"/>
    </row>
    <row r="525" ht="12.0" customHeight="1">
      <c r="A525" s="197"/>
      <c r="B525" s="198"/>
      <c r="C525" s="197"/>
      <c r="D525" s="197"/>
      <c r="E525" s="197"/>
      <c r="F525" s="197"/>
      <c r="G525" s="197"/>
      <c r="H525" s="197"/>
      <c r="I525" s="197"/>
      <c r="J525" s="197"/>
      <c r="K525" s="197"/>
      <c r="L525" s="197"/>
      <c r="M525" s="197"/>
      <c r="N525" s="197"/>
      <c r="O525" s="197"/>
      <c r="P525" s="197"/>
      <c r="Q525" s="197"/>
      <c r="R525" s="197"/>
      <c r="S525" s="197"/>
      <c r="T525" s="197"/>
      <c r="U525" s="197"/>
      <c r="V525" s="197"/>
      <c r="W525" s="197"/>
      <c r="X525" s="197"/>
      <c r="Y525" s="197"/>
      <c r="Z525" s="197"/>
    </row>
    <row r="526" ht="12.0" customHeight="1">
      <c r="A526" s="197"/>
      <c r="B526" s="198"/>
      <c r="C526" s="197"/>
      <c r="D526" s="197"/>
      <c r="E526" s="197"/>
      <c r="F526" s="197"/>
      <c r="G526" s="197"/>
      <c r="H526" s="197"/>
      <c r="I526" s="197"/>
      <c r="J526" s="197"/>
      <c r="K526" s="197"/>
      <c r="L526" s="197"/>
      <c r="M526" s="197"/>
      <c r="N526" s="197"/>
      <c r="O526" s="197"/>
      <c r="P526" s="197"/>
      <c r="Q526" s="197"/>
      <c r="R526" s="197"/>
      <c r="S526" s="197"/>
      <c r="T526" s="197"/>
      <c r="U526" s="197"/>
      <c r="V526" s="197"/>
      <c r="W526" s="197"/>
      <c r="X526" s="197"/>
      <c r="Y526" s="197"/>
      <c r="Z526" s="197"/>
    </row>
    <row r="527" ht="12.0" customHeight="1">
      <c r="A527" s="197"/>
      <c r="B527" s="198"/>
      <c r="C527" s="197"/>
      <c r="D527" s="197"/>
      <c r="E527" s="197"/>
      <c r="F527" s="197"/>
      <c r="G527" s="197"/>
      <c r="H527" s="197"/>
      <c r="I527" s="197"/>
      <c r="J527" s="197"/>
      <c r="K527" s="197"/>
      <c r="L527" s="197"/>
      <c r="M527" s="197"/>
      <c r="N527" s="197"/>
      <c r="O527" s="197"/>
      <c r="P527" s="197"/>
      <c r="Q527" s="197"/>
      <c r="R527" s="197"/>
      <c r="S527" s="197"/>
      <c r="T527" s="197"/>
      <c r="U527" s="197"/>
      <c r="V527" s="197"/>
      <c r="W527" s="197"/>
      <c r="X527" s="197"/>
      <c r="Y527" s="197"/>
      <c r="Z527" s="197"/>
    </row>
    <row r="528" ht="12.0" customHeight="1">
      <c r="A528" s="197"/>
      <c r="B528" s="198"/>
      <c r="C528" s="197"/>
      <c r="D528" s="197"/>
      <c r="E528" s="197"/>
      <c r="F528" s="197"/>
      <c r="G528" s="197"/>
      <c r="H528" s="197"/>
      <c r="I528" s="197"/>
      <c r="J528" s="197"/>
      <c r="K528" s="197"/>
      <c r="L528" s="197"/>
      <c r="M528" s="197"/>
      <c r="N528" s="197"/>
      <c r="O528" s="197"/>
      <c r="P528" s="197"/>
      <c r="Q528" s="197"/>
      <c r="R528" s="197"/>
      <c r="S528" s="197"/>
      <c r="T528" s="197"/>
      <c r="U528" s="197"/>
      <c r="V528" s="197"/>
      <c r="W528" s="197"/>
      <c r="X528" s="197"/>
      <c r="Y528" s="197"/>
      <c r="Z528" s="197"/>
    </row>
    <row r="529" ht="12.0" customHeight="1">
      <c r="A529" s="197"/>
      <c r="B529" s="198"/>
      <c r="C529" s="197"/>
      <c r="D529" s="197"/>
      <c r="E529" s="197"/>
      <c r="F529" s="197"/>
      <c r="G529" s="197"/>
      <c r="H529" s="197"/>
      <c r="I529" s="197"/>
      <c r="J529" s="197"/>
      <c r="K529" s="197"/>
      <c r="L529" s="197"/>
      <c r="M529" s="197"/>
      <c r="N529" s="197"/>
      <c r="O529" s="197"/>
      <c r="P529" s="197"/>
      <c r="Q529" s="197"/>
      <c r="R529" s="197"/>
      <c r="S529" s="197"/>
      <c r="T529" s="197"/>
      <c r="U529" s="197"/>
      <c r="V529" s="197"/>
      <c r="W529" s="197"/>
      <c r="X529" s="197"/>
      <c r="Y529" s="197"/>
      <c r="Z529" s="197"/>
    </row>
    <row r="530" ht="12.0" customHeight="1">
      <c r="A530" s="197"/>
      <c r="B530" s="198"/>
      <c r="C530" s="197"/>
      <c r="D530" s="197"/>
      <c r="E530" s="197"/>
      <c r="F530" s="197"/>
      <c r="G530" s="197"/>
      <c r="H530" s="197"/>
      <c r="I530" s="197"/>
      <c r="J530" s="197"/>
      <c r="K530" s="197"/>
      <c r="L530" s="197"/>
      <c r="M530" s="197"/>
      <c r="N530" s="197"/>
      <c r="O530" s="197"/>
      <c r="P530" s="197"/>
      <c r="Q530" s="197"/>
      <c r="R530" s="197"/>
      <c r="S530" s="197"/>
      <c r="T530" s="197"/>
      <c r="U530" s="197"/>
      <c r="V530" s="197"/>
      <c r="W530" s="197"/>
      <c r="X530" s="197"/>
      <c r="Y530" s="197"/>
      <c r="Z530" s="197"/>
    </row>
    <row r="531" ht="12.0" customHeight="1">
      <c r="A531" s="197"/>
      <c r="B531" s="198"/>
      <c r="C531" s="197"/>
      <c r="D531" s="197"/>
      <c r="E531" s="197"/>
      <c r="F531" s="197"/>
      <c r="G531" s="197"/>
      <c r="H531" s="197"/>
      <c r="I531" s="197"/>
      <c r="J531" s="197"/>
      <c r="K531" s="197"/>
      <c r="L531" s="197"/>
      <c r="M531" s="197"/>
      <c r="N531" s="197"/>
      <c r="O531" s="197"/>
      <c r="P531" s="197"/>
      <c r="Q531" s="197"/>
      <c r="R531" s="197"/>
      <c r="S531" s="197"/>
      <c r="T531" s="197"/>
      <c r="U531" s="197"/>
      <c r="V531" s="197"/>
      <c r="W531" s="197"/>
      <c r="X531" s="197"/>
      <c r="Y531" s="197"/>
      <c r="Z531" s="197"/>
    </row>
    <row r="532" ht="12.0" customHeight="1">
      <c r="A532" s="197"/>
      <c r="B532" s="198"/>
      <c r="C532" s="197"/>
      <c r="D532" s="197"/>
      <c r="E532" s="197"/>
      <c r="F532" s="197"/>
      <c r="G532" s="197"/>
      <c r="H532" s="197"/>
      <c r="I532" s="197"/>
      <c r="J532" s="197"/>
      <c r="K532" s="197"/>
      <c r="L532" s="197"/>
      <c r="M532" s="197"/>
      <c r="N532" s="197"/>
      <c r="O532" s="197"/>
      <c r="P532" s="197"/>
      <c r="Q532" s="197"/>
      <c r="R532" s="197"/>
      <c r="S532" s="197"/>
      <c r="T532" s="197"/>
      <c r="U532" s="197"/>
      <c r="V532" s="197"/>
      <c r="W532" s="197"/>
      <c r="X532" s="197"/>
      <c r="Y532" s="197"/>
      <c r="Z532" s="197"/>
    </row>
    <row r="533" ht="12.0" customHeight="1">
      <c r="A533" s="197"/>
      <c r="B533" s="198"/>
      <c r="C533" s="197"/>
      <c r="D533" s="197"/>
      <c r="E533" s="197"/>
      <c r="F533" s="197"/>
      <c r="G533" s="197"/>
      <c r="H533" s="197"/>
      <c r="I533" s="197"/>
      <c r="J533" s="197"/>
      <c r="K533" s="197"/>
      <c r="L533" s="197"/>
      <c r="M533" s="197"/>
      <c r="N533" s="197"/>
      <c r="O533" s="197"/>
      <c r="P533" s="197"/>
      <c r="Q533" s="197"/>
      <c r="R533" s="197"/>
      <c r="S533" s="197"/>
      <c r="T533" s="197"/>
      <c r="U533" s="197"/>
      <c r="V533" s="197"/>
      <c r="W533" s="197"/>
      <c r="X533" s="197"/>
      <c r="Y533" s="197"/>
      <c r="Z533" s="197"/>
    </row>
    <row r="534" ht="12.0" customHeight="1">
      <c r="A534" s="197"/>
      <c r="B534" s="198"/>
      <c r="C534" s="197"/>
      <c r="D534" s="197"/>
      <c r="E534" s="197"/>
      <c r="F534" s="197"/>
      <c r="G534" s="197"/>
      <c r="H534" s="197"/>
      <c r="I534" s="197"/>
      <c r="J534" s="197"/>
      <c r="K534" s="197"/>
      <c r="L534" s="197"/>
      <c r="M534" s="197"/>
      <c r="N534" s="197"/>
      <c r="O534" s="197"/>
      <c r="P534" s="197"/>
      <c r="Q534" s="197"/>
      <c r="R534" s="197"/>
      <c r="S534" s="197"/>
      <c r="T534" s="197"/>
      <c r="U534" s="197"/>
      <c r="V534" s="197"/>
      <c r="W534" s="197"/>
      <c r="X534" s="197"/>
      <c r="Y534" s="197"/>
      <c r="Z534" s="197"/>
    </row>
    <row r="535" ht="12.0" customHeight="1">
      <c r="A535" s="197"/>
      <c r="B535" s="198"/>
      <c r="C535" s="197"/>
      <c r="D535" s="197"/>
      <c r="E535" s="197"/>
      <c r="F535" s="197"/>
      <c r="G535" s="197"/>
      <c r="H535" s="197"/>
      <c r="I535" s="197"/>
      <c r="J535" s="197"/>
      <c r="K535" s="197"/>
      <c r="L535" s="197"/>
      <c r="M535" s="197"/>
      <c r="N535" s="197"/>
      <c r="O535" s="197"/>
      <c r="P535" s="197"/>
      <c r="Q535" s="197"/>
      <c r="R535" s="197"/>
      <c r="S535" s="197"/>
      <c r="T535" s="197"/>
      <c r="U535" s="197"/>
      <c r="V535" s="197"/>
      <c r="W535" s="197"/>
      <c r="X535" s="197"/>
      <c r="Y535" s="197"/>
      <c r="Z535" s="197"/>
    </row>
    <row r="536" ht="12.0" customHeight="1">
      <c r="A536" s="197"/>
      <c r="B536" s="198"/>
      <c r="C536" s="197"/>
      <c r="D536" s="197"/>
      <c r="E536" s="197"/>
      <c r="F536" s="197"/>
      <c r="G536" s="197"/>
      <c r="H536" s="197"/>
      <c r="I536" s="197"/>
      <c r="J536" s="197"/>
      <c r="K536" s="197"/>
      <c r="L536" s="197"/>
      <c r="M536" s="197"/>
      <c r="N536" s="197"/>
      <c r="O536" s="197"/>
      <c r="P536" s="197"/>
      <c r="Q536" s="197"/>
      <c r="R536" s="197"/>
      <c r="S536" s="197"/>
      <c r="T536" s="197"/>
      <c r="U536" s="197"/>
      <c r="V536" s="197"/>
      <c r="W536" s="197"/>
      <c r="X536" s="197"/>
      <c r="Y536" s="197"/>
      <c r="Z536" s="197"/>
    </row>
    <row r="537" ht="12.0" customHeight="1">
      <c r="A537" s="197"/>
      <c r="B537" s="198"/>
      <c r="C537" s="197"/>
      <c r="D537" s="197"/>
      <c r="E537" s="197"/>
      <c r="F537" s="197"/>
      <c r="G537" s="197"/>
      <c r="H537" s="197"/>
      <c r="I537" s="197"/>
      <c r="J537" s="197"/>
      <c r="K537" s="197"/>
      <c r="L537" s="197"/>
      <c r="M537" s="197"/>
      <c r="N537" s="197"/>
      <c r="O537" s="197"/>
      <c r="P537" s="197"/>
      <c r="Q537" s="197"/>
      <c r="R537" s="197"/>
      <c r="S537" s="197"/>
      <c r="T537" s="197"/>
      <c r="U537" s="197"/>
      <c r="V537" s="197"/>
      <c r="W537" s="197"/>
      <c r="X537" s="197"/>
      <c r="Y537" s="197"/>
      <c r="Z537" s="197"/>
    </row>
    <row r="538" ht="12.0" customHeight="1">
      <c r="A538" s="197"/>
      <c r="B538" s="198"/>
      <c r="C538" s="197"/>
      <c r="D538" s="197"/>
      <c r="E538" s="197"/>
      <c r="F538" s="197"/>
      <c r="G538" s="197"/>
      <c r="H538" s="197"/>
      <c r="I538" s="197"/>
      <c r="J538" s="197"/>
      <c r="K538" s="197"/>
      <c r="L538" s="197"/>
      <c r="M538" s="197"/>
      <c r="N538" s="197"/>
      <c r="O538" s="197"/>
      <c r="P538" s="197"/>
      <c r="Q538" s="197"/>
      <c r="R538" s="197"/>
      <c r="S538" s="197"/>
      <c r="T538" s="197"/>
      <c r="U538" s="197"/>
      <c r="V538" s="197"/>
      <c r="W538" s="197"/>
      <c r="X538" s="197"/>
      <c r="Y538" s="197"/>
      <c r="Z538" s="197"/>
    </row>
    <row r="539" ht="12.0" customHeight="1">
      <c r="A539" s="197"/>
      <c r="B539" s="198"/>
      <c r="C539" s="197"/>
      <c r="D539" s="197"/>
      <c r="E539" s="197"/>
      <c r="F539" s="197"/>
      <c r="G539" s="197"/>
      <c r="H539" s="197"/>
      <c r="I539" s="197"/>
      <c r="J539" s="197"/>
      <c r="K539" s="197"/>
      <c r="L539" s="197"/>
      <c r="M539" s="197"/>
      <c r="N539" s="197"/>
      <c r="O539" s="197"/>
      <c r="P539" s="197"/>
      <c r="Q539" s="197"/>
      <c r="R539" s="197"/>
      <c r="S539" s="197"/>
      <c r="T539" s="197"/>
      <c r="U539" s="197"/>
      <c r="V539" s="197"/>
      <c r="W539" s="197"/>
      <c r="X539" s="197"/>
      <c r="Y539" s="197"/>
      <c r="Z539" s="197"/>
    </row>
    <row r="540" ht="12.0" customHeight="1">
      <c r="A540" s="197"/>
      <c r="B540" s="198"/>
      <c r="C540" s="197"/>
      <c r="D540" s="197"/>
      <c r="E540" s="197"/>
      <c r="F540" s="197"/>
      <c r="G540" s="197"/>
      <c r="H540" s="197"/>
      <c r="I540" s="197"/>
      <c r="J540" s="197"/>
      <c r="K540" s="197"/>
      <c r="L540" s="197"/>
      <c r="M540" s="197"/>
      <c r="N540" s="197"/>
      <c r="O540" s="197"/>
      <c r="P540" s="197"/>
      <c r="Q540" s="197"/>
      <c r="R540" s="197"/>
      <c r="S540" s="197"/>
      <c r="T540" s="197"/>
      <c r="U540" s="197"/>
      <c r="V540" s="197"/>
      <c r="W540" s="197"/>
      <c r="X540" s="197"/>
      <c r="Y540" s="197"/>
      <c r="Z540" s="197"/>
    </row>
    <row r="541" ht="12.0" customHeight="1">
      <c r="A541" s="197"/>
      <c r="B541" s="198"/>
      <c r="C541" s="197"/>
      <c r="D541" s="197"/>
      <c r="E541" s="197"/>
      <c r="F541" s="197"/>
      <c r="G541" s="197"/>
      <c r="H541" s="197"/>
      <c r="I541" s="197"/>
      <c r="J541" s="197"/>
      <c r="K541" s="197"/>
      <c r="L541" s="197"/>
      <c r="M541" s="197"/>
      <c r="N541" s="197"/>
      <c r="O541" s="197"/>
      <c r="P541" s="197"/>
      <c r="Q541" s="197"/>
      <c r="R541" s="197"/>
      <c r="S541" s="197"/>
      <c r="T541" s="197"/>
      <c r="U541" s="197"/>
      <c r="V541" s="197"/>
      <c r="W541" s="197"/>
      <c r="X541" s="197"/>
      <c r="Y541" s="197"/>
      <c r="Z541" s="197"/>
    </row>
    <row r="542" ht="12.0" customHeight="1">
      <c r="A542" s="197"/>
      <c r="B542" s="198"/>
      <c r="C542" s="197"/>
      <c r="D542" s="197"/>
      <c r="E542" s="197"/>
      <c r="F542" s="197"/>
      <c r="G542" s="197"/>
      <c r="H542" s="197"/>
      <c r="I542" s="197"/>
      <c r="J542" s="197"/>
      <c r="K542" s="197"/>
      <c r="L542" s="197"/>
      <c r="M542" s="197"/>
      <c r="N542" s="197"/>
      <c r="O542" s="197"/>
      <c r="P542" s="197"/>
      <c r="Q542" s="197"/>
      <c r="R542" s="197"/>
      <c r="S542" s="197"/>
      <c r="T542" s="197"/>
      <c r="U542" s="197"/>
      <c r="V542" s="197"/>
      <c r="W542" s="197"/>
      <c r="X542" s="197"/>
      <c r="Y542" s="197"/>
      <c r="Z542" s="197"/>
    </row>
    <row r="543" ht="12.0" customHeight="1">
      <c r="A543" s="197"/>
      <c r="B543" s="198"/>
      <c r="C543" s="197"/>
      <c r="D543" s="197"/>
      <c r="E543" s="197"/>
      <c r="F543" s="197"/>
      <c r="G543" s="197"/>
      <c r="H543" s="197"/>
      <c r="I543" s="197"/>
      <c r="J543" s="197"/>
      <c r="K543" s="197"/>
      <c r="L543" s="197"/>
      <c r="M543" s="197"/>
      <c r="N543" s="197"/>
      <c r="O543" s="197"/>
      <c r="P543" s="197"/>
      <c r="Q543" s="197"/>
      <c r="R543" s="197"/>
      <c r="S543" s="197"/>
      <c r="T543" s="197"/>
      <c r="U543" s="197"/>
      <c r="V543" s="197"/>
      <c r="W543" s="197"/>
      <c r="X543" s="197"/>
      <c r="Y543" s="197"/>
      <c r="Z543" s="197"/>
    </row>
    <row r="544" ht="12.0" customHeight="1">
      <c r="A544" s="197"/>
      <c r="B544" s="198"/>
      <c r="C544" s="197"/>
      <c r="D544" s="197"/>
      <c r="E544" s="197"/>
      <c r="F544" s="197"/>
      <c r="G544" s="197"/>
      <c r="H544" s="197"/>
      <c r="I544" s="197"/>
      <c r="J544" s="197"/>
      <c r="K544" s="197"/>
      <c r="L544" s="197"/>
      <c r="M544" s="197"/>
      <c r="N544" s="197"/>
      <c r="O544" s="197"/>
      <c r="P544" s="197"/>
      <c r="Q544" s="197"/>
      <c r="R544" s="197"/>
      <c r="S544" s="197"/>
      <c r="T544" s="197"/>
      <c r="U544" s="197"/>
      <c r="V544" s="197"/>
      <c r="W544" s="197"/>
      <c r="X544" s="197"/>
      <c r="Y544" s="197"/>
      <c r="Z544" s="197"/>
    </row>
    <row r="545" ht="12.0" customHeight="1">
      <c r="A545" s="197"/>
      <c r="B545" s="198"/>
      <c r="C545" s="197"/>
      <c r="D545" s="197"/>
      <c r="E545" s="197"/>
      <c r="F545" s="197"/>
      <c r="G545" s="197"/>
      <c r="H545" s="197"/>
      <c r="I545" s="197"/>
      <c r="J545" s="197"/>
      <c r="K545" s="197"/>
      <c r="L545" s="197"/>
      <c r="M545" s="197"/>
      <c r="N545" s="197"/>
      <c r="O545" s="197"/>
      <c r="P545" s="197"/>
      <c r="Q545" s="197"/>
      <c r="R545" s="197"/>
      <c r="S545" s="197"/>
      <c r="T545" s="197"/>
      <c r="U545" s="197"/>
      <c r="V545" s="197"/>
      <c r="W545" s="197"/>
      <c r="X545" s="197"/>
      <c r="Y545" s="197"/>
      <c r="Z545" s="197"/>
    </row>
    <row r="546" ht="12.0" customHeight="1">
      <c r="A546" s="197"/>
      <c r="B546" s="198"/>
      <c r="C546" s="197"/>
      <c r="D546" s="197"/>
      <c r="E546" s="197"/>
      <c r="F546" s="197"/>
      <c r="G546" s="197"/>
      <c r="H546" s="197"/>
      <c r="I546" s="197"/>
      <c r="J546" s="197"/>
      <c r="K546" s="197"/>
      <c r="L546" s="197"/>
      <c r="M546" s="197"/>
      <c r="N546" s="197"/>
      <c r="O546" s="197"/>
      <c r="P546" s="197"/>
      <c r="Q546" s="197"/>
      <c r="R546" s="197"/>
      <c r="S546" s="197"/>
      <c r="T546" s="197"/>
      <c r="U546" s="197"/>
      <c r="V546" s="197"/>
      <c r="W546" s="197"/>
      <c r="X546" s="197"/>
      <c r="Y546" s="197"/>
      <c r="Z546" s="197"/>
    </row>
    <row r="547" ht="12.0" customHeight="1">
      <c r="A547" s="197"/>
      <c r="B547" s="198"/>
      <c r="C547" s="197"/>
      <c r="D547" s="197"/>
      <c r="E547" s="197"/>
      <c r="F547" s="197"/>
      <c r="G547" s="197"/>
      <c r="H547" s="197"/>
      <c r="I547" s="197"/>
      <c r="J547" s="197"/>
      <c r="K547" s="197"/>
      <c r="L547" s="197"/>
      <c r="M547" s="197"/>
      <c r="N547" s="197"/>
      <c r="O547" s="197"/>
      <c r="P547" s="197"/>
      <c r="Q547" s="197"/>
      <c r="R547" s="197"/>
      <c r="S547" s="197"/>
      <c r="T547" s="197"/>
      <c r="U547" s="197"/>
      <c r="V547" s="197"/>
      <c r="W547" s="197"/>
      <c r="X547" s="197"/>
      <c r="Y547" s="197"/>
      <c r="Z547" s="197"/>
    </row>
    <row r="548" ht="12.0" customHeight="1">
      <c r="A548" s="197"/>
      <c r="B548" s="198"/>
      <c r="C548" s="197"/>
      <c r="D548" s="197"/>
      <c r="E548" s="197"/>
      <c r="F548" s="197"/>
      <c r="G548" s="197"/>
      <c r="H548" s="197"/>
      <c r="I548" s="197"/>
      <c r="J548" s="197"/>
      <c r="K548" s="197"/>
      <c r="L548" s="197"/>
      <c r="M548" s="197"/>
      <c r="N548" s="197"/>
      <c r="O548" s="197"/>
      <c r="P548" s="197"/>
      <c r="Q548" s="197"/>
      <c r="R548" s="197"/>
      <c r="S548" s="197"/>
      <c r="T548" s="197"/>
      <c r="U548" s="197"/>
      <c r="V548" s="197"/>
      <c r="W548" s="197"/>
      <c r="X548" s="197"/>
      <c r="Y548" s="197"/>
      <c r="Z548" s="197"/>
    </row>
    <row r="549" ht="12.0" customHeight="1">
      <c r="A549" s="197"/>
      <c r="B549" s="198"/>
      <c r="C549" s="197"/>
      <c r="D549" s="197"/>
      <c r="E549" s="197"/>
      <c r="F549" s="197"/>
      <c r="G549" s="197"/>
      <c r="H549" s="197"/>
      <c r="I549" s="197"/>
      <c r="J549" s="197"/>
      <c r="K549" s="197"/>
      <c r="L549" s="197"/>
      <c r="M549" s="197"/>
      <c r="N549" s="197"/>
      <c r="O549" s="197"/>
      <c r="P549" s="197"/>
      <c r="Q549" s="197"/>
      <c r="R549" s="197"/>
      <c r="S549" s="197"/>
      <c r="T549" s="197"/>
      <c r="U549" s="197"/>
      <c r="V549" s="197"/>
      <c r="W549" s="197"/>
      <c r="X549" s="197"/>
      <c r="Y549" s="197"/>
      <c r="Z549" s="197"/>
    </row>
    <row r="550" ht="12.0" customHeight="1">
      <c r="A550" s="197"/>
      <c r="B550" s="198"/>
      <c r="C550" s="197"/>
      <c r="D550" s="197"/>
      <c r="E550" s="197"/>
      <c r="F550" s="197"/>
      <c r="G550" s="197"/>
      <c r="H550" s="197"/>
      <c r="I550" s="197"/>
      <c r="J550" s="197"/>
      <c r="K550" s="197"/>
      <c r="L550" s="197"/>
      <c r="M550" s="197"/>
      <c r="N550" s="197"/>
      <c r="O550" s="197"/>
      <c r="P550" s="197"/>
      <c r="Q550" s="197"/>
      <c r="R550" s="197"/>
      <c r="S550" s="197"/>
      <c r="T550" s="197"/>
      <c r="U550" s="197"/>
      <c r="V550" s="197"/>
      <c r="W550" s="197"/>
      <c r="X550" s="197"/>
      <c r="Y550" s="197"/>
      <c r="Z550" s="197"/>
    </row>
    <row r="551" ht="12.0" customHeight="1">
      <c r="A551" s="197"/>
      <c r="B551" s="198"/>
      <c r="C551" s="197"/>
      <c r="D551" s="197"/>
      <c r="E551" s="197"/>
      <c r="F551" s="197"/>
      <c r="G551" s="197"/>
      <c r="H551" s="197"/>
      <c r="I551" s="197"/>
      <c r="J551" s="197"/>
      <c r="K551" s="197"/>
      <c r="L551" s="197"/>
      <c r="M551" s="197"/>
      <c r="N551" s="197"/>
      <c r="O551" s="197"/>
      <c r="P551" s="197"/>
      <c r="Q551" s="197"/>
      <c r="R551" s="197"/>
      <c r="S551" s="197"/>
      <c r="T551" s="197"/>
      <c r="U551" s="197"/>
      <c r="V551" s="197"/>
      <c r="W551" s="197"/>
      <c r="X551" s="197"/>
      <c r="Y551" s="197"/>
      <c r="Z551" s="197"/>
    </row>
    <row r="552" ht="12.0" customHeight="1">
      <c r="A552" s="197"/>
      <c r="B552" s="198"/>
      <c r="C552" s="197"/>
      <c r="D552" s="197"/>
      <c r="E552" s="197"/>
      <c r="F552" s="197"/>
      <c r="G552" s="197"/>
      <c r="H552" s="197"/>
      <c r="I552" s="197"/>
      <c r="J552" s="197"/>
      <c r="K552" s="197"/>
      <c r="L552" s="197"/>
      <c r="M552" s="197"/>
      <c r="N552" s="197"/>
      <c r="O552" s="197"/>
      <c r="P552" s="197"/>
      <c r="Q552" s="197"/>
      <c r="R552" s="197"/>
      <c r="S552" s="197"/>
      <c r="T552" s="197"/>
      <c r="U552" s="197"/>
      <c r="V552" s="197"/>
      <c r="W552" s="197"/>
      <c r="X552" s="197"/>
      <c r="Y552" s="197"/>
      <c r="Z552" s="197"/>
    </row>
    <row r="553" ht="12.0" customHeight="1">
      <c r="A553" s="197"/>
      <c r="B553" s="198"/>
      <c r="C553" s="197"/>
      <c r="D553" s="197"/>
      <c r="E553" s="197"/>
      <c r="F553" s="197"/>
      <c r="G553" s="197"/>
      <c r="H553" s="197"/>
      <c r="I553" s="197"/>
      <c r="J553" s="197"/>
      <c r="K553" s="197"/>
      <c r="L553" s="197"/>
      <c r="M553" s="197"/>
      <c r="N553" s="197"/>
      <c r="O553" s="197"/>
      <c r="P553" s="197"/>
      <c r="Q553" s="197"/>
      <c r="R553" s="197"/>
      <c r="S553" s="197"/>
      <c r="T553" s="197"/>
      <c r="U553" s="197"/>
      <c r="V553" s="197"/>
      <c r="W553" s="197"/>
      <c r="X553" s="197"/>
      <c r="Y553" s="197"/>
      <c r="Z553" s="197"/>
    </row>
    <row r="554" ht="12.0" customHeight="1">
      <c r="A554" s="197"/>
      <c r="B554" s="198"/>
      <c r="C554" s="197"/>
      <c r="D554" s="197"/>
      <c r="E554" s="197"/>
      <c r="F554" s="197"/>
      <c r="G554" s="197"/>
      <c r="H554" s="197"/>
      <c r="I554" s="197"/>
      <c r="J554" s="197"/>
      <c r="K554" s="197"/>
      <c r="L554" s="197"/>
      <c r="M554" s="197"/>
      <c r="N554" s="197"/>
      <c r="O554" s="197"/>
      <c r="P554" s="197"/>
      <c r="Q554" s="197"/>
      <c r="R554" s="197"/>
      <c r="S554" s="197"/>
      <c r="T554" s="197"/>
      <c r="U554" s="197"/>
      <c r="V554" s="197"/>
      <c r="W554" s="197"/>
      <c r="X554" s="197"/>
      <c r="Y554" s="197"/>
      <c r="Z554" s="197"/>
    </row>
    <row r="555" ht="12.0" customHeight="1">
      <c r="A555" s="197"/>
      <c r="B555" s="198"/>
      <c r="C555" s="197"/>
      <c r="D555" s="197"/>
      <c r="E555" s="197"/>
      <c r="F555" s="197"/>
      <c r="G555" s="197"/>
      <c r="H555" s="197"/>
      <c r="I555" s="197"/>
      <c r="J555" s="197"/>
      <c r="K555" s="197"/>
      <c r="L555" s="197"/>
      <c r="M555" s="197"/>
      <c r="N555" s="197"/>
      <c r="O555" s="197"/>
      <c r="P555" s="197"/>
      <c r="Q555" s="197"/>
      <c r="R555" s="197"/>
      <c r="S555" s="197"/>
      <c r="T555" s="197"/>
      <c r="U555" s="197"/>
      <c r="V555" s="197"/>
      <c r="W555" s="197"/>
      <c r="X555" s="197"/>
      <c r="Y555" s="197"/>
      <c r="Z555" s="197"/>
    </row>
    <row r="556" ht="12.0" customHeight="1">
      <c r="A556" s="197"/>
      <c r="B556" s="198"/>
      <c r="C556" s="197"/>
      <c r="D556" s="197"/>
      <c r="E556" s="197"/>
      <c r="F556" s="197"/>
      <c r="G556" s="197"/>
      <c r="H556" s="197"/>
      <c r="I556" s="197"/>
      <c r="J556" s="197"/>
      <c r="K556" s="197"/>
      <c r="L556" s="197"/>
      <c r="M556" s="197"/>
      <c r="N556" s="197"/>
      <c r="O556" s="197"/>
      <c r="P556" s="197"/>
      <c r="Q556" s="197"/>
      <c r="R556" s="197"/>
      <c r="S556" s="197"/>
      <c r="T556" s="197"/>
      <c r="U556" s="197"/>
      <c r="V556" s="197"/>
      <c r="W556" s="197"/>
      <c r="X556" s="197"/>
      <c r="Y556" s="197"/>
      <c r="Z556" s="197"/>
    </row>
    <row r="557" ht="12.0" customHeight="1">
      <c r="A557" s="197"/>
      <c r="B557" s="198"/>
      <c r="C557" s="197"/>
      <c r="D557" s="197"/>
      <c r="E557" s="197"/>
      <c r="F557" s="197"/>
      <c r="G557" s="197"/>
      <c r="H557" s="197"/>
      <c r="I557" s="197"/>
      <c r="J557" s="197"/>
      <c r="K557" s="197"/>
      <c r="L557" s="197"/>
      <c r="M557" s="197"/>
      <c r="N557" s="197"/>
      <c r="O557" s="197"/>
      <c r="P557" s="197"/>
      <c r="Q557" s="197"/>
      <c r="R557" s="197"/>
      <c r="S557" s="197"/>
      <c r="T557" s="197"/>
      <c r="U557" s="197"/>
      <c r="V557" s="197"/>
      <c r="W557" s="197"/>
      <c r="X557" s="197"/>
      <c r="Y557" s="197"/>
      <c r="Z557" s="197"/>
    </row>
    <row r="558" ht="12.0" customHeight="1">
      <c r="A558" s="197"/>
      <c r="B558" s="198"/>
      <c r="C558" s="197"/>
      <c r="D558" s="197"/>
      <c r="E558" s="197"/>
      <c r="F558" s="197"/>
      <c r="G558" s="197"/>
      <c r="H558" s="197"/>
      <c r="I558" s="197"/>
      <c r="J558" s="197"/>
      <c r="K558" s="197"/>
      <c r="L558" s="197"/>
      <c r="M558" s="197"/>
      <c r="N558" s="197"/>
      <c r="O558" s="197"/>
      <c r="P558" s="197"/>
      <c r="Q558" s="197"/>
      <c r="R558" s="197"/>
      <c r="S558" s="197"/>
      <c r="T558" s="197"/>
      <c r="U558" s="197"/>
      <c r="V558" s="197"/>
      <c r="W558" s="197"/>
      <c r="X558" s="197"/>
      <c r="Y558" s="197"/>
      <c r="Z558" s="197"/>
    </row>
    <row r="559" ht="12.0" customHeight="1">
      <c r="A559" s="197"/>
      <c r="B559" s="198"/>
      <c r="C559" s="197"/>
      <c r="D559" s="197"/>
      <c r="E559" s="197"/>
      <c r="F559" s="197"/>
      <c r="G559" s="197"/>
      <c r="H559" s="197"/>
      <c r="I559" s="197"/>
      <c r="J559" s="197"/>
      <c r="K559" s="197"/>
      <c r="L559" s="197"/>
      <c r="M559" s="197"/>
      <c r="N559" s="197"/>
      <c r="O559" s="197"/>
      <c r="P559" s="197"/>
      <c r="Q559" s="197"/>
      <c r="R559" s="197"/>
      <c r="S559" s="197"/>
      <c r="T559" s="197"/>
      <c r="U559" s="197"/>
      <c r="V559" s="197"/>
      <c r="W559" s="197"/>
      <c r="X559" s="197"/>
      <c r="Y559" s="197"/>
      <c r="Z559" s="197"/>
    </row>
    <row r="560" ht="12.0" customHeight="1">
      <c r="A560" s="197"/>
      <c r="B560" s="198"/>
      <c r="C560" s="197"/>
      <c r="D560" s="197"/>
      <c r="E560" s="197"/>
      <c r="F560" s="197"/>
      <c r="G560" s="197"/>
      <c r="H560" s="197"/>
      <c r="I560" s="197"/>
      <c r="J560" s="197"/>
      <c r="K560" s="197"/>
      <c r="L560" s="197"/>
      <c r="M560" s="197"/>
      <c r="N560" s="197"/>
      <c r="O560" s="197"/>
      <c r="P560" s="197"/>
      <c r="Q560" s="197"/>
      <c r="R560" s="197"/>
      <c r="S560" s="197"/>
      <c r="T560" s="197"/>
      <c r="U560" s="197"/>
      <c r="V560" s="197"/>
      <c r="W560" s="197"/>
      <c r="X560" s="197"/>
      <c r="Y560" s="197"/>
      <c r="Z560" s="197"/>
    </row>
    <row r="561" ht="12.0" customHeight="1">
      <c r="A561" s="197"/>
      <c r="B561" s="198"/>
      <c r="C561" s="197"/>
      <c r="D561" s="197"/>
      <c r="E561" s="197"/>
      <c r="F561" s="197"/>
      <c r="G561" s="197"/>
      <c r="H561" s="197"/>
      <c r="I561" s="197"/>
      <c r="J561" s="197"/>
      <c r="K561" s="197"/>
      <c r="L561" s="197"/>
      <c r="M561" s="197"/>
      <c r="N561" s="197"/>
      <c r="O561" s="197"/>
      <c r="P561" s="197"/>
      <c r="Q561" s="197"/>
      <c r="R561" s="197"/>
      <c r="S561" s="197"/>
      <c r="T561" s="197"/>
      <c r="U561" s="197"/>
      <c r="V561" s="197"/>
      <c r="W561" s="197"/>
      <c r="X561" s="197"/>
      <c r="Y561" s="197"/>
      <c r="Z561" s="197"/>
    </row>
    <row r="562" ht="12.0" customHeight="1">
      <c r="A562" s="197"/>
      <c r="B562" s="198"/>
      <c r="C562" s="197"/>
      <c r="D562" s="197"/>
      <c r="E562" s="197"/>
      <c r="F562" s="197"/>
      <c r="G562" s="197"/>
      <c r="H562" s="197"/>
      <c r="I562" s="197"/>
      <c r="J562" s="197"/>
      <c r="K562" s="197"/>
      <c r="L562" s="197"/>
      <c r="M562" s="197"/>
      <c r="N562" s="197"/>
      <c r="O562" s="197"/>
      <c r="P562" s="197"/>
      <c r="Q562" s="197"/>
      <c r="R562" s="197"/>
      <c r="S562" s="197"/>
      <c r="T562" s="197"/>
      <c r="U562" s="197"/>
      <c r="V562" s="197"/>
      <c r="W562" s="197"/>
      <c r="X562" s="197"/>
      <c r="Y562" s="197"/>
      <c r="Z562" s="197"/>
    </row>
    <row r="563" ht="12.0" customHeight="1">
      <c r="A563" s="197"/>
      <c r="B563" s="198"/>
      <c r="C563" s="197"/>
      <c r="D563" s="197"/>
      <c r="E563" s="197"/>
      <c r="F563" s="197"/>
      <c r="G563" s="197"/>
      <c r="H563" s="197"/>
      <c r="I563" s="197"/>
      <c r="J563" s="197"/>
      <c r="K563" s="197"/>
      <c r="L563" s="197"/>
      <c r="M563" s="197"/>
      <c r="N563" s="197"/>
      <c r="O563" s="197"/>
      <c r="P563" s="197"/>
      <c r="Q563" s="197"/>
      <c r="R563" s="197"/>
      <c r="S563" s="197"/>
      <c r="T563" s="197"/>
      <c r="U563" s="197"/>
      <c r="V563" s="197"/>
      <c r="W563" s="197"/>
      <c r="X563" s="197"/>
      <c r="Y563" s="197"/>
      <c r="Z563" s="197"/>
    </row>
    <row r="564" ht="12.0" customHeight="1">
      <c r="A564" s="197"/>
      <c r="B564" s="198"/>
      <c r="C564" s="197"/>
      <c r="D564" s="197"/>
      <c r="E564" s="197"/>
      <c r="F564" s="197"/>
      <c r="G564" s="197"/>
      <c r="H564" s="197"/>
      <c r="I564" s="197"/>
      <c r="J564" s="197"/>
      <c r="K564" s="197"/>
      <c r="L564" s="197"/>
      <c r="M564" s="197"/>
      <c r="N564" s="197"/>
      <c r="O564" s="197"/>
      <c r="P564" s="197"/>
      <c r="Q564" s="197"/>
      <c r="R564" s="197"/>
      <c r="S564" s="197"/>
      <c r="T564" s="197"/>
      <c r="U564" s="197"/>
      <c r="V564" s="197"/>
      <c r="W564" s="197"/>
      <c r="X564" s="197"/>
      <c r="Y564" s="197"/>
      <c r="Z564" s="197"/>
    </row>
    <row r="565" ht="12.0" customHeight="1">
      <c r="A565" s="197"/>
      <c r="B565" s="198"/>
      <c r="C565" s="197"/>
      <c r="D565" s="197"/>
      <c r="E565" s="197"/>
      <c r="F565" s="197"/>
      <c r="G565" s="197"/>
      <c r="H565" s="197"/>
      <c r="I565" s="197"/>
      <c r="J565" s="197"/>
      <c r="K565" s="197"/>
      <c r="L565" s="197"/>
      <c r="M565" s="197"/>
      <c r="N565" s="197"/>
      <c r="O565" s="197"/>
      <c r="P565" s="197"/>
      <c r="Q565" s="197"/>
      <c r="R565" s="197"/>
      <c r="S565" s="197"/>
      <c r="T565" s="197"/>
      <c r="U565" s="197"/>
      <c r="V565" s="197"/>
      <c r="W565" s="197"/>
      <c r="X565" s="197"/>
      <c r="Y565" s="197"/>
      <c r="Z565" s="197"/>
    </row>
    <row r="566" ht="12.0" customHeight="1">
      <c r="A566" s="197"/>
      <c r="B566" s="198"/>
      <c r="C566" s="197"/>
      <c r="D566" s="197"/>
      <c r="E566" s="197"/>
      <c r="F566" s="197"/>
      <c r="G566" s="197"/>
      <c r="H566" s="197"/>
      <c r="I566" s="197"/>
      <c r="J566" s="197"/>
      <c r="K566" s="197"/>
      <c r="L566" s="197"/>
      <c r="M566" s="197"/>
      <c r="N566" s="197"/>
      <c r="O566" s="197"/>
      <c r="P566" s="197"/>
      <c r="Q566" s="197"/>
      <c r="R566" s="197"/>
      <c r="S566" s="197"/>
      <c r="T566" s="197"/>
      <c r="U566" s="197"/>
      <c r="V566" s="197"/>
      <c r="W566" s="197"/>
      <c r="X566" s="197"/>
      <c r="Y566" s="197"/>
      <c r="Z566" s="197"/>
    </row>
    <row r="567" ht="12.0" customHeight="1">
      <c r="A567" s="197"/>
      <c r="B567" s="198"/>
      <c r="C567" s="197"/>
      <c r="D567" s="197"/>
      <c r="E567" s="197"/>
      <c r="F567" s="197"/>
      <c r="G567" s="197"/>
      <c r="H567" s="197"/>
      <c r="I567" s="197"/>
      <c r="J567" s="197"/>
      <c r="K567" s="197"/>
      <c r="L567" s="197"/>
      <c r="M567" s="197"/>
      <c r="N567" s="197"/>
      <c r="O567" s="197"/>
      <c r="P567" s="197"/>
      <c r="Q567" s="197"/>
      <c r="R567" s="197"/>
      <c r="S567" s="197"/>
      <c r="T567" s="197"/>
      <c r="U567" s="197"/>
      <c r="V567" s="197"/>
      <c r="W567" s="197"/>
      <c r="X567" s="197"/>
      <c r="Y567" s="197"/>
      <c r="Z567" s="197"/>
    </row>
    <row r="568" ht="12.0" customHeight="1">
      <c r="A568" s="197"/>
      <c r="B568" s="198"/>
      <c r="C568" s="197"/>
      <c r="D568" s="197"/>
      <c r="E568" s="197"/>
      <c r="F568" s="197"/>
      <c r="G568" s="197"/>
      <c r="H568" s="197"/>
      <c r="I568" s="197"/>
      <c r="J568" s="197"/>
      <c r="K568" s="197"/>
      <c r="L568" s="197"/>
      <c r="M568" s="197"/>
      <c r="N568" s="197"/>
      <c r="O568" s="197"/>
      <c r="P568" s="197"/>
      <c r="Q568" s="197"/>
      <c r="R568" s="197"/>
      <c r="S568" s="197"/>
      <c r="T568" s="197"/>
      <c r="U568" s="197"/>
      <c r="V568" s="197"/>
      <c r="W568" s="197"/>
      <c r="X568" s="197"/>
      <c r="Y568" s="197"/>
      <c r="Z568" s="197"/>
    </row>
    <row r="569" ht="12.0" customHeight="1">
      <c r="A569" s="197"/>
      <c r="B569" s="198"/>
      <c r="C569" s="197"/>
      <c r="D569" s="197"/>
      <c r="E569" s="197"/>
      <c r="F569" s="197"/>
      <c r="G569" s="197"/>
      <c r="H569" s="197"/>
      <c r="I569" s="197"/>
      <c r="J569" s="197"/>
      <c r="K569" s="197"/>
      <c r="L569" s="197"/>
      <c r="M569" s="197"/>
      <c r="N569" s="197"/>
      <c r="O569" s="197"/>
      <c r="P569" s="197"/>
      <c r="Q569" s="197"/>
      <c r="R569" s="197"/>
      <c r="S569" s="197"/>
      <c r="T569" s="197"/>
      <c r="U569" s="197"/>
      <c r="V569" s="197"/>
      <c r="W569" s="197"/>
      <c r="X569" s="197"/>
      <c r="Y569" s="197"/>
      <c r="Z569" s="197"/>
    </row>
    <row r="570" ht="12.0" customHeight="1">
      <c r="A570" s="197"/>
      <c r="B570" s="198"/>
      <c r="C570" s="197"/>
      <c r="D570" s="197"/>
      <c r="E570" s="197"/>
      <c r="F570" s="197"/>
      <c r="G570" s="197"/>
      <c r="H570" s="197"/>
      <c r="I570" s="197"/>
      <c r="J570" s="197"/>
      <c r="K570" s="197"/>
      <c r="L570" s="197"/>
      <c r="M570" s="197"/>
      <c r="N570" s="197"/>
      <c r="O570" s="197"/>
      <c r="P570" s="197"/>
      <c r="Q570" s="197"/>
      <c r="R570" s="197"/>
      <c r="S570" s="197"/>
      <c r="T570" s="197"/>
      <c r="U570" s="197"/>
      <c r="V570" s="197"/>
      <c r="W570" s="197"/>
      <c r="X570" s="197"/>
      <c r="Y570" s="197"/>
      <c r="Z570" s="197"/>
    </row>
    <row r="571" ht="12.0" customHeight="1">
      <c r="A571" s="197"/>
      <c r="B571" s="198"/>
      <c r="C571" s="197"/>
      <c r="D571" s="197"/>
      <c r="E571" s="197"/>
      <c r="F571" s="197"/>
      <c r="G571" s="197"/>
      <c r="H571" s="197"/>
      <c r="I571" s="197"/>
      <c r="J571" s="197"/>
      <c r="K571" s="197"/>
      <c r="L571" s="197"/>
      <c r="M571" s="197"/>
      <c r="N571" s="197"/>
      <c r="O571" s="197"/>
      <c r="P571" s="197"/>
      <c r="Q571" s="197"/>
      <c r="R571" s="197"/>
      <c r="S571" s="197"/>
      <c r="T571" s="197"/>
      <c r="U571" s="197"/>
      <c r="V571" s="197"/>
      <c r="W571" s="197"/>
      <c r="X571" s="197"/>
      <c r="Y571" s="197"/>
      <c r="Z571" s="197"/>
    </row>
    <row r="572" ht="12.0" customHeight="1">
      <c r="A572" s="197"/>
      <c r="B572" s="198"/>
      <c r="C572" s="197"/>
      <c r="D572" s="197"/>
      <c r="E572" s="197"/>
      <c r="F572" s="197"/>
      <c r="G572" s="197"/>
      <c r="H572" s="197"/>
      <c r="I572" s="197"/>
      <c r="J572" s="197"/>
      <c r="K572" s="197"/>
      <c r="L572" s="197"/>
      <c r="M572" s="197"/>
      <c r="N572" s="197"/>
      <c r="O572" s="197"/>
      <c r="P572" s="197"/>
      <c r="Q572" s="197"/>
      <c r="R572" s="197"/>
      <c r="S572" s="197"/>
      <c r="T572" s="197"/>
      <c r="U572" s="197"/>
      <c r="V572" s="197"/>
      <c r="W572" s="197"/>
      <c r="X572" s="197"/>
      <c r="Y572" s="197"/>
      <c r="Z572" s="197"/>
    </row>
    <row r="573" ht="12.0" customHeight="1">
      <c r="A573" s="197"/>
      <c r="B573" s="198"/>
      <c r="C573" s="197"/>
      <c r="D573" s="197"/>
      <c r="E573" s="197"/>
      <c r="F573" s="197"/>
      <c r="G573" s="197"/>
      <c r="H573" s="197"/>
      <c r="I573" s="197"/>
      <c r="J573" s="197"/>
      <c r="K573" s="197"/>
      <c r="L573" s="197"/>
      <c r="M573" s="197"/>
      <c r="N573" s="197"/>
      <c r="O573" s="197"/>
      <c r="P573" s="197"/>
      <c r="Q573" s="197"/>
      <c r="R573" s="197"/>
      <c r="S573" s="197"/>
      <c r="T573" s="197"/>
      <c r="U573" s="197"/>
      <c r="V573" s="197"/>
      <c r="W573" s="197"/>
      <c r="X573" s="197"/>
      <c r="Y573" s="197"/>
      <c r="Z573" s="197"/>
    </row>
    <row r="574" ht="12.0" customHeight="1">
      <c r="A574" s="197"/>
      <c r="B574" s="198"/>
      <c r="C574" s="197"/>
      <c r="D574" s="197"/>
      <c r="E574" s="197"/>
      <c r="F574" s="197"/>
      <c r="G574" s="197"/>
      <c r="H574" s="197"/>
      <c r="I574" s="197"/>
      <c r="J574" s="197"/>
      <c r="K574" s="197"/>
      <c r="L574" s="197"/>
      <c r="M574" s="197"/>
      <c r="N574" s="197"/>
      <c r="O574" s="197"/>
      <c r="P574" s="197"/>
      <c r="Q574" s="197"/>
      <c r="R574" s="197"/>
      <c r="S574" s="197"/>
      <c r="T574" s="197"/>
      <c r="U574" s="197"/>
      <c r="V574" s="197"/>
      <c r="W574" s="197"/>
      <c r="X574" s="197"/>
      <c r="Y574" s="197"/>
      <c r="Z574" s="197"/>
    </row>
    <row r="575" ht="12.0" customHeight="1">
      <c r="A575" s="197"/>
      <c r="B575" s="198"/>
      <c r="C575" s="197"/>
      <c r="D575" s="197"/>
      <c r="E575" s="197"/>
      <c r="F575" s="197"/>
      <c r="G575" s="197"/>
      <c r="H575" s="197"/>
      <c r="I575" s="197"/>
      <c r="J575" s="197"/>
      <c r="K575" s="197"/>
      <c r="L575" s="197"/>
      <c r="M575" s="197"/>
      <c r="N575" s="197"/>
      <c r="O575" s="197"/>
      <c r="P575" s="197"/>
      <c r="Q575" s="197"/>
      <c r="R575" s="197"/>
      <c r="S575" s="197"/>
      <c r="T575" s="197"/>
      <c r="U575" s="197"/>
      <c r="V575" s="197"/>
      <c r="W575" s="197"/>
      <c r="X575" s="197"/>
      <c r="Y575" s="197"/>
      <c r="Z575" s="197"/>
    </row>
    <row r="576" ht="12.0" customHeight="1">
      <c r="A576" s="197"/>
      <c r="B576" s="198"/>
      <c r="C576" s="197"/>
      <c r="D576" s="197"/>
      <c r="E576" s="197"/>
      <c r="F576" s="197"/>
      <c r="G576" s="197"/>
      <c r="H576" s="197"/>
      <c r="I576" s="197"/>
      <c r="J576" s="197"/>
      <c r="K576" s="197"/>
      <c r="L576" s="197"/>
      <c r="M576" s="197"/>
      <c r="N576" s="197"/>
      <c r="O576" s="197"/>
      <c r="P576" s="197"/>
      <c r="Q576" s="197"/>
      <c r="R576" s="197"/>
      <c r="S576" s="197"/>
      <c r="T576" s="197"/>
      <c r="U576" s="197"/>
      <c r="V576" s="197"/>
      <c r="W576" s="197"/>
      <c r="X576" s="197"/>
      <c r="Y576" s="197"/>
      <c r="Z576" s="197"/>
    </row>
    <row r="577" ht="12.0" customHeight="1">
      <c r="A577" s="197"/>
      <c r="B577" s="198"/>
      <c r="C577" s="197"/>
      <c r="D577" s="197"/>
      <c r="E577" s="197"/>
      <c r="F577" s="197"/>
      <c r="G577" s="197"/>
      <c r="H577" s="197"/>
      <c r="I577" s="197"/>
      <c r="J577" s="197"/>
      <c r="K577" s="197"/>
      <c r="L577" s="197"/>
      <c r="M577" s="197"/>
      <c r="N577" s="197"/>
      <c r="O577" s="197"/>
      <c r="P577" s="197"/>
      <c r="Q577" s="197"/>
      <c r="R577" s="197"/>
      <c r="S577" s="197"/>
      <c r="T577" s="197"/>
      <c r="U577" s="197"/>
      <c r="V577" s="197"/>
      <c r="W577" s="197"/>
      <c r="X577" s="197"/>
      <c r="Y577" s="197"/>
      <c r="Z577" s="197"/>
    </row>
    <row r="578" ht="12.0" customHeight="1">
      <c r="A578" s="197"/>
      <c r="B578" s="198"/>
      <c r="C578" s="197"/>
      <c r="D578" s="197"/>
      <c r="E578" s="197"/>
      <c r="F578" s="197"/>
      <c r="G578" s="197"/>
      <c r="H578" s="197"/>
      <c r="I578" s="197"/>
      <c r="J578" s="197"/>
      <c r="K578" s="197"/>
      <c r="L578" s="197"/>
      <c r="M578" s="197"/>
      <c r="N578" s="197"/>
      <c r="O578" s="197"/>
      <c r="P578" s="197"/>
      <c r="Q578" s="197"/>
      <c r="R578" s="197"/>
      <c r="S578" s="197"/>
      <c r="T578" s="197"/>
      <c r="U578" s="197"/>
      <c r="V578" s="197"/>
      <c r="W578" s="197"/>
      <c r="X578" s="197"/>
      <c r="Y578" s="197"/>
      <c r="Z578" s="197"/>
    </row>
    <row r="579" ht="12.0" customHeight="1">
      <c r="A579" s="197"/>
      <c r="B579" s="198"/>
      <c r="C579" s="197"/>
      <c r="D579" s="197"/>
      <c r="E579" s="197"/>
      <c r="F579" s="197"/>
      <c r="G579" s="197"/>
      <c r="H579" s="197"/>
      <c r="I579" s="197"/>
      <c r="J579" s="197"/>
      <c r="K579" s="197"/>
      <c r="L579" s="197"/>
      <c r="M579" s="197"/>
      <c r="N579" s="197"/>
      <c r="O579" s="197"/>
      <c r="P579" s="197"/>
      <c r="Q579" s="197"/>
      <c r="R579" s="197"/>
      <c r="S579" s="197"/>
      <c r="T579" s="197"/>
      <c r="U579" s="197"/>
      <c r="V579" s="197"/>
      <c r="W579" s="197"/>
      <c r="X579" s="197"/>
      <c r="Y579" s="197"/>
      <c r="Z579" s="197"/>
    </row>
    <row r="580" ht="12.0" customHeight="1">
      <c r="A580" s="197"/>
      <c r="B580" s="198"/>
      <c r="C580" s="197"/>
      <c r="D580" s="197"/>
      <c r="E580" s="197"/>
      <c r="F580" s="197"/>
      <c r="G580" s="197"/>
      <c r="H580" s="197"/>
      <c r="I580" s="197"/>
      <c r="J580" s="197"/>
      <c r="K580" s="197"/>
      <c r="L580" s="197"/>
      <c r="M580" s="197"/>
      <c r="N580" s="197"/>
      <c r="O580" s="197"/>
      <c r="P580" s="197"/>
      <c r="Q580" s="197"/>
      <c r="R580" s="197"/>
      <c r="S580" s="197"/>
      <c r="T580" s="197"/>
      <c r="U580" s="197"/>
      <c r="V580" s="197"/>
      <c r="W580" s="197"/>
      <c r="X580" s="197"/>
      <c r="Y580" s="197"/>
      <c r="Z580" s="197"/>
    </row>
    <row r="581" ht="12.0" customHeight="1">
      <c r="A581" s="197"/>
      <c r="B581" s="198"/>
      <c r="C581" s="197"/>
      <c r="D581" s="197"/>
      <c r="E581" s="197"/>
      <c r="F581" s="197"/>
      <c r="G581" s="197"/>
      <c r="H581" s="197"/>
      <c r="I581" s="197"/>
      <c r="J581" s="197"/>
      <c r="K581" s="197"/>
      <c r="L581" s="197"/>
      <c r="M581" s="197"/>
      <c r="N581" s="197"/>
      <c r="O581" s="197"/>
      <c r="P581" s="197"/>
      <c r="Q581" s="197"/>
      <c r="R581" s="197"/>
      <c r="S581" s="197"/>
      <c r="T581" s="197"/>
      <c r="U581" s="197"/>
      <c r="V581" s="197"/>
      <c r="W581" s="197"/>
      <c r="X581" s="197"/>
      <c r="Y581" s="197"/>
      <c r="Z581" s="197"/>
    </row>
    <row r="582" ht="12.0" customHeight="1">
      <c r="A582" s="197"/>
      <c r="B582" s="198"/>
      <c r="C582" s="197"/>
      <c r="D582" s="197"/>
      <c r="E582" s="197"/>
      <c r="F582" s="197"/>
      <c r="G582" s="197"/>
      <c r="H582" s="197"/>
      <c r="I582" s="197"/>
      <c r="J582" s="197"/>
      <c r="K582" s="197"/>
      <c r="L582" s="197"/>
      <c r="M582" s="197"/>
      <c r="N582" s="197"/>
      <c r="O582" s="197"/>
      <c r="P582" s="197"/>
      <c r="Q582" s="197"/>
      <c r="R582" s="197"/>
      <c r="S582" s="197"/>
      <c r="T582" s="197"/>
      <c r="U582" s="197"/>
      <c r="V582" s="197"/>
      <c r="W582" s="197"/>
      <c r="X582" s="197"/>
      <c r="Y582" s="197"/>
      <c r="Z582" s="197"/>
    </row>
    <row r="583" ht="12.0" customHeight="1">
      <c r="A583" s="197"/>
      <c r="B583" s="198"/>
      <c r="C583" s="197"/>
      <c r="D583" s="197"/>
      <c r="E583" s="197"/>
      <c r="F583" s="197"/>
      <c r="G583" s="197"/>
      <c r="H583" s="197"/>
      <c r="I583" s="197"/>
      <c r="J583" s="197"/>
      <c r="K583" s="197"/>
      <c r="L583" s="197"/>
      <c r="M583" s="197"/>
      <c r="N583" s="197"/>
      <c r="O583" s="197"/>
      <c r="P583" s="197"/>
      <c r="Q583" s="197"/>
      <c r="R583" s="197"/>
      <c r="S583" s="197"/>
      <c r="T583" s="197"/>
      <c r="U583" s="197"/>
      <c r="V583" s="197"/>
      <c r="W583" s="197"/>
      <c r="X583" s="197"/>
      <c r="Y583" s="197"/>
      <c r="Z583" s="197"/>
    </row>
    <row r="584" ht="12.0" customHeight="1">
      <c r="A584" s="197"/>
      <c r="B584" s="198"/>
      <c r="C584" s="197"/>
      <c r="D584" s="197"/>
      <c r="E584" s="197"/>
      <c r="F584" s="197"/>
      <c r="G584" s="197"/>
      <c r="H584" s="197"/>
      <c r="I584" s="197"/>
      <c r="J584" s="197"/>
      <c r="K584" s="197"/>
      <c r="L584" s="197"/>
      <c r="M584" s="197"/>
      <c r="N584" s="197"/>
      <c r="O584" s="197"/>
      <c r="P584" s="197"/>
      <c r="Q584" s="197"/>
      <c r="R584" s="197"/>
      <c r="S584" s="197"/>
      <c r="T584" s="197"/>
      <c r="U584" s="197"/>
      <c r="V584" s="197"/>
      <c r="W584" s="197"/>
      <c r="X584" s="197"/>
      <c r="Y584" s="197"/>
      <c r="Z584" s="197"/>
    </row>
    <row r="585" ht="12.0" customHeight="1">
      <c r="A585" s="197"/>
      <c r="B585" s="198"/>
      <c r="C585" s="197"/>
      <c r="D585" s="197"/>
      <c r="E585" s="197"/>
      <c r="F585" s="197"/>
      <c r="G585" s="197"/>
      <c r="H585" s="197"/>
      <c r="I585" s="197"/>
      <c r="J585" s="197"/>
      <c r="K585" s="197"/>
      <c r="L585" s="197"/>
      <c r="M585" s="197"/>
      <c r="N585" s="197"/>
      <c r="O585" s="197"/>
      <c r="P585" s="197"/>
      <c r="Q585" s="197"/>
      <c r="R585" s="197"/>
      <c r="S585" s="197"/>
      <c r="T585" s="197"/>
      <c r="U585" s="197"/>
      <c r="V585" s="197"/>
      <c r="W585" s="197"/>
      <c r="X585" s="197"/>
      <c r="Y585" s="197"/>
      <c r="Z585" s="197"/>
    </row>
    <row r="586" ht="12.0" customHeight="1">
      <c r="A586" s="197"/>
      <c r="B586" s="198"/>
      <c r="C586" s="197"/>
      <c r="D586" s="197"/>
      <c r="E586" s="197"/>
      <c r="F586" s="197"/>
      <c r="G586" s="197"/>
      <c r="H586" s="197"/>
      <c r="I586" s="197"/>
      <c r="J586" s="197"/>
      <c r="K586" s="197"/>
      <c r="L586" s="197"/>
      <c r="M586" s="197"/>
      <c r="N586" s="197"/>
      <c r="O586" s="197"/>
      <c r="P586" s="197"/>
      <c r="Q586" s="197"/>
      <c r="R586" s="197"/>
      <c r="S586" s="197"/>
      <c r="T586" s="197"/>
      <c r="U586" s="197"/>
      <c r="V586" s="197"/>
      <c r="W586" s="197"/>
      <c r="X586" s="197"/>
      <c r="Y586" s="197"/>
      <c r="Z586" s="197"/>
    </row>
    <row r="587" ht="12.0" customHeight="1">
      <c r="A587" s="197"/>
      <c r="B587" s="198"/>
      <c r="C587" s="197"/>
      <c r="D587" s="197"/>
      <c r="E587" s="197"/>
      <c r="F587" s="197"/>
      <c r="G587" s="197"/>
      <c r="H587" s="197"/>
      <c r="I587" s="197"/>
      <c r="J587" s="197"/>
      <c r="K587" s="197"/>
      <c r="L587" s="197"/>
      <c r="M587" s="197"/>
      <c r="N587" s="197"/>
      <c r="O587" s="197"/>
      <c r="P587" s="197"/>
      <c r="Q587" s="197"/>
      <c r="R587" s="197"/>
      <c r="S587" s="197"/>
      <c r="T587" s="197"/>
      <c r="U587" s="197"/>
      <c r="V587" s="197"/>
      <c r="W587" s="197"/>
      <c r="X587" s="197"/>
      <c r="Y587" s="197"/>
      <c r="Z587" s="197"/>
    </row>
    <row r="588" ht="12.0" customHeight="1">
      <c r="A588" s="197"/>
      <c r="B588" s="198"/>
      <c r="C588" s="197"/>
      <c r="D588" s="197"/>
      <c r="E588" s="197"/>
      <c r="F588" s="197"/>
      <c r="G588" s="197"/>
      <c r="H588" s="197"/>
      <c r="I588" s="197"/>
      <c r="J588" s="197"/>
      <c r="K588" s="197"/>
      <c r="L588" s="197"/>
      <c r="M588" s="197"/>
      <c r="N588" s="197"/>
      <c r="O588" s="197"/>
      <c r="P588" s="197"/>
      <c r="Q588" s="197"/>
      <c r="R588" s="197"/>
      <c r="S588" s="197"/>
      <c r="T588" s="197"/>
      <c r="U588" s="197"/>
      <c r="V588" s="197"/>
      <c r="W588" s="197"/>
      <c r="X588" s="197"/>
      <c r="Y588" s="197"/>
      <c r="Z588" s="197"/>
    </row>
    <row r="589" ht="12.0" customHeight="1">
      <c r="A589" s="197"/>
      <c r="B589" s="198"/>
      <c r="C589" s="197"/>
      <c r="D589" s="197"/>
      <c r="E589" s="197"/>
      <c r="F589" s="197"/>
      <c r="G589" s="197"/>
      <c r="H589" s="197"/>
      <c r="I589" s="197"/>
      <c r="J589" s="197"/>
      <c r="K589" s="197"/>
      <c r="L589" s="197"/>
      <c r="M589" s="197"/>
      <c r="N589" s="197"/>
      <c r="O589" s="197"/>
      <c r="P589" s="197"/>
      <c r="Q589" s="197"/>
      <c r="R589" s="197"/>
      <c r="S589" s="197"/>
      <c r="T589" s="197"/>
      <c r="U589" s="197"/>
      <c r="V589" s="197"/>
      <c r="W589" s="197"/>
      <c r="X589" s="197"/>
      <c r="Y589" s="197"/>
      <c r="Z589" s="197"/>
    </row>
    <row r="590" ht="12.0" customHeight="1">
      <c r="A590" s="197"/>
      <c r="B590" s="198"/>
      <c r="C590" s="197"/>
      <c r="D590" s="197"/>
      <c r="E590" s="197"/>
      <c r="F590" s="197"/>
      <c r="G590" s="197"/>
      <c r="H590" s="197"/>
      <c r="I590" s="197"/>
      <c r="J590" s="197"/>
      <c r="K590" s="197"/>
      <c r="L590" s="197"/>
      <c r="M590" s="197"/>
      <c r="N590" s="197"/>
      <c r="O590" s="197"/>
      <c r="P590" s="197"/>
      <c r="Q590" s="197"/>
      <c r="R590" s="197"/>
      <c r="S590" s="197"/>
      <c r="T590" s="197"/>
      <c r="U590" s="197"/>
      <c r="V590" s="197"/>
      <c r="W590" s="197"/>
      <c r="X590" s="197"/>
      <c r="Y590" s="197"/>
      <c r="Z590" s="197"/>
    </row>
    <row r="591" ht="12.0" customHeight="1">
      <c r="A591" s="197"/>
      <c r="B591" s="198"/>
      <c r="C591" s="197"/>
      <c r="D591" s="197"/>
      <c r="E591" s="197"/>
      <c r="F591" s="197"/>
      <c r="G591" s="197"/>
      <c r="H591" s="197"/>
      <c r="I591" s="197"/>
      <c r="J591" s="197"/>
      <c r="K591" s="197"/>
      <c r="L591" s="197"/>
      <c r="M591" s="197"/>
      <c r="N591" s="197"/>
      <c r="O591" s="197"/>
      <c r="P591" s="197"/>
      <c r="Q591" s="197"/>
      <c r="R591" s="197"/>
      <c r="S591" s="197"/>
      <c r="T591" s="197"/>
      <c r="U591" s="197"/>
      <c r="V591" s="197"/>
      <c r="W591" s="197"/>
      <c r="X591" s="197"/>
      <c r="Y591" s="197"/>
      <c r="Z591" s="197"/>
    </row>
    <row r="592" ht="12.0" customHeight="1">
      <c r="A592" s="197"/>
      <c r="B592" s="198"/>
      <c r="C592" s="197"/>
      <c r="D592" s="197"/>
      <c r="E592" s="197"/>
      <c r="F592" s="197"/>
      <c r="G592" s="197"/>
      <c r="H592" s="197"/>
      <c r="I592" s="197"/>
      <c r="J592" s="197"/>
      <c r="K592" s="197"/>
      <c r="L592" s="197"/>
      <c r="M592" s="197"/>
      <c r="N592" s="197"/>
      <c r="O592" s="197"/>
      <c r="P592" s="197"/>
      <c r="Q592" s="197"/>
      <c r="R592" s="197"/>
      <c r="S592" s="197"/>
      <c r="T592" s="197"/>
      <c r="U592" s="197"/>
      <c r="V592" s="197"/>
      <c r="W592" s="197"/>
      <c r="X592" s="197"/>
      <c r="Y592" s="197"/>
      <c r="Z592" s="197"/>
    </row>
    <row r="593" ht="12.0" customHeight="1">
      <c r="A593" s="197"/>
      <c r="B593" s="198"/>
      <c r="C593" s="197"/>
      <c r="D593" s="197"/>
      <c r="E593" s="197"/>
      <c r="F593" s="197"/>
      <c r="G593" s="197"/>
      <c r="H593" s="197"/>
      <c r="I593" s="197"/>
      <c r="J593" s="197"/>
      <c r="K593" s="197"/>
      <c r="L593" s="197"/>
      <c r="M593" s="197"/>
      <c r="N593" s="197"/>
      <c r="O593" s="197"/>
      <c r="P593" s="197"/>
      <c r="Q593" s="197"/>
      <c r="R593" s="197"/>
      <c r="S593" s="197"/>
      <c r="T593" s="197"/>
      <c r="U593" s="197"/>
      <c r="V593" s="197"/>
      <c r="W593" s="197"/>
      <c r="X593" s="197"/>
      <c r="Y593" s="197"/>
      <c r="Z593" s="197"/>
    </row>
    <row r="594" ht="12.0" customHeight="1">
      <c r="A594" s="197"/>
      <c r="B594" s="198"/>
      <c r="C594" s="197"/>
      <c r="D594" s="197"/>
      <c r="E594" s="197"/>
      <c r="F594" s="197"/>
      <c r="G594" s="197"/>
      <c r="H594" s="197"/>
      <c r="I594" s="197"/>
      <c r="J594" s="197"/>
      <c r="K594" s="197"/>
      <c r="L594" s="197"/>
      <c r="M594" s="197"/>
      <c r="N594" s="197"/>
      <c r="O594" s="197"/>
      <c r="P594" s="197"/>
      <c r="Q594" s="197"/>
      <c r="R594" s="197"/>
      <c r="S594" s="197"/>
      <c r="T594" s="197"/>
      <c r="U594" s="197"/>
      <c r="V594" s="197"/>
      <c r="W594" s="197"/>
      <c r="X594" s="197"/>
      <c r="Y594" s="197"/>
      <c r="Z594" s="197"/>
    </row>
    <row r="595" ht="12.0" customHeight="1">
      <c r="A595" s="197"/>
      <c r="B595" s="198"/>
      <c r="C595" s="197"/>
      <c r="D595" s="197"/>
      <c r="E595" s="197"/>
      <c r="F595" s="197"/>
      <c r="G595" s="197"/>
      <c r="H595" s="197"/>
      <c r="I595" s="197"/>
      <c r="J595" s="197"/>
      <c r="K595" s="197"/>
      <c r="L595" s="197"/>
      <c r="M595" s="197"/>
      <c r="N595" s="197"/>
      <c r="O595" s="197"/>
      <c r="P595" s="197"/>
      <c r="Q595" s="197"/>
      <c r="R595" s="197"/>
      <c r="S595" s="197"/>
      <c r="T595" s="197"/>
      <c r="U595" s="197"/>
      <c r="V595" s="197"/>
      <c r="W595" s="197"/>
      <c r="X595" s="197"/>
      <c r="Y595" s="197"/>
      <c r="Z595" s="197"/>
    </row>
    <row r="596" ht="12.0" customHeight="1">
      <c r="A596" s="197"/>
      <c r="B596" s="198"/>
      <c r="C596" s="197"/>
      <c r="D596" s="197"/>
      <c r="E596" s="197"/>
      <c r="F596" s="197"/>
      <c r="G596" s="197"/>
      <c r="H596" s="197"/>
      <c r="I596" s="197"/>
      <c r="J596" s="197"/>
      <c r="K596" s="197"/>
      <c r="L596" s="197"/>
      <c r="M596" s="197"/>
      <c r="N596" s="197"/>
      <c r="O596" s="197"/>
      <c r="P596" s="197"/>
      <c r="Q596" s="197"/>
      <c r="R596" s="197"/>
      <c r="S596" s="197"/>
      <c r="T596" s="197"/>
      <c r="U596" s="197"/>
      <c r="V596" s="197"/>
      <c r="W596" s="197"/>
      <c r="X596" s="197"/>
      <c r="Y596" s="197"/>
      <c r="Z596" s="197"/>
    </row>
    <row r="597" ht="12.0" customHeight="1">
      <c r="A597" s="197"/>
      <c r="B597" s="198"/>
      <c r="C597" s="197"/>
      <c r="D597" s="197"/>
      <c r="E597" s="197"/>
      <c r="F597" s="197"/>
      <c r="G597" s="197"/>
      <c r="H597" s="197"/>
      <c r="I597" s="197"/>
      <c r="J597" s="197"/>
      <c r="K597" s="197"/>
      <c r="L597" s="197"/>
      <c r="M597" s="197"/>
      <c r="N597" s="197"/>
      <c r="O597" s="197"/>
      <c r="P597" s="197"/>
      <c r="Q597" s="197"/>
      <c r="R597" s="197"/>
      <c r="S597" s="197"/>
      <c r="T597" s="197"/>
      <c r="U597" s="197"/>
      <c r="V597" s="197"/>
      <c r="W597" s="197"/>
      <c r="X597" s="197"/>
      <c r="Y597" s="197"/>
      <c r="Z597" s="197"/>
    </row>
    <row r="598" ht="12.0" customHeight="1">
      <c r="A598" s="197"/>
      <c r="B598" s="198"/>
      <c r="C598" s="197"/>
      <c r="D598" s="197"/>
      <c r="E598" s="197"/>
      <c r="F598" s="197"/>
      <c r="G598" s="197"/>
      <c r="H598" s="197"/>
      <c r="I598" s="197"/>
      <c r="J598" s="197"/>
      <c r="K598" s="197"/>
      <c r="L598" s="197"/>
      <c r="M598" s="197"/>
      <c r="N598" s="197"/>
      <c r="O598" s="197"/>
      <c r="P598" s="197"/>
      <c r="Q598" s="197"/>
      <c r="R598" s="197"/>
      <c r="S598" s="197"/>
      <c r="T598" s="197"/>
      <c r="U598" s="197"/>
      <c r="V598" s="197"/>
      <c r="W598" s="197"/>
      <c r="X598" s="197"/>
      <c r="Y598" s="197"/>
      <c r="Z598" s="197"/>
    </row>
    <row r="599" ht="12.0" customHeight="1">
      <c r="A599" s="197"/>
      <c r="B599" s="198"/>
      <c r="C599" s="197"/>
      <c r="D599" s="197"/>
      <c r="E599" s="197"/>
      <c r="F599" s="197"/>
      <c r="G599" s="197"/>
      <c r="H599" s="197"/>
      <c r="I599" s="197"/>
      <c r="J599" s="197"/>
      <c r="K599" s="197"/>
      <c r="L599" s="197"/>
      <c r="M599" s="197"/>
      <c r="N599" s="197"/>
      <c r="O599" s="197"/>
      <c r="P599" s="197"/>
      <c r="Q599" s="197"/>
      <c r="R599" s="197"/>
      <c r="S599" s="197"/>
      <c r="T599" s="197"/>
      <c r="U599" s="197"/>
      <c r="V599" s="197"/>
      <c r="W599" s="197"/>
      <c r="X599" s="197"/>
      <c r="Y599" s="197"/>
      <c r="Z599" s="197"/>
    </row>
    <row r="600" ht="12.0" customHeight="1">
      <c r="A600" s="197"/>
      <c r="B600" s="198"/>
      <c r="C600" s="197"/>
      <c r="D600" s="197"/>
      <c r="E600" s="197"/>
      <c r="F600" s="197"/>
      <c r="G600" s="197"/>
      <c r="H600" s="197"/>
      <c r="I600" s="197"/>
      <c r="J600" s="197"/>
      <c r="K600" s="197"/>
      <c r="L600" s="197"/>
      <c r="M600" s="197"/>
      <c r="N600" s="197"/>
      <c r="O600" s="197"/>
      <c r="P600" s="197"/>
      <c r="Q600" s="197"/>
      <c r="R600" s="197"/>
      <c r="S600" s="197"/>
      <c r="T600" s="197"/>
      <c r="U600" s="197"/>
      <c r="V600" s="197"/>
      <c r="W600" s="197"/>
      <c r="X600" s="197"/>
      <c r="Y600" s="197"/>
      <c r="Z600" s="197"/>
    </row>
    <row r="601" ht="12.0" customHeight="1">
      <c r="A601" s="197"/>
      <c r="B601" s="198"/>
      <c r="C601" s="197"/>
      <c r="D601" s="197"/>
      <c r="E601" s="197"/>
      <c r="F601" s="197"/>
      <c r="G601" s="197"/>
      <c r="H601" s="197"/>
      <c r="I601" s="197"/>
      <c r="J601" s="197"/>
      <c r="K601" s="197"/>
      <c r="L601" s="197"/>
      <c r="M601" s="197"/>
      <c r="N601" s="197"/>
      <c r="O601" s="197"/>
      <c r="P601" s="197"/>
      <c r="Q601" s="197"/>
      <c r="R601" s="197"/>
      <c r="S601" s="197"/>
      <c r="T601" s="197"/>
      <c r="U601" s="197"/>
      <c r="V601" s="197"/>
      <c r="W601" s="197"/>
      <c r="X601" s="197"/>
      <c r="Y601" s="197"/>
      <c r="Z601" s="197"/>
    </row>
    <row r="602" ht="12.0" customHeight="1">
      <c r="A602" s="197"/>
      <c r="B602" s="198"/>
      <c r="C602" s="197"/>
      <c r="D602" s="197"/>
      <c r="E602" s="197"/>
      <c r="F602" s="197"/>
      <c r="G602" s="197"/>
      <c r="H602" s="197"/>
      <c r="I602" s="197"/>
      <c r="J602" s="197"/>
      <c r="K602" s="197"/>
      <c r="L602" s="197"/>
      <c r="M602" s="197"/>
      <c r="N602" s="197"/>
      <c r="O602" s="197"/>
      <c r="P602" s="197"/>
      <c r="Q602" s="197"/>
      <c r="R602" s="197"/>
      <c r="S602" s="197"/>
      <c r="T602" s="197"/>
      <c r="U602" s="197"/>
      <c r="V602" s="197"/>
      <c r="W602" s="197"/>
      <c r="X602" s="197"/>
      <c r="Y602" s="197"/>
      <c r="Z602" s="197"/>
    </row>
    <row r="603" ht="12.0" customHeight="1">
      <c r="A603" s="197"/>
      <c r="B603" s="198"/>
      <c r="C603" s="197"/>
      <c r="D603" s="197"/>
      <c r="E603" s="197"/>
      <c r="F603" s="197"/>
      <c r="G603" s="197"/>
      <c r="H603" s="197"/>
      <c r="I603" s="197"/>
      <c r="J603" s="197"/>
      <c r="K603" s="197"/>
      <c r="L603" s="197"/>
      <c r="M603" s="197"/>
      <c r="N603" s="197"/>
      <c r="O603" s="197"/>
      <c r="P603" s="197"/>
      <c r="Q603" s="197"/>
      <c r="R603" s="197"/>
      <c r="S603" s="197"/>
      <c r="T603" s="197"/>
      <c r="U603" s="197"/>
      <c r="V603" s="197"/>
      <c r="W603" s="197"/>
      <c r="X603" s="197"/>
      <c r="Y603" s="197"/>
      <c r="Z603" s="197"/>
    </row>
    <row r="604" ht="12.0" customHeight="1">
      <c r="A604" s="197"/>
      <c r="B604" s="198"/>
      <c r="C604" s="197"/>
      <c r="D604" s="197"/>
      <c r="E604" s="197"/>
      <c r="F604" s="197"/>
      <c r="G604" s="197"/>
      <c r="H604" s="197"/>
      <c r="I604" s="197"/>
      <c r="J604" s="197"/>
      <c r="K604" s="197"/>
      <c r="L604" s="197"/>
      <c r="M604" s="197"/>
      <c r="N604" s="197"/>
      <c r="O604" s="197"/>
      <c r="P604" s="197"/>
      <c r="Q604" s="197"/>
      <c r="R604" s="197"/>
      <c r="S604" s="197"/>
      <c r="T604" s="197"/>
      <c r="U604" s="197"/>
      <c r="V604" s="197"/>
      <c r="W604" s="197"/>
      <c r="X604" s="197"/>
      <c r="Y604" s="197"/>
      <c r="Z604" s="197"/>
    </row>
    <row r="605" ht="12.0" customHeight="1">
      <c r="A605" s="197"/>
      <c r="B605" s="198"/>
      <c r="C605" s="197"/>
      <c r="D605" s="197"/>
      <c r="E605" s="197"/>
      <c r="F605" s="197"/>
      <c r="G605" s="197"/>
      <c r="H605" s="197"/>
      <c r="I605" s="197"/>
      <c r="J605" s="197"/>
      <c r="K605" s="197"/>
      <c r="L605" s="197"/>
      <c r="M605" s="197"/>
      <c r="N605" s="197"/>
      <c r="O605" s="197"/>
      <c r="P605" s="197"/>
      <c r="Q605" s="197"/>
      <c r="R605" s="197"/>
      <c r="S605" s="197"/>
      <c r="T605" s="197"/>
      <c r="U605" s="197"/>
      <c r="V605" s="197"/>
      <c r="W605" s="197"/>
      <c r="X605" s="197"/>
      <c r="Y605" s="197"/>
      <c r="Z605" s="197"/>
    </row>
    <row r="606" ht="12.0" customHeight="1">
      <c r="A606" s="197"/>
      <c r="B606" s="198"/>
      <c r="C606" s="197"/>
      <c r="D606" s="197"/>
      <c r="E606" s="197"/>
      <c r="F606" s="197"/>
      <c r="G606" s="197"/>
      <c r="H606" s="197"/>
      <c r="I606" s="197"/>
      <c r="J606" s="197"/>
      <c r="K606" s="197"/>
      <c r="L606" s="197"/>
      <c r="M606" s="197"/>
      <c r="N606" s="197"/>
      <c r="O606" s="197"/>
      <c r="P606" s="197"/>
      <c r="Q606" s="197"/>
      <c r="R606" s="197"/>
      <c r="S606" s="197"/>
      <c r="T606" s="197"/>
      <c r="U606" s="197"/>
      <c r="V606" s="197"/>
      <c r="W606" s="197"/>
      <c r="X606" s="197"/>
      <c r="Y606" s="197"/>
      <c r="Z606" s="197"/>
    </row>
    <row r="607" ht="12.0" customHeight="1">
      <c r="A607" s="197"/>
      <c r="B607" s="198"/>
      <c r="C607" s="197"/>
      <c r="D607" s="197"/>
      <c r="E607" s="197"/>
      <c r="F607" s="197"/>
      <c r="G607" s="197"/>
      <c r="H607" s="197"/>
      <c r="I607" s="197"/>
      <c r="J607" s="197"/>
      <c r="K607" s="197"/>
      <c r="L607" s="197"/>
      <c r="M607" s="197"/>
      <c r="N607" s="197"/>
      <c r="O607" s="197"/>
      <c r="P607" s="197"/>
      <c r="Q607" s="197"/>
      <c r="R607" s="197"/>
      <c r="S607" s="197"/>
      <c r="T607" s="197"/>
      <c r="U607" s="197"/>
      <c r="V607" s="197"/>
      <c r="W607" s="197"/>
      <c r="X607" s="197"/>
      <c r="Y607" s="197"/>
      <c r="Z607" s="197"/>
    </row>
    <row r="608" ht="12.0" customHeight="1">
      <c r="A608" s="197"/>
      <c r="B608" s="198"/>
      <c r="C608" s="197"/>
      <c r="D608" s="197"/>
      <c r="E608" s="197"/>
      <c r="F608" s="197"/>
      <c r="G608" s="197"/>
      <c r="H608" s="197"/>
      <c r="I608" s="197"/>
      <c r="J608" s="197"/>
      <c r="K608" s="197"/>
      <c r="L608" s="197"/>
      <c r="M608" s="197"/>
      <c r="N608" s="197"/>
      <c r="O608" s="197"/>
      <c r="P608" s="197"/>
      <c r="Q608" s="197"/>
      <c r="R608" s="197"/>
      <c r="S608" s="197"/>
      <c r="T608" s="197"/>
      <c r="U608" s="197"/>
      <c r="V608" s="197"/>
      <c r="W608" s="197"/>
      <c r="X608" s="197"/>
      <c r="Y608" s="197"/>
      <c r="Z608" s="197"/>
    </row>
    <row r="609" ht="12.0" customHeight="1">
      <c r="A609" s="197"/>
      <c r="B609" s="198"/>
      <c r="C609" s="197"/>
      <c r="D609" s="197"/>
      <c r="E609" s="197"/>
      <c r="F609" s="197"/>
      <c r="G609" s="197"/>
      <c r="H609" s="197"/>
      <c r="I609" s="197"/>
      <c r="J609" s="197"/>
      <c r="K609" s="197"/>
      <c r="L609" s="197"/>
      <c r="M609" s="197"/>
      <c r="N609" s="197"/>
      <c r="O609" s="197"/>
      <c r="P609" s="197"/>
      <c r="Q609" s="197"/>
      <c r="R609" s="197"/>
      <c r="S609" s="197"/>
      <c r="T609" s="197"/>
      <c r="U609" s="197"/>
      <c r="V609" s="197"/>
      <c r="W609" s="197"/>
      <c r="X609" s="197"/>
      <c r="Y609" s="197"/>
      <c r="Z609" s="197"/>
    </row>
    <row r="610" ht="12.0" customHeight="1">
      <c r="A610" s="197"/>
      <c r="B610" s="198"/>
      <c r="C610" s="197"/>
      <c r="D610" s="197"/>
      <c r="E610" s="197"/>
      <c r="F610" s="197"/>
      <c r="G610" s="197"/>
      <c r="H610" s="197"/>
      <c r="I610" s="197"/>
      <c r="J610" s="197"/>
      <c r="K610" s="197"/>
      <c r="L610" s="197"/>
      <c r="M610" s="197"/>
      <c r="N610" s="197"/>
      <c r="O610" s="197"/>
      <c r="P610" s="197"/>
      <c r="Q610" s="197"/>
      <c r="R610" s="197"/>
      <c r="S610" s="197"/>
      <c r="T610" s="197"/>
      <c r="U610" s="197"/>
      <c r="V610" s="197"/>
      <c r="W610" s="197"/>
      <c r="X610" s="197"/>
      <c r="Y610" s="197"/>
      <c r="Z610" s="197"/>
    </row>
    <row r="611" ht="12.0" customHeight="1">
      <c r="A611" s="197"/>
      <c r="B611" s="198"/>
      <c r="C611" s="197"/>
      <c r="D611" s="197"/>
      <c r="E611" s="197"/>
      <c r="F611" s="197"/>
      <c r="G611" s="197"/>
      <c r="H611" s="197"/>
      <c r="I611" s="197"/>
      <c r="J611" s="197"/>
      <c r="K611" s="197"/>
      <c r="L611" s="197"/>
      <c r="M611" s="197"/>
      <c r="N611" s="197"/>
      <c r="O611" s="197"/>
      <c r="P611" s="197"/>
      <c r="Q611" s="197"/>
      <c r="R611" s="197"/>
      <c r="S611" s="197"/>
      <c r="T611" s="197"/>
      <c r="U611" s="197"/>
      <c r="V611" s="197"/>
      <c r="W611" s="197"/>
      <c r="X611" s="197"/>
      <c r="Y611" s="197"/>
      <c r="Z611" s="197"/>
    </row>
    <row r="612" ht="12.0" customHeight="1">
      <c r="A612" s="197"/>
      <c r="B612" s="198"/>
      <c r="C612" s="197"/>
      <c r="D612" s="197"/>
      <c r="E612" s="197"/>
      <c r="F612" s="197"/>
      <c r="G612" s="197"/>
      <c r="H612" s="197"/>
      <c r="I612" s="197"/>
      <c r="J612" s="197"/>
      <c r="K612" s="197"/>
      <c r="L612" s="197"/>
      <c r="M612" s="197"/>
      <c r="N612" s="197"/>
      <c r="O612" s="197"/>
      <c r="P612" s="197"/>
      <c r="Q612" s="197"/>
      <c r="R612" s="197"/>
      <c r="S612" s="197"/>
      <c r="T612" s="197"/>
      <c r="U612" s="197"/>
      <c r="V612" s="197"/>
      <c r="W612" s="197"/>
      <c r="X612" s="197"/>
      <c r="Y612" s="197"/>
      <c r="Z612" s="197"/>
    </row>
    <row r="613" ht="12.0" customHeight="1">
      <c r="A613" s="197"/>
      <c r="B613" s="198"/>
      <c r="C613" s="197"/>
      <c r="D613" s="197"/>
      <c r="E613" s="197"/>
      <c r="F613" s="197"/>
      <c r="G613" s="197"/>
      <c r="H613" s="197"/>
      <c r="I613" s="197"/>
      <c r="J613" s="197"/>
      <c r="K613" s="197"/>
      <c r="L613" s="197"/>
      <c r="M613" s="197"/>
      <c r="N613" s="197"/>
      <c r="O613" s="197"/>
      <c r="P613" s="197"/>
      <c r="Q613" s="197"/>
      <c r="R613" s="197"/>
      <c r="S613" s="197"/>
      <c r="T613" s="197"/>
      <c r="U613" s="197"/>
      <c r="V613" s="197"/>
      <c r="W613" s="197"/>
      <c r="X613" s="197"/>
      <c r="Y613" s="197"/>
      <c r="Z613" s="197"/>
    </row>
    <row r="614" ht="12.0" customHeight="1">
      <c r="A614" s="197"/>
      <c r="B614" s="198"/>
      <c r="C614" s="197"/>
      <c r="D614" s="197"/>
      <c r="E614" s="197"/>
      <c r="F614" s="197"/>
      <c r="G614" s="197"/>
      <c r="H614" s="197"/>
      <c r="I614" s="197"/>
      <c r="J614" s="197"/>
      <c r="K614" s="197"/>
      <c r="L614" s="197"/>
      <c r="M614" s="197"/>
      <c r="N614" s="197"/>
      <c r="O614" s="197"/>
      <c r="P614" s="197"/>
      <c r="Q614" s="197"/>
      <c r="R614" s="197"/>
      <c r="S614" s="197"/>
      <c r="T614" s="197"/>
      <c r="U614" s="197"/>
      <c r="V614" s="197"/>
      <c r="W614" s="197"/>
      <c r="X614" s="197"/>
      <c r="Y614" s="197"/>
      <c r="Z614" s="197"/>
    </row>
    <row r="615" ht="12.0" customHeight="1">
      <c r="A615" s="197"/>
      <c r="B615" s="198"/>
      <c r="C615" s="197"/>
      <c r="D615" s="197"/>
      <c r="E615" s="197"/>
      <c r="F615" s="197"/>
      <c r="G615" s="197"/>
      <c r="H615" s="197"/>
      <c r="I615" s="197"/>
      <c r="J615" s="197"/>
      <c r="K615" s="197"/>
      <c r="L615" s="197"/>
      <c r="M615" s="197"/>
      <c r="N615" s="197"/>
      <c r="O615" s="197"/>
      <c r="P615" s="197"/>
      <c r="Q615" s="197"/>
      <c r="R615" s="197"/>
      <c r="S615" s="197"/>
      <c r="T615" s="197"/>
      <c r="U615" s="197"/>
      <c r="V615" s="197"/>
      <c r="W615" s="197"/>
      <c r="X615" s="197"/>
      <c r="Y615" s="197"/>
      <c r="Z615" s="197"/>
    </row>
    <row r="616" ht="12.0" customHeight="1">
      <c r="A616" s="197"/>
      <c r="B616" s="198"/>
      <c r="C616" s="197"/>
      <c r="D616" s="197"/>
      <c r="E616" s="197"/>
      <c r="F616" s="197"/>
      <c r="G616" s="197"/>
      <c r="H616" s="197"/>
      <c r="I616" s="197"/>
      <c r="J616" s="197"/>
      <c r="K616" s="197"/>
      <c r="L616" s="197"/>
      <c r="M616" s="197"/>
      <c r="N616" s="197"/>
      <c r="O616" s="197"/>
      <c r="P616" s="197"/>
      <c r="Q616" s="197"/>
      <c r="R616" s="197"/>
      <c r="S616" s="197"/>
      <c r="T616" s="197"/>
      <c r="U616" s="197"/>
      <c r="V616" s="197"/>
      <c r="W616" s="197"/>
      <c r="X616" s="197"/>
      <c r="Y616" s="197"/>
      <c r="Z616" s="197"/>
    </row>
    <row r="617" ht="12.0" customHeight="1">
      <c r="A617" s="197"/>
      <c r="B617" s="198"/>
      <c r="C617" s="197"/>
      <c r="D617" s="197"/>
      <c r="E617" s="197"/>
      <c r="F617" s="197"/>
      <c r="G617" s="197"/>
      <c r="H617" s="197"/>
      <c r="I617" s="197"/>
      <c r="J617" s="197"/>
      <c r="K617" s="197"/>
      <c r="L617" s="197"/>
      <c r="M617" s="197"/>
      <c r="N617" s="197"/>
      <c r="O617" s="197"/>
      <c r="P617" s="197"/>
      <c r="Q617" s="197"/>
      <c r="R617" s="197"/>
      <c r="S617" s="197"/>
      <c r="T617" s="197"/>
      <c r="U617" s="197"/>
      <c r="V617" s="197"/>
      <c r="W617" s="197"/>
      <c r="X617" s="197"/>
      <c r="Y617" s="197"/>
      <c r="Z617" s="197"/>
    </row>
    <row r="618" ht="12.0" customHeight="1">
      <c r="A618" s="197"/>
      <c r="B618" s="198"/>
      <c r="C618" s="197"/>
      <c r="D618" s="197"/>
      <c r="E618" s="197"/>
      <c r="F618" s="197"/>
      <c r="G618" s="197"/>
      <c r="H618" s="197"/>
      <c r="I618" s="197"/>
      <c r="J618" s="197"/>
      <c r="K618" s="197"/>
      <c r="L618" s="197"/>
      <c r="M618" s="197"/>
      <c r="N618" s="197"/>
      <c r="O618" s="197"/>
      <c r="P618" s="197"/>
      <c r="Q618" s="197"/>
      <c r="R618" s="197"/>
      <c r="S618" s="197"/>
      <c r="T618" s="197"/>
      <c r="U618" s="197"/>
      <c r="V618" s="197"/>
      <c r="W618" s="197"/>
      <c r="X618" s="197"/>
      <c r="Y618" s="197"/>
      <c r="Z618" s="197"/>
    </row>
    <row r="619" ht="12.0" customHeight="1">
      <c r="A619" s="197"/>
      <c r="B619" s="198"/>
      <c r="C619" s="197"/>
      <c r="D619" s="197"/>
      <c r="E619" s="197"/>
      <c r="F619" s="197"/>
      <c r="G619" s="197"/>
      <c r="H619" s="197"/>
      <c r="I619" s="197"/>
      <c r="J619" s="197"/>
      <c r="K619" s="197"/>
      <c r="L619" s="197"/>
      <c r="M619" s="197"/>
      <c r="N619" s="197"/>
      <c r="O619" s="197"/>
      <c r="P619" s="197"/>
      <c r="Q619" s="197"/>
      <c r="R619" s="197"/>
      <c r="S619" s="197"/>
      <c r="T619" s="197"/>
      <c r="U619" s="197"/>
      <c r="V619" s="197"/>
      <c r="W619" s="197"/>
      <c r="X619" s="197"/>
      <c r="Y619" s="197"/>
      <c r="Z619" s="197"/>
    </row>
    <row r="620" ht="12.0" customHeight="1">
      <c r="A620" s="197"/>
      <c r="B620" s="198"/>
      <c r="C620" s="197"/>
      <c r="D620" s="197"/>
      <c r="E620" s="197"/>
      <c r="F620" s="197"/>
      <c r="G620" s="197"/>
      <c r="H620" s="197"/>
      <c r="I620" s="197"/>
      <c r="J620" s="197"/>
      <c r="K620" s="197"/>
      <c r="L620" s="197"/>
      <c r="M620" s="197"/>
      <c r="N620" s="197"/>
      <c r="O620" s="197"/>
      <c r="P620" s="197"/>
      <c r="Q620" s="197"/>
      <c r="R620" s="197"/>
      <c r="S620" s="197"/>
      <c r="T620" s="197"/>
      <c r="U620" s="197"/>
      <c r="V620" s="197"/>
      <c r="W620" s="197"/>
      <c r="X620" s="197"/>
      <c r="Y620" s="197"/>
      <c r="Z620" s="197"/>
    </row>
    <row r="621" ht="12.0" customHeight="1">
      <c r="A621" s="197"/>
      <c r="B621" s="198"/>
      <c r="C621" s="197"/>
      <c r="D621" s="197"/>
      <c r="E621" s="197"/>
      <c r="F621" s="197"/>
      <c r="G621" s="197"/>
      <c r="H621" s="197"/>
      <c r="I621" s="197"/>
      <c r="J621" s="197"/>
      <c r="K621" s="197"/>
      <c r="L621" s="197"/>
      <c r="M621" s="197"/>
      <c r="N621" s="197"/>
      <c r="O621" s="197"/>
      <c r="P621" s="197"/>
      <c r="Q621" s="197"/>
      <c r="R621" s="197"/>
      <c r="S621" s="197"/>
      <c r="T621" s="197"/>
      <c r="U621" s="197"/>
      <c r="V621" s="197"/>
      <c r="W621" s="197"/>
      <c r="X621" s="197"/>
      <c r="Y621" s="197"/>
      <c r="Z621" s="197"/>
    </row>
    <row r="622" ht="12.0" customHeight="1">
      <c r="A622" s="197"/>
      <c r="B622" s="198"/>
      <c r="C622" s="197"/>
      <c r="D622" s="197"/>
      <c r="E622" s="197"/>
      <c r="F622" s="197"/>
      <c r="G622" s="197"/>
      <c r="H622" s="197"/>
      <c r="I622" s="197"/>
      <c r="J622" s="197"/>
      <c r="K622" s="197"/>
      <c r="L622" s="197"/>
      <c r="M622" s="197"/>
      <c r="N622" s="197"/>
      <c r="O622" s="197"/>
      <c r="P622" s="197"/>
      <c r="Q622" s="197"/>
      <c r="R622" s="197"/>
      <c r="S622" s="197"/>
      <c r="T622" s="197"/>
      <c r="U622" s="197"/>
      <c r="V622" s="197"/>
      <c r="W622" s="197"/>
      <c r="X622" s="197"/>
      <c r="Y622" s="197"/>
      <c r="Z622" s="197"/>
    </row>
    <row r="623" ht="12.0" customHeight="1">
      <c r="A623" s="197"/>
      <c r="B623" s="198"/>
      <c r="C623" s="197"/>
      <c r="D623" s="197"/>
      <c r="E623" s="197"/>
      <c r="F623" s="197"/>
      <c r="G623" s="197"/>
      <c r="H623" s="197"/>
      <c r="I623" s="197"/>
      <c r="J623" s="197"/>
      <c r="K623" s="197"/>
      <c r="L623" s="197"/>
      <c r="M623" s="197"/>
      <c r="N623" s="197"/>
      <c r="O623" s="197"/>
      <c r="P623" s="197"/>
      <c r="Q623" s="197"/>
      <c r="R623" s="197"/>
      <c r="S623" s="197"/>
      <c r="T623" s="197"/>
      <c r="U623" s="197"/>
      <c r="V623" s="197"/>
      <c r="W623" s="197"/>
      <c r="X623" s="197"/>
      <c r="Y623" s="197"/>
      <c r="Z623" s="197"/>
    </row>
    <row r="624" ht="12.0" customHeight="1">
      <c r="A624" s="197"/>
      <c r="B624" s="198"/>
      <c r="C624" s="197"/>
      <c r="D624" s="197"/>
      <c r="E624" s="197"/>
      <c r="F624" s="197"/>
      <c r="G624" s="197"/>
      <c r="H624" s="197"/>
      <c r="I624" s="197"/>
      <c r="J624" s="197"/>
      <c r="K624" s="197"/>
      <c r="L624" s="197"/>
      <c r="M624" s="197"/>
      <c r="N624" s="197"/>
      <c r="O624" s="197"/>
      <c r="P624" s="197"/>
      <c r="Q624" s="197"/>
      <c r="R624" s="197"/>
      <c r="S624" s="197"/>
      <c r="T624" s="197"/>
      <c r="U624" s="197"/>
      <c r="V624" s="197"/>
      <c r="W624" s="197"/>
      <c r="X624" s="197"/>
      <c r="Y624" s="197"/>
      <c r="Z624" s="197"/>
    </row>
    <row r="625" ht="12.0" customHeight="1">
      <c r="A625" s="197"/>
      <c r="B625" s="198"/>
      <c r="C625" s="197"/>
      <c r="D625" s="197"/>
      <c r="E625" s="197"/>
      <c r="F625" s="197"/>
      <c r="G625" s="197"/>
      <c r="H625" s="197"/>
      <c r="I625" s="197"/>
      <c r="J625" s="197"/>
      <c r="K625" s="197"/>
      <c r="L625" s="197"/>
      <c r="M625" s="197"/>
      <c r="N625" s="197"/>
      <c r="O625" s="197"/>
      <c r="P625" s="197"/>
      <c r="Q625" s="197"/>
      <c r="R625" s="197"/>
      <c r="S625" s="197"/>
      <c r="T625" s="197"/>
      <c r="U625" s="197"/>
      <c r="V625" s="197"/>
      <c r="W625" s="197"/>
      <c r="X625" s="197"/>
      <c r="Y625" s="197"/>
      <c r="Z625" s="197"/>
    </row>
    <row r="626" ht="12.0" customHeight="1">
      <c r="A626" s="197"/>
      <c r="B626" s="198"/>
      <c r="C626" s="197"/>
      <c r="D626" s="197"/>
      <c r="E626" s="197"/>
      <c r="F626" s="197"/>
      <c r="G626" s="197"/>
      <c r="H626" s="197"/>
      <c r="I626" s="197"/>
      <c r="J626" s="197"/>
      <c r="K626" s="197"/>
      <c r="L626" s="197"/>
      <c r="M626" s="197"/>
      <c r="N626" s="197"/>
      <c r="O626" s="197"/>
      <c r="P626" s="197"/>
      <c r="Q626" s="197"/>
      <c r="R626" s="197"/>
      <c r="S626" s="197"/>
      <c r="T626" s="197"/>
      <c r="U626" s="197"/>
      <c r="V626" s="197"/>
      <c r="W626" s="197"/>
      <c r="X626" s="197"/>
      <c r="Y626" s="197"/>
      <c r="Z626" s="197"/>
    </row>
    <row r="627" ht="12.0" customHeight="1">
      <c r="A627" s="197"/>
      <c r="B627" s="198"/>
      <c r="C627" s="197"/>
      <c r="D627" s="197"/>
      <c r="E627" s="197"/>
      <c r="F627" s="197"/>
      <c r="G627" s="197"/>
      <c r="H627" s="197"/>
      <c r="I627" s="197"/>
      <c r="J627" s="197"/>
      <c r="K627" s="197"/>
      <c r="L627" s="197"/>
      <c r="M627" s="197"/>
      <c r="N627" s="197"/>
      <c r="O627" s="197"/>
      <c r="P627" s="197"/>
      <c r="Q627" s="197"/>
      <c r="R627" s="197"/>
      <c r="S627" s="197"/>
      <c r="T627" s="197"/>
      <c r="U627" s="197"/>
      <c r="V627" s="197"/>
      <c r="W627" s="197"/>
      <c r="X627" s="197"/>
      <c r="Y627" s="197"/>
      <c r="Z627" s="197"/>
    </row>
    <row r="628" ht="12.0" customHeight="1">
      <c r="A628" s="197"/>
      <c r="B628" s="198"/>
      <c r="C628" s="197"/>
      <c r="D628" s="197"/>
      <c r="E628" s="197"/>
      <c r="F628" s="197"/>
      <c r="G628" s="197"/>
      <c r="H628" s="197"/>
      <c r="I628" s="197"/>
      <c r="J628" s="197"/>
      <c r="K628" s="197"/>
      <c r="L628" s="197"/>
      <c r="M628" s="197"/>
      <c r="N628" s="197"/>
      <c r="O628" s="197"/>
      <c r="P628" s="197"/>
      <c r="Q628" s="197"/>
      <c r="R628" s="197"/>
      <c r="S628" s="197"/>
      <c r="T628" s="197"/>
      <c r="U628" s="197"/>
      <c r="V628" s="197"/>
      <c r="W628" s="197"/>
      <c r="X628" s="197"/>
      <c r="Y628" s="197"/>
      <c r="Z628" s="197"/>
    </row>
    <row r="629" ht="12.0" customHeight="1">
      <c r="A629" s="197"/>
      <c r="B629" s="198"/>
      <c r="C629" s="197"/>
      <c r="D629" s="197"/>
      <c r="E629" s="197"/>
      <c r="F629" s="197"/>
      <c r="G629" s="197"/>
      <c r="H629" s="197"/>
      <c r="I629" s="197"/>
      <c r="J629" s="197"/>
      <c r="K629" s="197"/>
      <c r="L629" s="197"/>
      <c r="M629" s="197"/>
      <c r="N629" s="197"/>
      <c r="O629" s="197"/>
      <c r="P629" s="197"/>
      <c r="Q629" s="197"/>
      <c r="R629" s="197"/>
      <c r="S629" s="197"/>
      <c r="T629" s="197"/>
      <c r="U629" s="197"/>
      <c r="V629" s="197"/>
      <c r="W629" s="197"/>
      <c r="X629" s="197"/>
      <c r="Y629" s="197"/>
      <c r="Z629" s="197"/>
    </row>
    <row r="630" ht="12.0" customHeight="1">
      <c r="A630" s="197"/>
      <c r="B630" s="198"/>
      <c r="C630" s="197"/>
      <c r="D630" s="197"/>
      <c r="E630" s="197"/>
      <c r="F630" s="197"/>
      <c r="G630" s="197"/>
      <c r="H630" s="197"/>
      <c r="I630" s="197"/>
      <c r="J630" s="197"/>
      <c r="K630" s="197"/>
      <c r="L630" s="197"/>
      <c r="M630" s="197"/>
      <c r="N630" s="197"/>
      <c r="O630" s="197"/>
      <c r="P630" s="197"/>
      <c r="Q630" s="197"/>
      <c r="R630" s="197"/>
      <c r="S630" s="197"/>
      <c r="T630" s="197"/>
      <c r="U630" s="197"/>
      <c r="V630" s="197"/>
      <c r="W630" s="197"/>
      <c r="X630" s="197"/>
      <c r="Y630" s="197"/>
      <c r="Z630" s="197"/>
    </row>
    <row r="631" ht="12.0" customHeight="1">
      <c r="A631" s="197"/>
      <c r="B631" s="198"/>
      <c r="C631" s="197"/>
      <c r="D631" s="197"/>
      <c r="E631" s="197"/>
      <c r="F631" s="197"/>
      <c r="G631" s="197"/>
      <c r="H631" s="197"/>
      <c r="I631" s="197"/>
      <c r="J631" s="197"/>
      <c r="K631" s="197"/>
      <c r="L631" s="197"/>
      <c r="M631" s="197"/>
      <c r="N631" s="197"/>
      <c r="O631" s="197"/>
      <c r="P631" s="197"/>
      <c r="Q631" s="197"/>
      <c r="R631" s="197"/>
      <c r="S631" s="197"/>
      <c r="T631" s="197"/>
      <c r="U631" s="197"/>
      <c r="V631" s="197"/>
      <c r="W631" s="197"/>
      <c r="X631" s="197"/>
      <c r="Y631" s="197"/>
      <c r="Z631" s="197"/>
    </row>
    <row r="632" ht="12.0" customHeight="1">
      <c r="A632" s="197"/>
      <c r="B632" s="198"/>
      <c r="C632" s="197"/>
      <c r="D632" s="197"/>
      <c r="E632" s="197"/>
      <c r="F632" s="197"/>
      <c r="G632" s="197"/>
      <c r="H632" s="197"/>
      <c r="I632" s="197"/>
      <c r="J632" s="197"/>
      <c r="K632" s="197"/>
      <c r="L632" s="197"/>
      <c r="M632" s="197"/>
      <c r="N632" s="197"/>
      <c r="O632" s="197"/>
      <c r="P632" s="197"/>
      <c r="Q632" s="197"/>
      <c r="R632" s="197"/>
      <c r="S632" s="197"/>
      <c r="T632" s="197"/>
      <c r="U632" s="197"/>
      <c r="V632" s="197"/>
      <c r="W632" s="197"/>
      <c r="X632" s="197"/>
      <c r="Y632" s="197"/>
      <c r="Z632" s="197"/>
    </row>
    <row r="633" ht="12.0" customHeight="1">
      <c r="A633" s="197"/>
      <c r="B633" s="198"/>
      <c r="C633" s="197"/>
      <c r="D633" s="197"/>
      <c r="E633" s="197"/>
      <c r="F633" s="197"/>
      <c r="G633" s="197"/>
      <c r="H633" s="197"/>
      <c r="I633" s="197"/>
      <c r="J633" s="197"/>
      <c r="K633" s="197"/>
      <c r="L633" s="197"/>
      <c r="M633" s="197"/>
      <c r="N633" s="197"/>
      <c r="O633" s="197"/>
      <c r="P633" s="197"/>
      <c r="Q633" s="197"/>
      <c r="R633" s="197"/>
      <c r="S633" s="197"/>
      <c r="T633" s="197"/>
      <c r="U633" s="197"/>
      <c r="V633" s="197"/>
      <c r="W633" s="197"/>
      <c r="X633" s="197"/>
      <c r="Y633" s="197"/>
      <c r="Z633" s="197"/>
    </row>
    <row r="634" ht="12.0" customHeight="1">
      <c r="A634" s="197"/>
      <c r="B634" s="198"/>
      <c r="C634" s="197"/>
      <c r="D634" s="197"/>
      <c r="E634" s="197"/>
      <c r="F634" s="197"/>
      <c r="G634" s="197"/>
      <c r="H634" s="197"/>
      <c r="I634" s="197"/>
      <c r="J634" s="197"/>
      <c r="K634" s="197"/>
      <c r="L634" s="197"/>
      <c r="M634" s="197"/>
      <c r="N634" s="197"/>
      <c r="O634" s="197"/>
      <c r="P634" s="197"/>
      <c r="Q634" s="197"/>
      <c r="R634" s="197"/>
      <c r="S634" s="197"/>
      <c r="T634" s="197"/>
      <c r="U634" s="197"/>
      <c r="V634" s="197"/>
      <c r="W634" s="197"/>
      <c r="X634" s="197"/>
      <c r="Y634" s="197"/>
      <c r="Z634" s="197"/>
    </row>
    <row r="635" ht="12.0" customHeight="1">
      <c r="A635" s="197"/>
      <c r="B635" s="198"/>
      <c r="C635" s="197"/>
      <c r="D635" s="197"/>
      <c r="E635" s="197"/>
      <c r="F635" s="197"/>
      <c r="G635" s="197"/>
      <c r="H635" s="197"/>
      <c r="I635" s="197"/>
      <c r="J635" s="197"/>
      <c r="K635" s="197"/>
      <c r="L635" s="197"/>
      <c r="M635" s="197"/>
      <c r="N635" s="197"/>
      <c r="O635" s="197"/>
      <c r="P635" s="197"/>
      <c r="Q635" s="197"/>
      <c r="R635" s="197"/>
      <c r="S635" s="197"/>
      <c r="T635" s="197"/>
      <c r="U635" s="197"/>
      <c r="V635" s="197"/>
      <c r="W635" s="197"/>
      <c r="X635" s="197"/>
      <c r="Y635" s="197"/>
      <c r="Z635" s="197"/>
    </row>
    <row r="636" ht="12.0" customHeight="1">
      <c r="A636" s="197"/>
      <c r="B636" s="198"/>
      <c r="C636" s="197"/>
      <c r="D636" s="197"/>
      <c r="E636" s="197"/>
      <c r="F636" s="197"/>
      <c r="G636" s="197"/>
      <c r="H636" s="197"/>
      <c r="I636" s="197"/>
      <c r="J636" s="197"/>
      <c r="K636" s="197"/>
      <c r="L636" s="197"/>
      <c r="M636" s="197"/>
      <c r="N636" s="197"/>
      <c r="O636" s="197"/>
      <c r="P636" s="197"/>
      <c r="Q636" s="197"/>
      <c r="R636" s="197"/>
      <c r="S636" s="197"/>
      <c r="T636" s="197"/>
      <c r="U636" s="197"/>
      <c r="V636" s="197"/>
      <c r="W636" s="197"/>
      <c r="X636" s="197"/>
      <c r="Y636" s="197"/>
      <c r="Z636" s="197"/>
    </row>
    <row r="637" ht="12.0" customHeight="1">
      <c r="A637" s="197"/>
      <c r="B637" s="198"/>
      <c r="C637" s="197"/>
      <c r="D637" s="197"/>
      <c r="E637" s="197"/>
      <c r="F637" s="197"/>
      <c r="G637" s="197"/>
      <c r="H637" s="197"/>
      <c r="I637" s="197"/>
      <c r="J637" s="197"/>
      <c r="K637" s="197"/>
      <c r="L637" s="197"/>
      <c r="M637" s="197"/>
      <c r="N637" s="197"/>
      <c r="O637" s="197"/>
      <c r="P637" s="197"/>
      <c r="Q637" s="197"/>
      <c r="R637" s="197"/>
      <c r="S637" s="197"/>
      <c r="T637" s="197"/>
      <c r="U637" s="197"/>
      <c r="V637" s="197"/>
      <c r="W637" s="197"/>
      <c r="X637" s="197"/>
      <c r="Y637" s="197"/>
      <c r="Z637" s="197"/>
    </row>
    <row r="638" ht="12.0" customHeight="1">
      <c r="A638" s="197"/>
      <c r="B638" s="198"/>
      <c r="C638" s="197"/>
      <c r="D638" s="197"/>
      <c r="E638" s="197"/>
      <c r="F638" s="197"/>
      <c r="G638" s="197"/>
      <c r="H638" s="197"/>
      <c r="I638" s="197"/>
      <c r="J638" s="197"/>
      <c r="K638" s="197"/>
      <c r="L638" s="197"/>
      <c r="M638" s="197"/>
      <c r="N638" s="197"/>
      <c r="O638" s="197"/>
      <c r="P638" s="197"/>
      <c r="Q638" s="197"/>
      <c r="R638" s="197"/>
      <c r="S638" s="197"/>
      <c r="T638" s="197"/>
      <c r="U638" s="197"/>
      <c r="V638" s="197"/>
      <c r="W638" s="197"/>
      <c r="X638" s="197"/>
      <c r="Y638" s="197"/>
      <c r="Z638" s="197"/>
    </row>
    <row r="639" ht="12.0" customHeight="1">
      <c r="A639" s="197"/>
      <c r="B639" s="198"/>
      <c r="C639" s="197"/>
      <c r="D639" s="197"/>
      <c r="E639" s="197"/>
      <c r="F639" s="197"/>
      <c r="G639" s="197"/>
      <c r="H639" s="197"/>
      <c r="I639" s="197"/>
      <c r="J639" s="197"/>
      <c r="K639" s="197"/>
      <c r="L639" s="197"/>
      <c r="M639" s="197"/>
      <c r="N639" s="197"/>
      <c r="O639" s="197"/>
      <c r="P639" s="197"/>
      <c r="Q639" s="197"/>
      <c r="R639" s="197"/>
      <c r="S639" s="197"/>
      <c r="T639" s="197"/>
      <c r="U639" s="197"/>
      <c r="V639" s="197"/>
      <c r="W639" s="197"/>
      <c r="X639" s="197"/>
      <c r="Y639" s="197"/>
      <c r="Z639" s="197"/>
    </row>
    <row r="640" ht="12.0" customHeight="1">
      <c r="A640" s="197"/>
      <c r="B640" s="198"/>
      <c r="C640" s="197"/>
      <c r="D640" s="197"/>
      <c r="E640" s="197"/>
      <c r="F640" s="197"/>
      <c r="G640" s="197"/>
      <c r="H640" s="197"/>
      <c r="I640" s="197"/>
      <c r="J640" s="197"/>
      <c r="K640" s="197"/>
      <c r="L640" s="197"/>
      <c r="M640" s="197"/>
      <c r="N640" s="197"/>
      <c r="O640" s="197"/>
      <c r="P640" s="197"/>
      <c r="Q640" s="197"/>
      <c r="R640" s="197"/>
      <c r="S640" s="197"/>
      <c r="T640" s="197"/>
      <c r="U640" s="197"/>
      <c r="V640" s="197"/>
      <c r="W640" s="197"/>
      <c r="X640" s="197"/>
      <c r="Y640" s="197"/>
      <c r="Z640" s="197"/>
    </row>
    <row r="641" ht="12.0" customHeight="1">
      <c r="A641" s="197"/>
      <c r="B641" s="198"/>
      <c r="C641" s="197"/>
      <c r="D641" s="197"/>
      <c r="E641" s="197"/>
      <c r="F641" s="197"/>
      <c r="G641" s="197"/>
      <c r="H641" s="197"/>
      <c r="I641" s="197"/>
      <c r="J641" s="197"/>
      <c r="K641" s="197"/>
      <c r="L641" s="197"/>
      <c r="M641" s="197"/>
      <c r="N641" s="197"/>
      <c r="O641" s="197"/>
      <c r="P641" s="197"/>
      <c r="Q641" s="197"/>
      <c r="R641" s="197"/>
      <c r="S641" s="197"/>
      <c r="T641" s="197"/>
      <c r="U641" s="197"/>
      <c r="V641" s="197"/>
      <c r="W641" s="197"/>
      <c r="X641" s="197"/>
      <c r="Y641" s="197"/>
      <c r="Z641" s="197"/>
    </row>
    <row r="642" ht="12.0" customHeight="1">
      <c r="A642" s="197"/>
      <c r="B642" s="198"/>
      <c r="C642" s="197"/>
      <c r="D642" s="197"/>
      <c r="E642" s="197"/>
      <c r="F642" s="197"/>
      <c r="G642" s="197"/>
      <c r="H642" s="197"/>
      <c r="I642" s="197"/>
      <c r="J642" s="197"/>
      <c r="K642" s="197"/>
      <c r="L642" s="197"/>
      <c r="M642" s="197"/>
      <c r="N642" s="197"/>
      <c r="O642" s="197"/>
      <c r="P642" s="197"/>
      <c r="Q642" s="197"/>
      <c r="R642" s="197"/>
      <c r="S642" s="197"/>
      <c r="T642" s="197"/>
      <c r="U642" s="197"/>
      <c r="V642" s="197"/>
      <c r="W642" s="197"/>
      <c r="X642" s="197"/>
      <c r="Y642" s="197"/>
      <c r="Z642" s="197"/>
    </row>
    <row r="643" ht="12.0" customHeight="1">
      <c r="A643" s="197"/>
      <c r="B643" s="198"/>
      <c r="C643" s="197"/>
      <c r="D643" s="197"/>
      <c r="E643" s="197"/>
      <c r="F643" s="197"/>
      <c r="G643" s="197"/>
      <c r="H643" s="197"/>
      <c r="I643" s="197"/>
      <c r="J643" s="197"/>
      <c r="K643" s="197"/>
      <c r="L643" s="197"/>
      <c r="M643" s="197"/>
      <c r="N643" s="197"/>
      <c r="O643" s="197"/>
      <c r="P643" s="197"/>
      <c r="Q643" s="197"/>
      <c r="R643" s="197"/>
      <c r="S643" s="197"/>
      <c r="T643" s="197"/>
      <c r="U643" s="197"/>
      <c r="V643" s="197"/>
      <c r="W643" s="197"/>
      <c r="X643" s="197"/>
      <c r="Y643" s="197"/>
      <c r="Z643" s="197"/>
    </row>
    <row r="644" ht="12.0" customHeight="1">
      <c r="A644" s="197"/>
      <c r="B644" s="198"/>
      <c r="C644" s="197"/>
      <c r="D644" s="197"/>
      <c r="E644" s="197"/>
      <c r="F644" s="197"/>
      <c r="G644" s="197"/>
      <c r="H644" s="197"/>
      <c r="I644" s="197"/>
      <c r="J644" s="197"/>
      <c r="K644" s="197"/>
      <c r="L644" s="197"/>
      <c r="M644" s="197"/>
      <c r="N644" s="197"/>
      <c r="O644" s="197"/>
      <c r="P644" s="197"/>
      <c r="Q644" s="197"/>
      <c r="R644" s="197"/>
      <c r="S644" s="197"/>
      <c r="T644" s="197"/>
      <c r="U644" s="197"/>
      <c r="V644" s="197"/>
      <c r="W644" s="197"/>
      <c r="X644" s="197"/>
      <c r="Y644" s="197"/>
      <c r="Z644" s="197"/>
    </row>
    <row r="645" ht="12.0" customHeight="1">
      <c r="A645" s="197"/>
      <c r="B645" s="198"/>
      <c r="C645" s="197"/>
      <c r="D645" s="197"/>
      <c r="E645" s="197"/>
      <c r="F645" s="197"/>
      <c r="G645" s="197"/>
      <c r="H645" s="197"/>
      <c r="I645" s="197"/>
      <c r="J645" s="197"/>
      <c r="K645" s="197"/>
      <c r="L645" s="197"/>
      <c r="M645" s="197"/>
      <c r="N645" s="197"/>
      <c r="O645" s="197"/>
      <c r="P645" s="197"/>
      <c r="Q645" s="197"/>
      <c r="R645" s="197"/>
      <c r="S645" s="197"/>
      <c r="T645" s="197"/>
      <c r="U645" s="197"/>
      <c r="V645" s="197"/>
      <c r="W645" s="197"/>
      <c r="X645" s="197"/>
      <c r="Y645" s="197"/>
      <c r="Z645" s="197"/>
    </row>
    <row r="646" ht="12.0" customHeight="1">
      <c r="A646" s="197"/>
      <c r="B646" s="198"/>
      <c r="C646" s="197"/>
      <c r="D646" s="197"/>
      <c r="E646" s="197"/>
      <c r="F646" s="197"/>
      <c r="G646" s="197"/>
      <c r="H646" s="197"/>
      <c r="I646" s="197"/>
      <c r="J646" s="197"/>
      <c r="K646" s="197"/>
      <c r="L646" s="197"/>
      <c r="M646" s="197"/>
      <c r="N646" s="197"/>
      <c r="O646" s="197"/>
      <c r="P646" s="197"/>
      <c r="Q646" s="197"/>
      <c r="R646" s="197"/>
      <c r="S646" s="197"/>
      <c r="T646" s="197"/>
      <c r="U646" s="197"/>
      <c r="V646" s="197"/>
      <c r="W646" s="197"/>
      <c r="X646" s="197"/>
      <c r="Y646" s="197"/>
      <c r="Z646" s="197"/>
    </row>
    <row r="647" ht="12.0" customHeight="1">
      <c r="A647" s="197"/>
      <c r="B647" s="198"/>
      <c r="C647" s="197"/>
      <c r="D647" s="197"/>
      <c r="E647" s="197"/>
      <c r="F647" s="197"/>
      <c r="G647" s="197"/>
      <c r="H647" s="197"/>
      <c r="I647" s="197"/>
      <c r="J647" s="197"/>
      <c r="K647" s="197"/>
      <c r="L647" s="197"/>
      <c r="M647" s="197"/>
      <c r="N647" s="197"/>
      <c r="O647" s="197"/>
      <c r="P647" s="197"/>
      <c r="Q647" s="197"/>
      <c r="R647" s="197"/>
      <c r="S647" s="197"/>
      <c r="T647" s="197"/>
      <c r="U647" s="197"/>
      <c r="V647" s="197"/>
      <c r="W647" s="197"/>
      <c r="X647" s="197"/>
      <c r="Y647" s="197"/>
      <c r="Z647" s="197"/>
    </row>
    <row r="648" ht="12.0" customHeight="1">
      <c r="A648" s="197"/>
      <c r="B648" s="198"/>
      <c r="C648" s="197"/>
      <c r="D648" s="197"/>
      <c r="E648" s="197"/>
      <c r="F648" s="197"/>
      <c r="G648" s="197"/>
      <c r="H648" s="197"/>
      <c r="I648" s="197"/>
      <c r="J648" s="197"/>
      <c r="K648" s="197"/>
      <c r="L648" s="197"/>
      <c r="M648" s="197"/>
      <c r="N648" s="197"/>
      <c r="O648" s="197"/>
      <c r="P648" s="197"/>
      <c r="Q648" s="197"/>
      <c r="R648" s="197"/>
      <c r="S648" s="197"/>
      <c r="T648" s="197"/>
      <c r="U648" s="197"/>
      <c r="V648" s="197"/>
      <c r="W648" s="197"/>
      <c r="X648" s="197"/>
      <c r="Y648" s="197"/>
      <c r="Z648" s="197"/>
    </row>
    <row r="649" ht="12.0" customHeight="1">
      <c r="A649" s="197"/>
      <c r="B649" s="198"/>
      <c r="C649" s="197"/>
      <c r="D649" s="197"/>
      <c r="E649" s="197"/>
      <c r="F649" s="197"/>
      <c r="G649" s="197"/>
      <c r="H649" s="197"/>
      <c r="I649" s="197"/>
      <c r="J649" s="197"/>
      <c r="K649" s="197"/>
      <c r="L649" s="197"/>
      <c r="M649" s="197"/>
      <c r="N649" s="197"/>
      <c r="O649" s="197"/>
      <c r="P649" s="197"/>
      <c r="Q649" s="197"/>
      <c r="R649" s="197"/>
      <c r="S649" s="197"/>
      <c r="T649" s="197"/>
      <c r="U649" s="197"/>
      <c r="V649" s="197"/>
      <c r="W649" s="197"/>
      <c r="X649" s="197"/>
      <c r="Y649" s="197"/>
      <c r="Z649" s="197"/>
    </row>
    <row r="650" ht="12.0" customHeight="1">
      <c r="A650" s="197"/>
      <c r="B650" s="198"/>
      <c r="C650" s="197"/>
      <c r="D650" s="197"/>
      <c r="E650" s="197"/>
      <c r="F650" s="197"/>
      <c r="G650" s="197"/>
      <c r="H650" s="197"/>
      <c r="I650" s="197"/>
      <c r="J650" s="197"/>
      <c r="K650" s="197"/>
      <c r="L650" s="197"/>
      <c r="M650" s="197"/>
      <c r="N650" s="197"/>
      <c r="O650" s="197"/>
      <c r="P650" s="197"/>
      <c r="Q650" s="197"/>
      <c r="R650" s="197"/>
      <c r="S650" s="197"/>
      <c r="T650" s="197"/>
      <c r="U650" s="197"/>
      <c r="V650" s="197"/>
      <c r="W650" s="197"/>
      <c r="X650" s="197"/>
      <c r="Y650" s="197"/>
      <c r="Z650" s="197"/>
    </row>
    <row r="651" ht="12.0" customHeight="1">
      <c r="A651" s="197"/>
      <c r="B651" s="198"/>
      <c r="C651" s="197"/>
      <c r="D651" s="197"/>
      <c r="E651" s="197"/>
      <c r="F651" s="197"/>
      <c r="G651" s="197"/>
      <c r="H651" s="197"/>
      <c r="I651" s="197"/>
      <c r="J651" s="197"/>
      <c r="K651" s="197"/>
      <c r="L651" s="197"/>
      <c r="M651" s="197"/>
      <c r="N651" s="197"/>
      <c r="O651" s="197"/>
      <c r="P651" s="197"/>
      <c r="Q651" s="197"/>
      <c r="R651" s="197"/>
      <c r="S651" s="197"/>
      <c r="T651" s="197"/>
      <c r="U651" s="197"/>
      <c r="V651" s="197"/>
      <c r="W651" s="197"/>
      <c r="X651" s="197"/>
      <c r="Y651" s="197"/>
      <c r="Z651" s="197"/>
    </row>
    <row r="652" ht="12.0" customHeight="1">
      <c r="A652" s="197"/>
      <c r="B652" s="198"/>
      <c r="C652" s="197"/>
      <c r="D652" s="197"/>
      <c r="E652" s="197"/>
      <c r="F652" s="197"/>
      <c r="G652" s="197"/>
      <c r="H652" s="197"/>
      <c r="I652" s="197"/>
      <c r="J652" s="197"/>
      <c r="K652" s="197"/>
      <c r="L652" s="197"/>
      <c r="M652" s="197"/>
      <c r="N652" s="197"/>
      <c r="O652" s="197"/>
      <c r="P652" s="197"/>
      <c r="Q652" s="197"/>
      <c r="R652" s="197"/>
      <c r="S652" s="197"/>
      <c r="T652" s="197"/>
      <c r="U652" s="197"/>
      <c r="V652" s="197"/>
      <c r="W652" s="197"/>
      <c r="X652" s="197"/>
      <c r="Y652" s="197"/>
      <c r="Z652" s="197"/>
    </row>
    <row r="653" ht="12.0" customHeight="1">
      <c r="A653" s="197"/>
      <c r="B653" s="198"/>
      <c r="C653" s="197"/>
      <c r="D653" s="197"/>
      <c r="E653" s="197"/>
      <c r="F653" s="197"/>
      <c r="G653" s="197"/>
      <c r="H653" s="197"/>
      <c r="I653" s="197"/>
      <c r="J653" s="197"/>
      <c r="K653" s="197"/>
      <c r="L653" s="197"/>
      <c r="M653" s="197"/>
      <c r="N653" s="197"/>
      <c r="O653" s="197"/>
      <c r="P653" s="197"/>
      <c r="Q653" s="197"/>
      <c r="R653" s="197"/>
      <c r="S653" s="197"/>
      <c r="T653" s="197"/>
      <c r="U653" s="197"/>
      <c r="V653" s="197"/>
      <c r="W653" s="197"/>
      <c r="X653" s="197"/>
      <c r="Y653" s="197"/>
      <c r="Z653" s="197"/>
    </row>
    <row r="654" ht="12.0" customHeight="1">
      <c r="A654" s="197"/>
      <c r="B654" s="198"/>
      <c r="C654" s="197"/>
      <c r="D654" s="197"/>
      <c r="E654" s="197"/>
      <c r="F654" s="197"/>
      <c r="G654" s="197"/>
      <c r="H654" s="197"/>
      <c r="I654" s="197"/>
      <c r="J654" s="197"/>
      <c r="K654" s="197"/>
      <c r="L654" s="197"/>
      <c r="M654" s="197"/>
      <c r="N654" s="197"/>
      <c r="O654" s="197"/>
      <c r="P654" s="197"/>
      <c r="Q654" s="197"/>
      <c r="R654" s="197"/>
      <c r="S654" s="197"/>
      <c r="T654" s="197"/>
      <c r="U654" s="197"/>
      <c r="V654" s="197"/>
      <c r="W654" s="197"/>
      <c r="X654" s="197"/>
      <c r="Y654" s="197"/>
      <c r="Z654" s="197"/>
    </row>
    <row r="655" ht="12.0" customHeight="1">
      <c r="A655" s="197"/>
      <c r="B655" s="198"/>
      <c r="C655" s="197"/>
      <c r="D655" s="197"/>
      <c r="E655" s="197"/>
      <c r="F655" s="197"/>
      <c r="G655" s="197"/>
      <c r="H655" s="197"/>
      <c r="I655" s="197"/>
      <c r="J655" s="197"/>
      <c r="K655" s="197"/>
      <c r="L655" s="197"/>
      <c r="M655" s="197"/>
      <c r="N655" s="197"/>
      <c r="O655" s="197"/>
      <c r="P655" s="197"/>
      <c r="Q655" s="197"/>
      <c r="R655" s="197"/>
      <c r="S655" s="197"/>
      <c r="T655" s="197"/>
      <c r="U655" s="197"/>
      <c r="V655" s="197"/>
      <c r="W655" s="197"/>
      <c r="X655" s="197"/>
      <c r="Y655" s="197"/>
      <c r="Z655" s="197"/>
    </row>
    <row r="656" ht="12.0" customHeight="1">
      <c r="A656" s="197"/>
      <c r="B656" s="198"/>
      <c r="C656" s="197"/>
      <c r="D656" s="197"/>
      <c r="E656" s="197"/>
      <c r="F656" s="197"/>
      <c r="G656" s="197"/>
      <c r="H656" s="197"/>
      <c r="I656" s="197"/>
      <c r="J656" s="197"/>
      <c r="K656" s="197"/>
      <c r="L656" s="197"/>
      <c r="M656" s="197"/>
      <c r="N656" s="197"/>
      <c r="O656" s="197"/>
      <c r="P656" s="197"/>
      <c r="Q656" s="197"/>
      <c r="R656" s="197"/>
      <c r="S656" s="197"/>
      <c r="T656" s="197"/>
      <c r="U656" s="197"/>
      <c r="V656" s="197"/>
      <c r="W656" s="197"/>
      <c r="X656" s="197"/>
      <c r="Y656" s="197"/>
      <c r="Z656" s="197"/>
    </row>
    <row r="657" ht="12.0" customHeight="1">
      <c r="A657" s="197"/>
      <c r="B657" s="198"/>
      <c r="C657" s="197"/>
      <c r="D657" s="197"/>
      <c r="E657" s="197"/>
      <c r="F657" s="197"/>
      <c r="G657" s="197"/>
      <c r="H657" s="197"/>
      <c r="I657" s="197"/>
      <c r="J657" s="197"/>
      <c r="K657" s="197"/>
      <c r="L657" s="197"/>
      <c r="M657" s="197"/>
      <c r="N657" s="197"/>
      <c r="O657" s="197"/>
      <c r="P657" s="197"/>
      <c r="Q657" s="197"/>
      <c r="R657" s="197"/>
      <c r="S657" s="197"/>
      <c r="T657" s="197"/>
      <c r="U657" s="197"/>
      <c r="V657" s="197"/>
      <c r="W657" s="197"/>
      <c r="X657" s="197"/>
      <c r="Y657" s="197"/>
      <c r="Z657" s="197"/>
    </row>
    <row r="658" ht="12.0" customHeight="1">
      <c r="A658" s="197"/>
      <c r="B658" s="198"/>
      <c r="C658" s="197"/>
      <c r="D658" s="197"/>
      <c r="E658" s="197"/>
      <c r="F658" s="197"/>
      <c r="G658" s="197"/>
      <c r="H658" s="197"/>
      <c r="I658" s="197"/>
      <c r="J658" s="197"/>
      <c r="K658" s="197"/>
      <c r="L658" s="197"/>
      <c r="M658" s="197"/>
      <c r="N658" s="197"/>
      <c r="O658" s="197"/>
      <c r="P658" s="197"/>
      <c r="Q658" s="197"/>
      <c r="R658" s="197"/>
      <c r="S658" s="197"/>
      <c r="T658" s="197"/>
      <c r="U658" s="197"/>
      <c r="V658" s="197"/>
      <c r="W658" s="197"/>
      <c r="X658" s="197"/>
      <c r="Y658" s="197"/>
      <c r="Z658" s="197"/>
    </row>
    <row r="659" ht="12.0" customHeight="1">
      <c r="A659" s="197"/>
      <c r="B659" s="198"/>
      <c r="C659" s="197"/>
      <c r="D659" s="197"/>
      <c r="E659" s="197"/>
      <c r="F659" s="197"/>
      <c r="G659" s="197"/>
      <c r="H659" s="197"/>
      <c r="I659" s="197"/>
      <c r="J659" s="197"/>
      <c r="K659" s="197"/>
      <c r="L659" s="197"/>
      <c r="M659" s="197"/>
      <c r="N659" s="197"/>
      <c r="O659" s="197"/>
      <c r="P659" s="197"/>
      <c r="Q659" s="197"/>
      <c r="R659" s="197"/>
      <c r="S659" s="197"/>
      <c r="T659" s="197"/>
      <c r="U659" s="197"/>
      <c r="V659" s="197"/>
      <c r="W659" s="197"/>
      <c r="X659" s="197"/>
      <c r="Y659" s="197"/>
      <c r="Z659" s="197"/>
    </row>
    <row r="660" ht="12.0" customHeight="1">
      <c r="A660" s="197"/>
      <c r="B660" s="198"/>
      <c r="C660" s="197"/>
      <c r="D660" s="197"/>
      <c r="E660" s="197"/>
      <c r="F660" s="197"/>
      <c r="G660" s="197"/>
      <c r="H660" s="197"/>
      <c r="I660" s="197"/>
      <c r="J660" s="197"/>
      <c r="K660" s="197"/>
      <c r="L660" s="197"/>
      <c r="M660" s="197"/>
      <c r="N660" s="197"/>
      <c r="O660" s="197"/>
      <c r="P660" s="197"/>
      <c r="Q660" s="197"/>
      <c r="R660" s="197"/>
      <c r="S660" s="197"/>
      <c r="T660" s="197"/>
      <c r="U660" s="197"/>
      <c r="V660" s="197"/>
      <c r="W660" s="197"/>
      <c r="X660" s="197"/>
      <c r="Y660" s="197"/>
      <c r="Z660" s="197"/>
    </row>
    <row r="661" ht="12.0" customHeight="1">
      <c r="A661" s="197"/>
      <c r="B661" s="198"/>
      <c r="C661" s="197"/>
      <c r="D661" s="197"/>
      <c r="E661" s="197"/>
      <c r="F661" s="197"/>
      <c r="G661" s="197"/>
      <c r="H661" s="197"/>
      <c r="I661" s="197"/>
      <c r="J661" s="197"/>
      <c r="K661" s="197"/>
      <c r="L661" s="197"/>
      <c r="M661" s="197"/>
      <c r="N661" s="197"/>
      <c r="O661" s="197"/>
      <c r="P661" s="197"/>
      <c r="Q661" s="197"/>
      <c r="R661" s="197"/>
      <c r="S661" s="197"/>
      <c r="T661" s="197"/>
      <c r="U661" s="197"/>
      <c r="V661" s="197"/>
      <c r="W661" s="197"/>
      <c r="X661" s="197"/>
      <c r="Y661" s="197"/>
      <c r="Z661" s="197"/>
    </row>
    <row r="662" ht="12.0" customHeight="1">
      <c r="A662" s="197"/>
      <c r="B662" s="198"/>
      <c r="C662" s="197"/>
      <c r="D662" s="197"/>
      <c r="E662" s="197"/>
      <c r="F662" s="197"/>
      <c r="G662" s="197"/>
      <c r="H662" s="197"/>
      <c r="I662" s="197"/>
      <c r="J662" s="197"/>
      <c r="K662" s="197"/>
      <c r="L662" s="197"/>
      <c r="M662" s="197"/>
      <c r="N662" s="197"/>
      <c r="O662" s="197"/>
      <c r="P662" s="197"/>
      <c r="Q662" s="197"/>
      <c r="R662" s="197"/>
      <c r="S662" s="197"/>
      <c r="T662" s="197"/>
      <c r="U662" s="197"/>
      <c r="V662" s="197"/>
      <c r="W662" s="197"/>
      <c r="X662" s="197"/>
      <c r="Y662" s="197"/>
      <c r="Z662" s="197"/>
    </row>
    <row r="663" ht="12.0" customHeight="1">
      <c r="A663" s="197"/>
      <c r="B663" s="198"/>
      <c r="C663" s="197"/>
      <c r="D663" s="197"/>
      <c r="E663" s="197"/>
      <c r="F663" s="197"/>
      <c r="G663" s="197"/>
      <c r="H663" s="197"/>
      <c r="I663" s="197"/>
      <c r="J663" s="197"/>
      <c r="K663" s="197"/>
      <c r="L663" s="197"/>
      <c r="M663" s="197"/>
      <c r="N663" s="197"/>
      <c r="O663" s="197"/>
      <c r="P663" s="197"/>
      <c r="Q663" s="197"/>
      <c r="R663" s="197"/>
      <c r="S663" s="197"/>
      <c r="T663" s="197"/>
      <c r="U663" s="197"/>
      <c r="V663" s="197"/>
      <c r="W663" s="197"/>
      <c r="X663" s="197"/>
      <c r="Y663" s="197"/>
      <c r="Z663" s="197"/>
    </row>
    <row r="664" ht="12.0" customHeight="1">
      <c r="A664" s="197"/>
      <c r="B664" s="198"/>
      <c r="C664" s="197"/>
      <c r="D664" s="197"/>
      <c r="E664" s="197"/>
      <c r="F664" s="197"/>
      <c r="G664" s="197"/>
      <c r="H664" s="197"/>
      <c r="I664" s="197"/>
      <c r="J664" s="197"/>
      <c r="K664" s="197"/>
      <c r="L664" s="197"/>
      <c r="M664" s="197"/>
      <c r="N664" s="197"/>
      <c r="O664" s="197"/>
      <c r="P664" s="197"/>
      <c r="Q664" s="197"/>
      <c r="R664" s="197"/>
      <c r="S664" s="197"/>
      <c r="T664" s="197"/>
      <c r="U664" s="197"/>
      <c r="V664" s="197"/>
      <c r="W664" s="197"/>
      <c r="X664" s="197"/>
      <c r="Y664" s="197"/>
      <c r="Z664" s="197"/>
    </row>
    <row r="665" ht="12.0" customHeight="1">
      <c r="A665" s="197"/>
      <c r="B665" s="198"/>
      <c r="C665" s="197"/>
      <c r="D665" s="197"/>
      <c r="E665" s="197"/>
      <c r="F665" s="197"/>
      <c r="G665" s="197"/>
      <c r="H665" s="197"/>
      <c r="I665" s="197"/>
      <c r="J665" s="197"/>
      <c r="K665" s="197"/>
      <c r="L665" s="197"/>
      <c r="M665" s="197"/>
      <c r="N665" s="197"/>
      <c r="O665" s="197"/>
      <c r="P665" s="197"/>
      <c r="Q665" s="197"/>
      <c r="R665" s="197"/>
      <c r="S665" s="197"/>
      <c r="T665" s="197"/>
      <c r="U665" s="197"/>
      <c r="V665" s="197"/>
      <c r="W665" s="197"/>
      <c r="X665" s="197"/>
      <c r="Y665" s="197"/>
      <c r="Z665" s="197"/>
    </row>
    <row r="666" ht="12.0" customHeight="1">
      <c r="A666" s="197"/>
      <c r="B666" s="198"/>
      <c r="C666" s="197"/>
      <c r="D666" s="197"/>
      <c r="E666" s="197"/>
      <c r="F666" s="197"/>
      <c r="G666" s="197"/>
      <c r="H666" s="197"/>
      <c r="I666" s="197"/>
      <c r="J666" s="197"/>
      <c r="K666" s="197"/>
      <c r="L666" s="197"/>
      <c r="M666" s="197"/>
      <c r="N666" s="197"/>
      <c r="O666" s="197"/>
      <c r="P666" s="197"/>
      <c r="Q666" s="197"/>
      <c r="R666" s="197"/>
      <c r="S666" s="197"/>
      <c r="T666" s="197"/>
      <c r="U666" s="197"/>
      <c r="V666" s="197"/>
      <c r="W666" s="197"/>
      <c r="X666" s="197"/>
      <c r="Y666" s="197"/>
      <c r="Z666" s="197"/>
    </row>
    <row r="667" ht="12.0" customHeight="1">
      <c r="A667" s="197"/>
      <c r="B667" s="198"/>
      <c r="C667" s="197"/>
      <c r="D667" s="197"/>
      <c r="E667" s="197"/>
      <c r="F667" s="197"/>
      <c r="G667" s="197"/>
      <c r="H667" s="197"/>
      <c r="I667" s="197"/>
      <c r="J667" s="197"/>
      <c r="K667" s="197"/>
      <c r="L667" s="197"/>
      <c r="M667" s="197"/>
      <c r="N667" s="197"/>
      <c r="O667" s="197"/>
      <c r="P667" s="197"/>
      <c r="Q667" s="197"/>
      <c r="R667" s="197"/>
      <c r="S667" s="197"/>
      <c r="T667" s="197"/>
      <c r="U667" s="197"/>
      <c r="V667" s="197"/>
      <c r="W667" s="197"/>
      <c r="X667" s="197"/>
      <c r="Y667" s="197"/>
      <c r="Z667" s="197"/>
    </row>
    <row r="668" ht="12.0" customHeight="1">
      <c r="A668" s="197"/>
      <c r="B668" s="198"/>
      <c r="C668" s="197"/>
      <c r="D668" s="197"/>
      <c r="E668" s="197"/>
      <c r="F668" s="197"/>
      <c r="G668" s="197"/>
      <c r="H668" s="197"/>
      <c r="I668" s="197"/>
      <c r="J668" s="197"/>
      <c r="K668" s="197"/>
      <c r="L668" s="197"/>
      <c r="M668" s="197"/>
      <c r="N668" s="197"/>
      <c r="O668" s="197"/>
      <c r="P668" s="197"/>
      <c r="Q668" s="197"/>
      <c r="R668" s="197"/>
      <c r="S668" s="197"/>
      <c r="T668" s="197"/>
      <c r="U668" s="197"/>
      <c r="V668" s="197"/>
      <c r="W668" s="197"/>
      <c r="X668" s="197"/>
      <c r="Y668" s="197"/>
      <c r="Z668" s="197"/>
    </row>
    <row r="669" ht="12.0" customHeight="1">
      <c r="A669" s="197"/>
      <c r="B669" s="198"/>
      <c r="C669" s="197"/>
      <c r="D669" s="197"/>
      <c r="E669" s="197"/>
      <c r="F669" s="197"/>
      <c r="G669" s="197"/>
      <c r="H669" s="197"/>
      <c r="I669" s="197"/>
      <c r="J669" s="197"/>
      <c r="K669" s="197"/>
      <c r="L669" s="197"/>
      <c r="M669" s="197"/>
      <c r="N669" s="197"/>
      <c r="O669" s="197"/>
      <c r="P669" s="197"/>
      <c r="Q669" s="197"/>
      <c r="R669" s="197"/>
      <c r="S669" s="197"/>
      <c r="T669" s="197"/>
      <c r="U669" s="197"/>
      <c r="V669" s="197"/>
      <c r="W669" s="197"/>
      <c r="X669" s="197"/>
      <c r="Y669" s="197"/>
      <c r="Z669" s="197"/>
    </row>
    <row r="670" ht="12.0" customHeight="1">
      <c r="A670" s="197"/>
      <c r="B670" s="198"/>
      <c r="C670" s="197"/>
      <c r="D670" s="197"/>
      <c r="E670" s="197"/>
      <c r="F670" s="197"/>
      <c r="G670" s="197"/>
      <c r="H670" s="197"/>
      <c r="I670" s="197"/>
      <c r="J670" s="197"/>
      <c r="K670" s="197"/>
      <c r="L670" s="197"/>
      <c r="M670" s="197"/>
      <c r="N670" s="197"/>
      <c r="O670" s="197"/>
      <c r="P670" s="197"/>
      <c r="Q670" s="197"/>
      <c r="R670" s="197"/>
      <c r="S670" s="197"/>
      <c r="T670" s="197"/>
      <c r="U670" s="197"/>
      <c r="V670" s="197"/>
      <c r="W670" s="197"/>
      <c r="X670" s="197"/>
      <c r="Y670" s="197"/>
      <c r="Z670" s="197"/>
    </row>
    <row r="671" ht="12.0" customHeight="1">
      <c r="A671" s="197"/>
      <c r="B671" s="198"/>
      <c r="C671" s="197"/>
      <c r="D671" s="197"/>
      <c r="E671" s="197"/>
      <c r="F671" s="197"/>
      <c r="G671" s="197"/>
      <c r="H671" s="197"/>
      <c r="I671" s="197"/>
      <c r="J671" s="197"/>
      <c r="K671" s="197"/>
      <c r="L671" s="197"/>
      <c r="M671" s="197"/>
      <c r="N671" s="197"/>
      <c r="O671" s="197"/>
      <c r="P671" s="197"/>
      <c r="Q671" s="197"/>
      <c r="R671" s="197"/>
      <c r="S671" s="197"/>
      <c r="T671" s="197"/>
      <c r="U671" s="197"/>
      <c r="V671" s="197"/>
      <c r="W671" s="197"/>
      <c r="X671" s="197"/>
      <c r="Y671" s="197"/>
      <c r="Z671" s="197"/>
    </row>
    <row r="672" ht="12.0" customHeight="1">
      <c r="A672" s="197"/>
      <c r="B672" s="198"/>
      <c r="C672" s="197"/>
      <c r="D672" s="197"/>
      <c r="E672" s="197"/>
      <c r="F672" s="197"/>
      <c r="G672" s="197"/>
      <c r="H672" s="197"/>
      <c r="I672" s="197"/>
      <c r="J672" s="197"/>
      <c r="K672" s="197"/>
      <c r="L672" s="197"/>
      <c r="M672" s="197"/>
      <c r="N672" s="197"/>
      <c r="O672" s="197"/>
      <c r="P672" s="197"/>
      <c r="Q672" s="197"/>
      <c r="R672" s="197"/>
      <c r="S672" s="197"/>
      <c r="T672" s="197"/>
      <c r="U672" s="197"/>
      <c r="V672" s="197"/>
      <c r="W672" s="197"/>
      <c r="X672" s="197"/>
      <c r="Y672" s="197"/>
      <c r="Z672" s="197"/>
    </row>
    <row r="673" ht="12.0" customHeight="1">
      <c r="A673" s="197"/>
      <c r="B673" s="198"/>
      <c r="C673" s="197"/>
      <c r="D673" s="197"/>
      <c r="E673" s="197"/>
      <c r="F673" s="197"/>
      <c r="G673" s="197"/>
      <c r="H673" s="197"/>
      <c r="I673" s="197"/>
      <c r="J673" s="197"/>
      <c r="K673" s="197"/>
      <c r="L673" s="197"/>
      <c r="M673" s="197"/>
      <c r="N673" s="197"/>
      <c r="O673" s="197"/>
      <c r="P673" s="197"/>
      <c r="Q673" s="197"/>
      <c r="R673" s="197"/>
      <c r="S673" s="197"/>
      <c r="T673" s="197"/>
      <c r="U673" s="197"/>
      <c r="V673" s="197"/>
      <c r="W673" s="197"/>
      <c r="X673" s="197"/>
      <c r="Y673" s="197"/>
      <c r="Z673" s="197"/>
    </row>
    <row r="674" ht="12.0" customHeight="1">
      <c r="A674" s="197"/>
      <c r="B674" s="198"/>
      <c r="C674" s="197"/>
      <c r="D674" s="197"/>
      <c r="E674" s="197"/>
      <c r="F674" s="197"/>
      <c r="G674" s="197"/>
      <c r="H674" s="197"/>
      <c r="I674" s="197"/>
      <c r="J674" s="197"/>
      <c r="K674" s="197"/>
      <c r="L674" s="197"/>
      <c r="M674" s="197"/>
      <c r="N674" s="197"/>
      <c r="O674" s="197"/>
      <c r="P674" s="197"/>
      <c r="Q674" s="197"/>
      <c r="R674" s="197"/>
      <c r="S674" s="197"/>
      <c r="T674" s="197"/>
      <c r="U674" s="197"/>
      <c r="V674" s="197"/>
      <c r="W674" s="197"/>
      <c r="X674" s="197"/>
      <c r="Y674" s="197"/>
      <c r="Z674" s="197"/>
    </row>
    <row r="675" ht="12.0" customHeight="1">
      <c r="A675" s="197"/>
      <c r="B675" s="198"/>
      <c r="C675" s="197"/>
      <c r="D675" s="197"/>
      <c r="E675" s="197"/>
      <c r="F675" s="197"/>
      <c r="G675" s="197"/>
      <c r="H675" s="197"/>
      <c r="I675" s="197"/>
      <c r="J675" s="197"/>
      <c r="K675" s="197"/>
      <c r="L675" s="197"/>
      <c r="M675" s="197"/>
      <c r="N675" s="197"/>
      <c r="O675" s="197"/>
      <c r="P675" s="197"/>
      <c r="Q675" s="197"/>
      <c r="R675" s="197"/>
      <c r="S675" s="197"/>
      <c r="T675" s="197"/>
      <c r="U675" s="197"/>
      <c r="V675" s="197"/>
      <c r="W675" s="197"/>
      <c r="X675" s="197"/>
      <c r="Y675" s="197"/>
      <c r="Z675" s="197"/>
    </row>
    <row r="676" ht="12.0" customHeight="1">
      <c r="A676" s="197"/>
      <c r="B676" s="198"/>
      <c r="C676" s="197"/>
      <c r="D676" s="197"/>
      <c r="E676" s="197"/>
      <c r="F676" s="197"/>
      <c r="G676" s="197"/>
      <c r="H676" s="197"/>
      <c r="I676" s="197"/>
      <c r="J676" s="197"/>
      <c r="K676" s="197"/>
      <c r="L676" s="197"/>
      <c r="M676" s="197"/>
      <c r="N676" s="197"/>
      <c r="O676" s="197"/>
      <c r="P676" s="197"/>
      <c r="Q676" s="197"/>
      <c r="R676" s="197"/>
      <c r="S676" s="197"/>
      <c r="T676" s="197"/>
      <c r="U676" s="197"/>
      <c r="V676" s="197"/>
      <c r="W676" s="197"/>
      <c r="X676" s="197"/>
      <c r="Y676" s="197"/>
      <c r="Z676" s="197"/>
    </row>
    <row r="677" ht="12.0" customHeight="1">
      <c r="A677" s="197"/>
      <c r="B677" s="198"/>
      <c r="C677" s="197"/>
      <c r="D677" s="197"/>
      <c r="E677" s="197"/>
      <c r="F677" s="197"/>
      <c r="G677" s="197"/>
      <c r="H677" s="197"/>
      <c r="I677" s="197"/>
      <c r="J677" s="197"/>
      <c r="K677" s="197"/>
      <c r="L677" s="197"/>
      <c r="M677" s="197"/>
      <c r="N677" s="197"/>
      <c r="O677" s="197"/>
      <c r="P677" s="197"/>
      <c r="Q677" s="197"/>
      <c r="R677" s="197"/>
      <c r="S677" s="197"/>
      <c r="T677" s="197"/>
      <c r="U677" s="197"/>
      <c r="V677" s="197"/>
      <c r="W677" s="197"/>
      <c r="X677" s="197"/>
      <c r="Y677" s="197"/>
      <c r="Z677" s="197"/>
    </row>
    <row r="678" ht="12.0" customHeight="1">
      <c r="A678" s="197"/>
      <c r="B678" s="198"/>
      <c r="C678" s="197"/>
      <c r="D678" s="197"/>
      <c r="E678" s="197"/>
      <c r="F678" s="197"/>
      <c r="G678" s="197"/>
      <c r="H678" s="197"/>
      <c r="I678" s="197"/>
      <c r="J678" s="197"/>
      <c r="K678" s="197"/>
      <c r="L678" s="197"/>
      <c r="M678" s="197"/>
      <c r="N678" s="197"/>
      <c r="O678" s="197"/>
      <c r="P678" s="197"/>
      <c r="Q678" s="197"/>
      <c r="R678" s="197"/>
      <c r="S678" s="197"/>
      <c r="T678" s="197"/>
      <c r="U678" s="197"/>
      <c r="V678" s="197"/>
      <c r="W678" s="197"/>
      <c r="X678" s="197"/>
      <c r="Y678" s="197"/>
      <c r="Z678" s="197"/>
    </row>
    <row r="679" ht="12.0" customHeight="1">
      <c r="A679" s="197"/>
      <c r="B679" s="198"/>
      <c r="C679" s="197"/>
      <c r="D679" s="197"/>
      <c r="E679" s="197"/>
      <c r="F679" s="197"/>
      <c r="G679" s="197"/>
      <c r="H679" s="197"/>
      <c r="I679" s="197"/>
      <c r="J679" s="197"/>
      <c r="K679" s="197"/>
      <c r="L679" s="197"/>
      <c r="M679" s="197"/>
      <c r="N679" s="197"/>
      <c r="O679" s="197"/>
      <c r="P679" s="197"/>
      <c r="Q679" s="197"/>
      <c r="R679" s="197"/>
      <c r="S679" s="197"/>
      <c r="T679" s="197"/>
      <c r="U679" s="197"/>
      <c r="V679" s="197"/>
      <c r="W679" s="197"/>
      <c r="X679" s="197"/>
      <c r="Y679" s="197"/>
      <c r="Z679" s="197"/>
    </row>
    <row r="680" ht="12.0" customHeight="1">
      <c r="A680" s="197"/>
      <c r="B680" s="198"/>
      <c r="C680" s="197"/>
      <c r="D680" s="197"/>
      <c r="E680" s="197"/>
      <c r="F680" s="197"/>
      <c r="G680" s="197"/>
      <c r="H680" s="197"/>
      <c r="I680" s="197"/>
      <c r="J680" s="197"/>
      <c r="K680" s="197"/>
      <c r="L680" s="197"/>
      <c r="M680" s="197"/>
      <c r="N680" s="197"/>
      <c r="O680" s="197"/>
      <c r="P680" s="197"/>
      <c r="Q680" s="197"/>
      <c r="R680" s="197"/>
      <c r="S680" s="197"/>
      <c r="T680" s="197"/>
      <c r="U680" s="197"/>
      <c r="V680" s="197"/>
      <c r="W680" s="197"/>
      <c r="X680" s="197"/>
      <c r="Y680" s="197"/>
      <c r="Z680" s="197"/>
    </row>
    <row r="681" ht="12.0" customHeight="1">
      <c r="A681" s="197"/>
      <c r="B681" s="198"/>
      <c r="C681" s="197"/>
      <c r="D681" s="197"/>
      <c r="E681" s="197"/>
      <c r="F681" s="197"/>
      <c r="G681" s="197"/>
      <c r="H681" s="197"/>
      <c r="I681" s="197"/>
      <c r="J681" s="197"/>
      <c r="K681" s="197"/>
      <c r="L681" s="197"/>
      <c r="M681" s="197"/>
      <c r="N681" s="197"/>
      <c r="O681" s="197"/>
      <c r="P681" s="197"/>
      <c r="Q681" s="197"/>
      <c r="R681" s="197"/>
      <c r="S681" s="197"/>
      <c r="T681" s="197"/>
      <c r="U681" s="197"/>
      <c r="V681" s="197"/>
      <c r="W681" s="197"/>
      <c r="X681" s="197"/>
      <c r="Y681" s="197"/>
      <c r="Z681" s="197"/>
    </row>
    <row r="682" ht="12.0" customHeight="1">
      <c r="A682" s="197"/>
      <c r="B682" s="198"/>
      <c r="C682" s="197"/>
      <c r="D682" s="197"/>
      <c r="E682" s="197"/>
      <c r="F682" s="197"/>
      <c r="G682" s="197"/>
      <c r="H682" s="197"/>
      <c r="I682" s="197"/>
      <c r="J682" s="197"/>
      <c r="K682" s="197"/>
      <c r="L682" s="197"/>
      <c r="M682" s="197"/>
      <c r="N682" s="197"/>
      <c r="O682" s="197"/>
      <c r="P682" s="197"/>
      <c r="Q682" s="197"/>
      <c r="R682" s="197"/>
      <c r="S682" s="197"/>
      <c r="T682" s="197"/>
      <c r="U682" s="197"/>
      <c r="V682" s="197"/>
      <c r="W682" s="197"/>
      <c r="X682" s="197"/>
      <c r="Y682" s="197"/>
      <c r="Z682" s="197"/>
    </row>
    <row r="683" ht="12.0" customHeight="1">
      <c r="A683" s="197"/>
      <c r="B683" s="198"/>
      <c r="C683" s="197"/>
      <c r="D683" s="197"/>
      <c r="E683" s="197"/>
      <c r="F683" s="197"/>
      <c r="G683" s="197"/>
      <c r="H683" s="197"/>
      <c r="I683" s="197"/>
      <c r="J683" s="197"/>
      <c r="K683" s="197"/>
      <c r="L683" s="197"/>
      <c r="M683" s="197"/>
      <c r="N683" s="197"/>
      <c r="O683" s="197"/>
      <c r="P683" s="197"/>
      <c r="Q683" s="197"/>
      <c r="R683" s="197"/>
      <c r="S683" s="197"/>
      <c r="T683" s="197"/>
      <c r="U683" s="197"/>
      <c r="V683" s="197"/>
      <c r="W683" s="197"/>
      <c r="X683" s="197"/>
      <c r="Y683" s="197"/>
      <c r="Z683" s="197"/>
    </row>
    <row r="684" ht="12.0" customHeight="1">
      <c r="A684" s="197"/>
      <c r="B684" s="198"/>
      <c r="C684" s="197"/>
      <c r="D684" s="197"/>
      <c r="E684" s="197"/>
      <c r="F684" s="197"/>
      <c r="G684" s="197"/>
      <c r="H684" s="197"/>
      <c r="I684" s="197"/>
      <c r="J684" s="197"/>
      <c r="K684" s="197"/>
      <c r="L684" s="197"/>
      <c r="M684" s="197"/>
      <c r="N684" s="197"/>
      <c r="O684" s="197"/>
      <c r="P684" s="197"/>
      <c r="Q684" s="197"/>
      <c r="R684" s="197"/>
      <c r="S684" s="197"/>
      <c r="T684" s="197"/>
      <c r="U684" s="197"/>
      <c r="V684" s="197"/>
      <c r="W684" s="197"/>
      <c r="X684" s="197"/>
      <c r="Y684" s="197"/>
      <c r="Z684" s="197"/>
    </row>
    <row r="685" ht="12.0" customHeight="1">
      <c r="A685" s="197"/>
      <c r="B685" s="198"/>
      <c r="C685" s="197"/>
      <c r="D685" s="197"/>
      <c r="E685" s="197"/>
      <c r="F685" s="197"/>
      <c r="G685" s="197"/>
      <c r="H685" s="197"/>
      <c r="I685" s="197"/>
      <c r="J685" s="197"/>
      <c r="K685" s="197"/>
      <c r="L685" s="197"/>
      <c r="M685" s="197"/>
      <c r="N685" s="197"/>
      <c r="O685" s="197"/>
      <c r="P685" s="197"/>
      <c r="Q685" s="197"/>
      <c r="R685" s="197"/>
      <c r="S685" s="197"/>
      <c r="T685" s="197"/>
      <c r="U685" s="197"/>
      <c r="V685" s="197"/>
      <c r="W685" s="197"/>
      <c r="X685" s="197"/>
      <c r="Y685" s="197"/>
      <c r="Z685" s="197"/>
    </row>
    <row r="686" ht="12.0" customHeight="1">
      <c r="A686" s="197"/>
      <c r="B686" s="198"/>
      <c r="C686" s="197"/>
      <c r="D686" s="197"/>
      <c r="E686" s="197"/>
      <c r="F686" s="197"/>
      <c r="G686" s="197"/>
      <c r="H686" s="197"/>
      <c r="I686" s="197"/>
      <c r="J686" s="197"/>
      <c r="K686" s="197"/>
      <c r="L686" s="197"/>
      <c r="M686" s="197"/>
      <c r="N686" s="197"/>
      <c r="O686" s="197"/>
      <c r="P686" s="197"/>
      <c r="Q686" s="197"/>
      <c r="R686" s="197"/>
      <c r="S686" s="197"/>
      <c r="T686" s="197"/>
      <c r="U686" s="197"/>
      <c r="V686" s="197"/>
      <c r="W686" s="197"/>
      <c r="X686" s="197"/>
      <c r="Y686" s="197"/>
      <c r="Z686" s="197"/>
    </row>
    <row r="687" ht="12.0" customHeight="1">
      <c r="A687" s="197"/>
      <c r="B687" s="198"/>
      <c r="C687" s="197"/>
      <c r="D687" s="197"/>
      <c r="E687" s="197"/>
      <c r="F687" s="197"/>
      <c r="G687" s="197"/>
      <c r="H687" s="197"/>
      <c r="I687" s="197"/>
      <c r="J687" s="197"/>
      <c r="K687" s="197"/>
      <c r="L687" s="197"/>
      <c r="M687" s="197"/>
      <c r="N687" s="197"/>
      <c r="O687" s="197"/>
      <c r="P687" s="197"/>
      <c r="Q687" s="197"/>
      <c r="R687" s="197"/>
      <c r="S687" s="197"/>
      <c r="T687" s="197"/>
      <c r="U687" s="197"/>
      <c r="V687" s="197"/>
      <c r="W687" s="197"/>
      <c r="X687" s="197"/>
      <c r="Y687" s="197"/>
      <c r="Z687" s="197"/>
    </row>
    <row r="688" ht="12.0" customHeight="1">
      <c r="A688" s="197"/>
      <c r="B688" s="198"/>
      <c r="C688" s="197"/>
      <c r="D688" s="197"/>
      <c r="E688" s="197"/>
      <c r="F688" s="197"/>
      <c r="G688" s="197"/>
      <c r="H688" s="197"/>
      <c r="I688" s="197"/>
      <c r="J688" s="197"/>
      <c r="K688" s="197"/>
      <c r="L688" s="197"/>
      <c r="M688" s="197"/>
      <c r="N688" s="197"/>
      <c r="O688" s="197"/>
      <c r="P688" s="197"/>
      <c r="Q688" s="197"/>
      <c r="R688" s="197"/>
      <c r="S688" s="197"/>
      <c r="T688" s="197"/>
      <c r="U688" s="197"/>
      <c r="V688" s="197"/>
      <c r="W688" s="197"/>
      <c r="X688" s="197"/>
      <c r="Y688" s="197"/>
      <c r="Z688" s="197"/>
    </row>
    <row r="689" ht="12.0" customHeight="1">
      <c r="A689" s="197"/>
      <c r="B689" s="198"/>
      <c r="C689" s="197"/>
      <c r="D689" s="197"/>
      <c r="E689" s="197"/>
      <c r="F689" s="197"/>
      <c r="G689" s="197"/>
      <c r="H689" s="197"/>
      <c r="I689" s="197"/>
      <c r="J689" s="197"/>
      <c r="K689" s="197"/>
      <c r="L689" s="197"/>
      <c r="M689" s="197"/>
      <c r="N689" s="197"/>
      <c r="O689" s="197"/>
      <c r="P689" s="197"/>
      <c r="Q689" s="197"/>
      <c r="R689" s="197"/>
      <c r="S689" s="197"/>
      <c r="T689" s="197"/>
      <c r="U689" s="197"/>
      <c r="V689" s="197"/>
      <c r="W689" s="197"/>
      <c r="X689" s="197"/>
      <c r="Y689" s="197"/>
      <c r="Z689" s="197"/>
    </row>
    <row r="690" ht="12.0" customHeight="1">
      <c r="A690" s="197"/>
      <c r="B690" s="198"/>
      <c r="C690" s="197"/>
      <c r="D690" s="197"/>
      <c r="E690" s="197"/>
      <c r="F690" s="197"/>
      <c r="G690" s="197"/>
      <c r="H690" s="197"/>
      <c r="I690" s="197"/>
      <c r="J690" s="197"/>
      <c r="K690" s="197"/>
      <c r="L690" s="197"/>
      <c r="M690" s="197"/>
      <c r="N690" s="197"/>
      <c r="O690" s="197"/>
      <c r="P690" s="197"/>
      <c r="Q690" s="197"/>
      <c r="R690" s="197"/>
      <c r="S690" s="197"/>
      <c r="T690" s="197"/>
      <c r="U690" s="197"/>
      <c r="V690" s="197"/>
      <c r="W690" s="197"/>
      <c r="X690" s="197"/>
      <c r="Y690" s="197"/>
      <c r="Z690" s="197"/>
    </row>
    <row r="691" ht="12.0" customHeight="1">
      <c r="A691" s="197"/>
      <c r="B691" s="198"/>
      <c r="C691" s="197"/>
      <c r="D691" s="197"/>
      <c r="E691" s="197"/>
      <c r="F691" s="197"/>
      <c r="G691" s="197"/>
      <c r="H691" s="197"/>
      <c r="I691" s="197"/>
      <c r="J691" s="197"/>
      <c r="K691" s="197"/>
      <c r="L691" s="197"/>
      <c r="M691" s="197"/>
      <c r="N691" s="197"/>
      <c r="O691" s="197"/>
      <c r="P691" s="197"/>
      <c r="Q691" s="197"/>
      <c r="R691" s="197"/>
      <c r="S691" s="197"/>
      <c r="T691" s="197"/>
      <c r="U691" s="197"/>
      <c r="V691" s="197"/>
      <c r="W691" s="197"/>
      <c r="X691" s="197"/>
      <c r="Y691" s="197"/>
      <c r="Z691" s="197"/>
    </row>
    <row r="692" ht="12.0" customHeight="1">
      <c r="A692" s="197"/>
      <c r="B692" s="198"/>
      <c r="C692" s="197"/>
      <c r="D692" s="197"/>
      <c r="E692" s="197"/>
      <c r="F692" s="197"/>
      <c r="G692" s="197"/>
      <c r="H692" s="197"/>
      <c r="I692" s="197"/>
      <c r="J692" s="197"/>
      <c r="K692" s="197"/>
      <c r="L692" s="197"/>
      <c r="M692" s="197"/>
      <c r="N692" s="197"/>
      <c r="O692" s="197"/>
      <c r="P692" s="197"/>
      <c r="Q692" s="197"/>
      <c r="R692" s="197"/>
      <c r="S692" s="197"/>
      <c r="T692" s="197"/>
      <c r="U692" s="197"/>
      <c r="V692" s="197"/>
      <c r="W692" s="197"/>
      <c r="X692" s="197"/>
      <c r="Y692" s="197"/>
      <c r="Z692" s="197"/>
    </row>
    <row r="693" ht="12.0" customHeight="1">
      <c r="A693" s="197"/>
      <c r="B693" s="198"/>
      <c r="C693" s="197"/>
      <c r="D693" s="197"/>
      <c r="E693" s="197"/>
      <c r="F693" s="197"/>
      <c r="G693" s="197"/>
      <c r="H693" s="197"/>
      <c r="I693" s="197"/>
      <c r="J693" s="197"/>
      <c r="K693" s="197"/>
      <c r="L693" s="197"/>
      <c r="M693" s="197"/>
      <c r="N693" s="197"/>
      <c r="O693" s="197"/>
      <c r="P693" s="197"/>
      <c r="Q693" s="197"/>
      <c r="R693" s="197"/>
      <c r="S693" s="197"/>
      <c r="T693" s="197"/>
      <c r="U693" s="197"/>
      <c r="V693" s="197"/>
      <c r="W693" s="197"/>
      <c r="X693" s="197"/>
      <c r="Y693" s="197"/>
      <c r="Z693" s="197"/>
    </row>
    <row r="694" ht="12.0" customHeight="1">
      <c r="A694" s="197"/>
      <c r="B694" s="198"/>
      <c r="C694" s="197"/>
      <c r="D694" s="197"/>
      <c r="E694" s="197"/>
      <c r="F694" s="197"/>
      <c r="G694" s="197"/>
      <c r="H694" s="197"/>
      <c r="I694" s="197"/>
      <c r="J694" s="197"/>
      <c r="K694" s="197"/>
      <c r="L694" s="197"/>
      <c r="M694" s="197"/>
      <c r="N694" s="197"/>
      <c r="O694" s="197"/>
      <c r="P694" s="197"/>
      <c r="Q694" s="197"/>
      <c r="R694" s="197"/>
      <c r="S694" s="197"/>
      <c r="T694" s="197"/>
      <c r="U694" s="197"/>
      <c r="V694" s="197"/>
      <c r="W694" s="197"/>
      <c r="X694" s="197"/>
      <c r="Y694" s="197"/>
      <c r="Z694" s="197"/>
    </row>
    <row r="695" ht="12.0" customHeight="1">
      <c r="A695" s="197"/>
      <c r="B695" s="198"/>
      <c r="C695" s="197"/>
      <c r="D695" s="197"/>
      <c r="E695" s="197"/>
      <c r="F695" s="197"/>
      <c r="G695" s="197"/>
      <c r="H695" s="197"/>
      <c r="I695" s="197"/>
      <c r="J695" s="197"/>
      <c r="K695" s="197"/>
      <c r="L695" s="197"/>
      <c r="M695" s="197"/>
      <c r="N695" s="197"/>
      <c r="O695" s="197"/>
      <c r="P695" s="197"/>
      <c r="Q695" s="197"/>
      <c r="R695" s="197"/>
      <c r="S695" s="197"/>
      <c r="T695" s="197"/>
      <c r="U695" s="197"/>
      <c r="V695" s="197"/>
      <c r="W695" s="197"/>
      <c r="X695" s="197"/>
      <c r="Y695" s="197"/>
      <c r="Z695" s="197"/>
    </row>
    <row r="696" ht="12.0" customHeight="1">
      <c r="A696" s="197"/>
      <c r="B696" s="198"/>
      <c r="C696" s="197"/>
      <c r="D696" s="197"/>
      <c r="E696" s="197"/>
      <c r="F696" s="197"/>
      <c r="G696" s="197"/>
      <c r="H696" s="197"/>
      <c r="I696" s="197"/>
      <c r="J696" s="197"/>
      <c r="K696" s="197"/>
      <c r="L696" s="197"/>
      <c r="M696" s="197"/>
      <c r="N696" s="197"/>
      <c r="O696" s="197"/>
      <c r="P696" s="197"/>
      <c r="Q696" s="197"/>
      <c r="R696" s="197"/>
      <c r="S696" s="197"/>
      <c r="T696" s="197"/>
      <c r="U696" s="197"/>
      <c r="V696" s="197"/>
      <c r="W696" s="197"/>
      <c r="X696" s="197"/>
      <c r="Y696" s="197"/>
      <c r="Z696" s="197"/>
    </row>
    <row r="697" ht="12.0" customHeight="1">
      <c r="A697" s="197"/>
      <c r="B697" s="198"/>
      <c r="C697" s="197"/>
      <c r="D697" s="197"/>
      <c r="E697" s="197"/>
      <c r="F697" s="197"/>
      <c r="G697" s="197"/>
      <c r="H697" s="197"/>
      <c r="I697" s="197"/>
      <c r="J697" s="197"/>
      <c r="K697" s="197"/>
      <c r="L697" s="197"/>
      <c r="M697" s="197"/>
      <c r="N697" s="197"/>
      <c r="O697" s="197"/>
      <c r="P697" s="197"/>
      <c r="Q697" s="197"/>
      <c r="R697" s="197"/>
      <c r="S697" s="197"/>
      <c r="T697" s="197"/>
      <c r="U697" s="197"/>
      <c r="V697" s="197"/>
      <c r="W697" s="197"/>
      <c r="X697" s="197"/>
      <c r="Y697" s="197"/>
      <c r="Z697" s="197"/>
    </row>
    <row r="698" ht="12.0" customHeight="1">
      <c r="A698" s="197"/>
      <c r="B698" s="198"/>
      <c r="C698" s="197"/>
      <c r="D698" s="197"/>
      <c r="E698" s="197"/>
      <c r="F698" s="197"/>
      <c r="G698" s="197"/>
      <c r="H698" s="197"/>
      <c r="I698" s="197"/>
      <c r="J698" s="197"/>
      <c r="K698" s="197"/>
      <c r="L698" s="197"/>
      <c r="M698" s="197"/>
      <c r="N698" s="197"/>
      <c r="O698" s="197"/>
      <c r="P698" s="197"/>
      <c r="Q698" s="197"/>
      <c r="R698" s="197"/>
      <c r="S698" s="197"/>
      <c r="T698" s="197"/>
      <c r="U698" s="197"/>
      <c r="V698" s="197"/>
      <c r="W698" s="197"/>
      <c r="X698" s="197"/>
      <c r="Y698" s="197"/>
      <c r="Z698" s="197"/>
    </row>
    <row r="699" ht="12.0" customHeight="1">
      <c r="A699" s="197"/>
      <c r="B699" s="198"/>
      <c r="C699" s="197"/>
      <c r="D699" s="197"/>
      <c r="E699" s="197"/>
      <c r="F699" s="197"/>
      <c r="G699" s="197"/>
      <c r="H699" s="197"/>
      <c r="I699" s="197"/>
      <c r="J699" s="197"/>
      <c r="K699" s="197"/>
      <c r="L699" s="197"/>
      <c r="M699" s="197"/>
      <c r="N699" s="197"/>
      <c r="O699" s="197"/>
      <c r="P699" s="197"/>
      <c r="Q699" s="197"/>
      <c r="R699" s="197"/>
      <c r="S699" s="197"/>
      <c r="T699" s="197"/>
      <c r="U699" s="197"/>
      <c r="V699" s="197"/>
      <c r="W699" s="197"/>
      <c r="X699" s="197"/>
      <c r="Y699" s="197"/>
      <c r="Z699" s="197"/>
    </row>
    <row r="700" ht="12.0" customHeight="1">
      <c r="A700" s="197"/>
      <c r="B700" s="198"/>
      <c r="C700" s="197"/>
      <c r="D700" s="197"/>
      <c r="E700" s="197"/>
      <c r="F700" s="197"/>
      <c r="G700" s="197"/>
      <c r="H700" s="197"/>
      <c r="I700" s="197"/>
      <c r="J700" s="197"/>
      <c r="K700" s="197"/>
      <c r="L700" s="197"/>
      <c r="M700" s="197"/>
      <c r="N700" s="197"/>
      <c r="O700" s="197"/>
      <c r="P700" s="197"/>
      <c r="Q700" s="197"/>
      <c r="R700" s="197"/>
      <c r="S700" s="197"/>
      <c r="T700" s="197"/>
      <c r="U700" s="197"/>
      <c r="V700" s="197"/>
      <c r="W700" s="197"/>
      <c r="X700" s="197"/>
      <c r="Y700" s="197"/>
      <c r="Z700" s="197"/>
    </row>
    <row r="701" ht="12.0" customHeight="1">
      <c r="A701" s="197"/>
      <c r="B701" s="198"/>
      <c r="C701" s="197"/>
      <c r="D701" s="197"/>
      <c r="E701" s="197"/>
      <c r="F701" s="197"/>
      <c r="G701" s="197"/>
      <c r="H701" s="197"/>
      <c r="I701" s="197"/>
      <c r="J701" s="197"/>
      <c r="K701" s="197"/>
      <c r="L701" s="197"/>
      <c r="M701" s="197"/>
      <c r="N701" s="197"/>
      <c r="O701" s="197"/>
      <c r="P701" s="197"/>
      <c r="Q701" s="197"/>
      <c r="R701" s="197"/>
      <c r="S701" s="197"/>
      <c r="T701" s="197"/>
      <c r="U701" s="197"/>
      <c r="V701" s="197"/>
      <c r="W701" s="197"/>
      <c r="X701" s="197"/>
      <c r="Y701" s="197"/>
      <c r="Z701" s="197"/>
    </row>
    <row r="702" ht="12.0" customHeight="1">
      <c r="A702" s="197"/>
      <c r="B702" s="198"/>
      <c r="C702" s="197"/>
      <c r="D702" s="197"/>
      <c r="E702" s="197"/>
      <c r="F702" s="197"/>
      <c r="G702" s="197"/>
      <c r="H702" s="197"/>
      <c r="I702" s="197"/>
      <c r="J702" s="197"/>
      <c r="K702" s="197"/>
      <c r="L702" s="197"/>
      <c r="M702" s="197"/>
      <c r="N702" s="197"/>
      <c r="O702" s="197"/>
      <c r="P702" s="197"/>
      <c r="Q702" s="197"/>
      <c r="R702" s="197"/>
      <c r="S702" s="197"/>
      <c r="T702" s="197"/>
      <c r="U702" s="197"/>
      <c r="V702" s="197"/>
      <c r="W702" s="197"/>
      <c r="X702" s="197"/>
      <c r="Y702" s="197"/>
      <c r="Z702" s="197"/>
    </row>
    <row r="703" ht="12.0" customHeight="1">
      <c r="A703" s="197"/>
      <c r="B703" s="198"/>
      <c r="C703" s="197"/>
      <c r="D703" s="197"/>
      <c r="E703" s="197"/>
      <c r="F703" s="197"/>
      <c r="G703" s="197"/>
      <c r="H703" s="197"/>
      <c r="I703" s="197"/>
      <c r="J703" s="197"/>
      <c r="K703" s="197"/>
      <c r="L703" s="197"/>
      <c r="M703" s="197"/>
      <c r="N703" s="197"/>
      <c r="O703" s="197"/>
      <c r="P703" s="197"/>
      <c r="Q703" s="197"/>
      <c r="R703" s="197"/>
      <c r="S703" s="197"/>
      <c r="T703" s="197"/>
      <c r="U703" s="197"/>
      <c r="V703" s="197"/>
      <c r="W703" s="197"/>
      <c r="X703" s="197"/>
      <c r="Y703" s="197"/>
      <c r="Z703" s="197"/>
    </row>
    <row r="704" ht="12.0" customHeight="1">
      <c r="A704" s="197"/>
      <c r="B704" s="198"/>
      <c r="C704" s="197"/>
      <c r="D704" s="197"/>
      <c r="E704" s="197"/>
      <c r="F704" s="197"/>
      <c r="G704" s="197"/>
      <c r="H704" s="197"/>
      <c r="I704" s="197"/>
      <c r="J704" s="197"/>
      <c r="K704" s="197"/>
      <c r="L704" s="197"/>
      <c r="M704" s="197"/>
      <c r="N704" s="197"/>
      <c r="O704" s="197"/>
      <c r="P704" s="197"/>
      <c r="Q704" s="197"/>
      <c r="R704" s="197"/>
      <c r="S704" s="197"/>
      <c r="T704" s="197"/>
      <c r="U704" s="197"/>
      <c r="V704" s="197"/>
      <c r="W704" s="197"/>
      <c r="X704" s="197"/>
      <c r="Y704" s="197"/>
      <c r="Z704" s="197"/>
    </row>
    <row r="705" ht="12.0" customHeight="1">
      <c r="A705" s="197"/>
      <c r="B705" s="198"/>
      <c r="C705" s="197"/>
      <c r="D705" s="197"/>
      <c r="E705" s="197"/>
      <c r="F705" s="197"/>
      <c r="G705" s="197"/>
      <c r="H705" s="197"/>
      <c r="I705" s="197"/>
      <c r="J705" s="197"/>
      <c r="K705" s="197"/>
      <c r="L705" s="197"/>
      <c r="M705" s="197"/>
      <c r="N705" s="197"/>
      <c r="O705" s="197"/>
      <c r="P705" s="197"/>
      <c r="Q705" s="197"/>
      <c r="R705" s="197"/>
      <c r="S705" s="197"/>
      <c r="T705" s="197"/>
      <c r="U705" s="197"/>
      <c r="V705" s="197"/>
      <c r="W705" s="197"/>
      <c r="X705" s="197"/>
      <c r="Y705" s="197"/>
      <c r="Z705" s="197"/>
    </row>
    <row r="706" ht="12.0" customHeight="1">
      <c r="A706" s="197"/>
      <c r="B706" s="198"/>
      <c r="C706" s="197"/>
      <c r="D706" s="197"/>
      <c r="E706" s="197"/>
      <c r="F706" s="197"/>
      <c r="G706" s="197"/>
      <c r="H706" s="197"/>
      <c r="I706" s="197"/>
      <c r="J706" s="197"/>
      <c r="K706" s="197"/>
      <c r="L706" s="197"/>
      <c r="M706" s="197"/>
      <c r="N706" s="197"/>
      <c r="O706" s="197"/>
      <c r="P706" s="197"/>
      <c r="Q706" s="197"/>
      <c r="R706" s="197"/>
      <c r="S706" s="197"/>
      <c r="T706" s="197"/>
      <c r="U706" s="197"/>
      <c r="V706" s="197"/>
      <c r="W706" s="197"/>
      <c r="X706" s="197"/>
      <c r="Y706" s="197"/>
      <c r="Z706" s="197"/>
    </row>
    <row r="707" ht="12.0" customHeight="1">
      <c r="A707" s="197"/>
      <c r="B707" s="198"/>
      <c r="C707" s="197"/>
      <c r="D707" s="197"/>
      <c r="E707" s="197"/>
      <c r="F707" s="197"/>
      <c r="G707" s="197"/>
      <c r="H707" s="197"/>
      <c r="I707" s="197"/>
      <c r="J707" s="197"/>
      <c r="K707" s="197"/>
      <c r="L707" s="197"/>
      <c r="M707" s="197"/>
      <c r="N707" s="197"/>
      <c r="O707" s="197"/>
      <c r="P707" s="197"/>
      <c r="Q707" s="197"/>
      <c r="R707" s="197"/>
      <c r="S707" s="197"/>
      <c r="T707" s="197"/>
      <c r="U707" s="197"/>
      <c r="V707" s="197"/>
      <c r="W707" s="197"/>
      <c r="X707" s="197"/>
      <c r="Y707" s="197"/>
      <c r="Z707" s="197"/>
    </row>
    <row r="708" ht="12.0" customHeight="1">
      <c r="A708" s="197"/>
      <c r="B708" s="198"/>
      <c r="C708" s="197"/>
      <c r="D708" s="197"/>
      <c r="E708" s="197"/>
      <c r="F708" s="197"/>
      <c r="G708" s="197"/>
      <c r="H708" s="197"/>
      <c r="I708" s="197"/>
      <c r="J708" s="197"/>
      <c r="K708" s="197"/>
      <c r="L708" s="197"/>
      <c r="M708" s="197"/>
      <c r="N708" s="197"/>
      <c r="O708" s="197"/>
      <c r="P708" s="197"/>
      <c r="Q708" s="197"/>
      <c r="R708" s="197"/>
      <c r="S708" s="197"/>
      <c r="T708" s="197"/>
      <c r="U708" s="197"/>
      <c r="V708" s="197"/>
      <c r="W708" s="197"/>
      <c r="X708" s="197"/>
      <c r="Y708" s="197"/>
      <c r="Z708" s="197"/>
    </row>
    <row r="709" ht="12.0" customHeight="1">
      <c r="A709" s="197"/>
      <c r="B709" s="198"/>
      <c r="C709" s="197"/>
      <c r="D709" s="197"/>
      <c r="E709" s="197"/>
      <c r="F709" s="197"/>
      <c r="G709" s="197"/>
      <c r="H709" s="197"/>
      <c r="I709" s="197"/>
      <c r="J709" s="197"/>
      <c r="K709" s="197"/>
      <c r="L709" s="197"/>
      <c r="M709" s="197"/>
      <c r="N709" s="197"/>
      <c r="O709" s="197"/>
      <c r="P709" s="197"/>
      <c r="Q709" s="197"/>
      <c r="R709" s="197"/>
      <c r="S709" s="197"/>
      <c r="T709" s="197"/>
      <c r="U709" s="197"/>
      <c r="V709" s="197"/>
      <c r="W709" s="197"/>
      <c r="X709" s="197"/>
      <c r="Y709" s="197"/>
      <c r="Z709" s="197"/>
    </row>
    <row r="710" ht="12.0" customHeight="1">
      <c r="A710" s="197"/>
      <c r="B710" s="198"/>
      <c r="C710" s="197"/>
      <c r="D710" s="197"/>
      <c r="E710" s="197"/>
      <c r="F710" s="197"/>
      <c r="G710" s="197"/>
      <c r="H710" s="197"/>
      <c r="I710" s="197"/>
      <c r="J710" s="197"/>
      <c r="K710" s="197"/>
      <c r="L710" s="197"/>
      <c r="M710" s="197"/>
      <c r="N710" s="197"/>
      <c r="O710" s="197"/>
      <c r="P710" s="197"/>
      <c r="Q710" s="197"/>
      <c r="R710" s="197"/>
      <c r="S710" s="197"/>
      <c r="T710" s="197"/>
      <c r="U710" s="197"/>
      <c r="V710" s="197"/>
      <c r="W710" s="197"/>
      <c r="X710" s="197"/>
      <c r="Y710" s="197"/>
      <c r="Z710" s="197"/>
    </row>
    <row r="711" ht="12.0" customHeight="1">
      <c r="A711" s="197"/>
      <c r="B711" s="198"/>
      <c r="C711" s="197"/>
      <c r="D711" s="197"/>
      <c r="E711" s="197"/>
      <c r="F711" s="197"/>
      <c r="G711" s="197"/>
      <c r="H711" s="197"/>
      <c r="I711" s="197"/>
      <c r="J711" s="197"/>
      <c r="K711" s="197"/>
      <c r="L711" s="197"/>
      <c r="M711" s="197"/>
      <c r="N711" s="197"/>
      <c r="O711" s="197"/>
      <c r="P711" s="197"/>
      <c r="Q711" s="197"/>
      <c r="R711" s="197"/>
      <c r="S711" s="197"/>
      <c r="T711" s="197"/>
      <c r="U711" s="197"/>
      <c r="V711" s="197"/>
      <c r="W711" s="197"/>
      <c r="X711" s="197"/>
      <c r="Y711" s="197"/>
      <c r="Z711" s="197"/>
    </row>
    <row r="712" ht="12.0" customHeight="1">
      <c r="A712" s="197"/>
      <c r="B712" s="198"/>
      <c r="C712" s="197"/>
      <c r="D712" s="197"/>
      <c r="E712" s="197"/>
      <c r="F712" s="197"/>
      <c r="G712" s="197"/>
      <c r="H712" s="197"/>
      <c r="I712" s="197"/>
      <c r="J712" s="197"/>
      <c r="K712" s="197"/>
      <c r="L712" s="197"/>
      <c r="M712" s="197"/>
      <c r="N712" s="197"/>
      <c r="O712" s="197"/>
      <c r="P712" s="197"/>
      <c r="Q712" s="197"/>
      <c r="R712" s="197"/>
      <c r="S712" s="197"/>
      <c r="T712" s="197"/>
      <c r="U712" s="197"/>
      <c r="V712" s="197"/>
      <c r="W712" s="197"/>
      <c r="X712" s="197"/>
      <c r="Y712" s="197"/>
      <c r="Z712" s="197"/>
    </row>
    <row r="713" ht="12.0" customHeight="1">
      <c r="A713" s="197"/>
      <c r="B713" s="198"/>
      <c r="C713" s="197"/>
      <c r="D713" s="197"/>
      <c r="E713" s="197"/>
      <c r="F713" s="197"/>
      <c r="G713" s="197"/>
      <c r="H713" s="197"/>
      <c r="I713" s="197"/>
      <c r="J713" s="197"/>
      <c r="K713" s="197"/>
      <c r="L713" s="197"/>
      <c r="M713" s="197"/>
      <c r="N713" s="197"/>
      <c r="O713" s="197"/>
      <c r="P713" s="197"/>
      <c r="Q713" s="197"/>
      <c r="R713" s="197"/>
      <c r="S713" s="197"/>
      <c r="T713" s="197"/>
      <c r="U713" s="197"/>
      <c r="V713" s="197"/>
      <c r="W713" s="197"/>
      <c r="X713" s="197"/>
      <c r="Y713" s="197"/>
      <c r="Z713" s="197"/>
    </row>
    <row r="714" ht="12.0" customHeight="1">
      <c r="A714" s="197"/>
      <c r="B714" s="198"/>
      <c r="C714" s="197"/>
      <c r="D714" s="197"/>
      <c r="E714" s="197"/>
      <c r="F714" s="197"/>
      <c r="G714" s="197"/>
      <c r="H714" s="197"/>
      <c r="I714" s="197"/>
      <c r="J714" s="197"/>
      <c r="K714" s="197"/>
      <c r="L714" s="197"/>
      <c r="M714" s="197"/>
      <c r="N714" s="197"/>
      <c r="O714" s="197"/>
      <c r="P714" s="197"/>
      <c r="Q714" s="197"/>
      <c r="R714" s="197"/>
      <c r="S714" s="197"/>
      <c r="T714" s="197"/>
      <c r="U714" s="197"/>
      <c r="V714" s="197"/>
      <c r="W714" s="197"/>
      <c r="X714" s="197"/>
      <c r="Y714" s="197"/>
      <c r="Z714" s="197"/>
    </row>
    <row r="715" ht="12.0" customHeight="1">
      <c r="A715" s="197"/>
      <c r="B715" s="198"/>
      <c r="C715" s="197"/>
      <c r="D715" s="197"/>
      <c r="E715" s="197"/>
      <c r="F715" s="197"/>
      <c r="G715" s="197"/>
      <c r="H715" s="197"/>
      <c r="I715" s="197"/>
      <c r="J715" s="197"/>
      <c r="K715" s="197"/>
      <c r="L715" s="197"/>
      <c r="M715" s="197"/>
      <c r="N715" s="197"/>
      <c r="O715" s="197"/>
      <c r="P715" s="197"/>
      <c r="Q715" s="197"/>
      <c r="R715" s="197"/>
      <c r="S715" s="197"/>
      <c r="T715" s="197"/>
      <c r="U715" s="197"/>
      <c r="V715" s="197"/>
      <c r="W715" s="197"/>
      <c r="X715" s="197"/>
      <c r="Y715" s="197"/>
      <c r="Z715" s="197"/>
    </row>
    <row r="716" ht="12.0" customHeight="1">
      <c r="A716" s="197"/>
      <c r="B716" s="198"/>
      <c r="C716" s="197"/>
      <c r="D716" s="197"/>
      <c r="E716" s="197"/>
      <c r="F716" s="197"/>
      <c r="G716" s="197"/>
      <c r="H716" s="197"/>
      <c r="I716" s="197"/>
      <c r="J716" s="197"/>
      <c r="K716" s="197"/>
      <c r="L716" s="197"/>
      <c r="M716" s="197"/>
      <c r="N716" s="197"/>
      <c r="O716" s="197"/>
      <c r="P716" s="197"/>
      <c r="Q716" s="197"/>
      <c r="R716" s="197"/>
      <c r="S716" s="197"/>
      <c r="T716" s="197"/>
      <c r="U716" s="197"/>
      <c r="V716" s="197"/>
      <c r="W716" s="197"/>
      <c r="X716" s="197"/>
      <c r="Y716" s="197"/>
      <c r="Z716" s="197"/>
    </row>
    <row r="717" ht="12.0" customHeight="1">
      <c r="A717" s="197"/>
      <c r="B717" s="198"/>
      <c r="C717" s="197"/>
      <c r="D717" s="197"/>
      <c r="E717" s="197"/>
      <c r="F717" s="197"/>
      <c r="G717" s="197"/>
      <c r="H717" s="197"/>
      <c r="I717" s="197"/>
      <c r="J717" s="197"/>
      <c r="K717" s="197"/>
      <c r="L717" s="197"/>
      <c r="M717" s="197"/>
      <c r="N717" s="197"/>
      <c r="O717" s="197"/>
      <c r="P717" s="197"/>
      <c r="Q717" s="197"/>
      <c r="R717" s="197"/>
      <c r="S717" s="197"/>
      <c r="T717" s="197"/>
      <c r="U717" s="197"/>
      <c r="V717" s="197"/>
      <c r="W717" s="197"/>
      <c r="X717" s="197"/>
      <c r="Y717" s="197"/>
      <c r="Z717" s="197"/>
    </row>
    <row r="718" ht="12.0" customHeight="1">
      <c r="A718" s="197"/>
      <c r="B718" s="198"/>
      <c r="C718" s="197"/>
      <c r="D718" s="197"/>
      <c r="E718" s="197"/>
      <c r="F718" s="197"/>
      <c r="G718" s="197"/>
      <c r="H718" s="197"/>
      <c r="I718" s="197"/>
      <c r="J718" s="197"/>
      <c r="K718" s="197"/>
      <c r="L718" s="197"/>
      <c r="M718" s="197"/>
      <c r="N718" s="197"/>
      <c r="O718" s="197"/>
      <c r="P718" s="197"/>
      <c r="Q718" s="197"/>
      <c r="R718" s="197"/>
      <c r="S718" s="197"/>
      <c r="T718" s="197"/>
      <c r="U718" s="197"/>
      <c r="V718" s="197"/>
      <c r="W718" s="197"/>
      <c r="X718" s="197"/>
      <c r="Y718" s="197"/>
      <c r="Z718" s="197"/>
    </row>
    <row r="719" ht="12.0" customHeight="1">
      <c r="A719" s="197"/>
      <c r="B719" s="198"/>
      <c r="C719" s="197"/>
      <c r="D719" s="197"/>
      <c r="E719" s="197"/>
      <c r="F719" s="197"/>
      <c r="G719" s="197"/>
      <c r="H719" s="197"/>
      <c r="I719" s="197"/>
      <c r="J719" s="197"/>
      <c r="K719" s="197"/>
      <c r="L719" s="197"/>
      <c r="M719" s="197"/>
      <c r="N719" s="197"/>
      <c r="O719" s="197"/>
      <c r="P719" s="197"/>
      <c r="Q719" s="197"/>
      <c r="R719" s="197"/>
      <c r="S719" s="197"/>
      <c r="T719" s="197"/>
      <c r="U719" s="197"/>
      <c r="V719" s="197"/>
      <c r="W719" s="197"/>
      <c r="X719" s="197"/>
      <c r="Y719" s="197"/>
      <c r="Z719" s="197"/>
    </row>
    <row r="720" ht="12.0" customHeight="1">
      <c r="A720" s="197"/>
      <c r="B720" s="198"/>
      <c r="C720" s="197"/>
      <c r="D720" s="197"/>
      <c r="E720" s="197"/>
      <c r="F720" s="197"/>
      <c r="G720" s="197"/>
      <c r="H720" s="197"/>
      <c r="I720" s="197"/>
      <c r="J720" s="197"/>
      <c r="K720" s="197"/>
      <c r="L720" s="197"/>
      <c r="M720" s="197"/>
      <c r="N720" s="197"/>
      <c r="O720" s="197"/>
      <c r="P720" s="197"/>
      <c r="Q720" s="197"/>
      <c r="R720" s="197"/>
      <c r="S720" s="197"/>
      <c r="T720" s="197"/>
      <c r="U720" s="197"/>
      <c r="V720" s="197"/>
      <c r="W720" s="197"/>
      <c r="X720" s="197"/>
      <c r="Y720" s="197"/>
      <c r="Z720" s="197"/>
    </row>
    <row r="721" ht="12.0" customHeight="1">
      <c r="A721" s="197"/>
      <c r="B721" s="198"/>
      <c r="C721" s="197"/>
      <c r="D721" s="197"/>
      <c r="E721" s="197"/>
      <c r="F721" s="197"/>
      <c r="G721" s="197"/>
      <c r="H721" s="197"/>
      <c r="I721" s="197"/>
      <c r="J721" s="197"/>
      <c r="K721" s="197"/>
      <c r="L721" s="197"/>
      <c r="M721" s="197"/>
      <c r="N721" s="197"/>
      <c r="O721" s="197"/>
      <c r="P721" s="197"/>
      <c r="Q721" s="197"/>
      <c r="R721" s="197"/>
      <c r="S721" s="197"/>
      <c r="T721" s="197"/>
      <c r="U721" s="197"/>
      <c r="V721" s="197"/>
      <c r="W721" s="197"/>
      <c r="X721" s="197"/>
      <c r="Y721" s="197"/>
      <c r="Z721" s="197"/>
    </row>
    <row r="722" ht="12.0" customHeight="1">
      <c r="A722" s="197"/>
      <c r="B722" s="198"/>
      <c r="C722" s="197"/>
      <c r="D722" s="197"/>
      <c r="E722" s="197"/>
      <c r="F722" s="197"/>
      <c r="G722" s="197"/>
      <c r="H722" s="197"/>
      <c r="I722" s="197"/>
      <c r="J722" s="197"/>
      <c r="K722" s="197"/>
      <c r="L722" s="197"/>
      <c r="M722" s="197"/>
      <c r="N722" s="197"/>
      <c r="O722" s="197"/>
      <c r="P722" s="197"/>
      <c r="Q722" s="197"/>
      <c r="R722" s="197"/>
      <c r="S722" s="197"/>
      <c r="T722" s="197"/>
      <c r="U722" s="197"/>
      <c r="V722" s="197"/>
      <c r="W722" s="197"/>
      <c r="X722" s="197"/>
      <c r="Y722" s="197"/>
      <c r="Z722" s="197"/>
    </row>
    <row r="723" ht="12.0" customHeight="1">
      <c r="A723" s="197"/>
      <c r="B723" s="198"/>
      <c r="C723" s="197"/>
      <c r="D723" s="197"/>
      <c r="E723" s="197"/>
      <c r="F723" s="197"/>
      <c r="G723" s="197"/>
      <c r="H723" s="197"/>
      <c r="I723" s="197"/>
      <c r="J723" s="197"/>
      <c r="K723" s="197"/>
      <c r="L723" s="197"/>
      <c r="M723" s="197"/>
      <c r="N723" s="197"/>
      <c r="O723" s="197"/>
      <c r="P723" s="197"/>
      <c r="Q723" s="197"/>
      <c r="R723" s="197"/>
      <c r="S723" s="197"/>
      <c r="T723" s="197"/>
      <c r="U723" s="197"/>
      <c r="V723" s="197"/>
      <c r="W723" s="197"/>
      <c r="X723" s="197"/>
      <c r="Y723" s="197"/>
      <c r="Z723" s="197"/>
    </row>
    <row r="724" ht="12.0" customHeight="1">
      <c r="A724" s="197"/>
      <c r="B724" s="198"/>
      <c r="C724" s="197"/>
      <c r="D724" s="197"/>
      <c r="E724" s="197"/>
      <c r="F724" s="197"/>
      <c r="G724" s="197"/>
      <c r="H724" s="197"/>
      <c r="I724" s="197"/>
      <c r="J724" s="197"/>
      <c r="K724" s="197"/>
      <c r="L724" s="197"/>
      <c r="M724" s="197"/>
      <c r="N724" s="197"/>
      <c r="O724" s="197"/>
      <c r="P724" s="197"/>
      <c r="Q724" s="197"/>
      <c r="R724" s="197"/>
      <c r="S724" s="197"/>
      <c r="T724" s="197"/>
      <c r="U724" s="197"/>
      <c r="V724" s="197"/>
      <c r="W724" s="197"/>
      <c r="X724" s="197"/>
      <c r="Y724" s="197"/>
      <c r="Z724" s="197"/>
    </row>
    <row r="725" ht="12.0" customHeight="1">
      <c r="A725" s="197"/>
      <c r="B725" s="198"/>
      <c r="C725" s="197"/>
      <c r="D725" s="197"/>
      <c r="E725" s="197"/>
      <c r="F725" s="197"/>
      <c r="G725" s="197"/>
      <c r="H725" s="197"/>
      <c r="I725" s="197"/>
      <c r="J725" s="197"/>
      <c r="K725" s="197"/>
      <c r="L725" s="197"/>
      <c r="M725" s="197"/>
      <c r="N725" s="197"/>
      <c r="O725" s="197"/>
      <c r="P725" s="197"/>
      <c r="Q725" s="197"/>
      <c r="R725" s="197"/>
      <c r="S725" s="197"/>
      <c r="T725" s="197"/>
      <c r="U725" s="197"/>
      <c r="V725" s="197"/>
      <c r="W725" s="197"/>
      <c r="X725" s="197"/>
      <c r="Y725" s="197"/>
      <c r="Z725" s="197"/>
    </row>
    <row r="726" ht="12.0" customHeight="1">
      <c r="A726" s="197"/>
      <c r="B726" s="198"/>
      <c r="C726" s="197"/>
      <c r="D726" s="197"/>
      <c r="E726" s="197"/>
      <c r="F726" s="197"/>
      <c r="G726" s="197"/>
      <c r="H726" s="197"/>
      <c r="I726" s="197"/>
      <c r="J726" s="197"/>
      <c r="K726" s="197"/>
      <c r="L726" s="197"/>
      <c r="M726" s="197"/>
      <c r="N726" s="197"/>
      <c r="O726" s="197"/>
      <c r="P726" s="197"/>
      <c r="Q726" s="197"/>
      <c r="R726" s="197"/>
      <c r="S726" s="197"/>
      <c r="T726" s="197"/>
      <c r="U726" s="197"/>
      <c r="V726" s="197"/>
      <c r="W726" s="197"/>
      <c r="X726" s="197"/>
      <c r="Y726" s="197"/>
      <c r="Z726" s="197"/>
    </row>
    <row r="727" ht="12.0" customHeight="1">
      <c r="A727" s="197"/>
      <c r="B727" s="198"/>
      <c r="C727" s="197"/>
      <c r="D727" s="197"/>
      <c r="E727" s="197"/>
      <c r="F727" s="197"/>
      <c r="G727" s="197"/>
      <c r="H727" s="197"/>
      <c r="I727" s="197"/>
      <c r="J727" s="197"/>
      <c r="K727" s="197"/>
      <c r="L727" s="197"/>
      <c r="M727" s="197"/>
      <c r="N727" s="197"/>
      <c r="O727" s="197"/>
      <c r="P727" s="197"/>
      <c r="Q727" s="197"/>
      <c r="R727" s="197"/>
      <c r="S727" s="197"/>
      <c r="T727" s="197"/>
      <c r="U727" s="197"/>
      <c r="V727" s="197"/>
      <c r="W727" s="197"/>
      <c r="X727" s="197"/>
      <c r="Y727" s="197"/>
      <c r="Z727" s="197"/>
    </row>
    <row r="728" ht="12.0" customHeight="1">
      <c r="A728" s="197"/>
      <c r="B728" s="198"/>
      <c r="C728" s="197"/>
      <c r="D728" s="197"/>
      <c r="E728" s="197"/>
      <c r="F728" s="197"/>
      <c r="G728" s="197"/>
      <c r="H728" s="197"/>
      <c r="I728" s="197"/>
      <c r="J728" s="197"/>
      <c r="K728" s="197"/>
      <c r="L728" s="197"/>
      <c r="M728" s="197"/>
      <c r="N728" s="197"/>
      <c r="O728" s="197"/>
      <c r="P728" s="197"/>
      <c r="Q728" s="197"/>
      <c r="R728" s="197"/>
      <c r="S728" s="197"/>
      <c r="T728" s="197"/>
      <c r="U728" s="197"/>
      <c r="V728" s="197"/>
      <c r="W728" s="197"/>
      <c r="X728" s="197"/>
      <c r="Y728" s="197"/>
      <c r="Z728" s="197"/>
    </row>
    <row r="729" ht="12.0" customHeight="1">
      <c r="A729" s="197"/>
      <c r="B729" s="198"/>
      <c r="C729" s="197"/>
      <c r="D729" s="197"/>
      <c r="E729" s="197"/>
      <c r="F729" s="197"/>
      <c r="G729" s="197"/>
      <c r="H729" s="197"/>
      <c r="I729" s="197"/>
      <c r="J729" s="197"/>
      <c r="K729" s="197"/>
      <c r="L729" s="197"/>
      <c r="M729" s="197"/>
      <c r="N729" s="197"/>
      <c r="O729" s="197"/>
      <c r="P729" s="197"/>
      <c r="Q729" s="197"/>
      <c r="R729" s="197"/>
      <c r="S729" s="197"/>
      <c r="T729" s="197"/>
      <c r="U729" s="197"/>
      <c r="V729" s="197"/>
      <c r="W729" s="197"/>
      <c r="X729" s="197"/>
      <c r="Y729" s="197"/>
      <c r="Z729" s="197"/>
    </row>
    <row r="730" ht="12.0" customHeight="1">
      <c r="A730" s="197"/>
      <c r="B730" s="198"/>
      <c r="C730" s="197"/>
      <c r="D730" s="197"/>
      <c r="E730" s="197"/>
      <c r="F730" s="197"/>
      <c r="G730" s="197"/>
      <c r="H730" s="197"/>
      <c r="I730" s="197"/>
      <c r="J730" s="197"/>
      <c r="K730" s="197"/>
      <c r="L730" s="197"/>
      <c r="M730" s="197"/>
      <c r="N730" s="197"/>
      <c r="O730" s="197"/>
      <c r="P730" s="197"/>
      <c r="Q730" s="197"/>
      <c r="R730" s="197"/>
      <c r="S730" s="197"/>
      <c r="T730" s="197"/>
      <c r="U730" s="197"/>
      <c r="V730" s="197"/>
      <c r="W730" s="197"/>
      <c r="X730" s="197"/>
      <c r="Y730" s="197"/>
      <c r="Z730" s="197"/>
    </row>
    <row r="731" ht="12.0" customHeight="1">
      <c r="A731" s="197"/>
      <c r="B731" s="198"/>
      <c r="C731" s="197"/>
      <c r="D731" s="197"/>
      <c r="E731" s="197"/>
      <c r="F731" s="197"/>
      <c r="G731" s="197"/>
      <c r="H731" s="197"/>
      <c r="I731" s="197"/>
      <c r="J731" s="197"/>
      <c r="K731" s="197"/>
      <c r="L731" s="197"/>
      <c r="M731" s="197"/>
      <c r="N731" s="197"/>
      <c r="O731" s="197"/>
      <c r="P731" s="197"/>
      <c r="Q731" s="197"/>
      <c r="R731" s="197"/>
      <c r="S731" s="197"/>
      <c r="T731" s="197"/>
      <c r="U731" s="197"/>
      <c r="V731" s="197"/>
      <c r="W731" s="197"/>
      <c r="X731" s="197"/>
      <c r="Y731" s="197"/>
      <c r="Z731" s="197"/>
    </row>
    <row r="732" ht="12.0" customHeight="1">
      <c r="A732" s="197"/>
      <c r="B732" s="198"/>
      <c r="C732" s="197"/>
      <c r="D732" s="197"/>
      <c r="E732" s="197"/>
      <c r="F732" s="197"/>
      <c r="G732" s="197"/>
      <c r="H732" s="197"/>
      <c r="I732" s="197"/>
      <c r="J732" s="197"/>
      <c r="K732" s="197"/>
      <c r="L732" s="197"/>
      <c r="M732" s="197"/>
      <c r="N732" s="197"/>
      <c r="O732" s="197"/>
      <c r="P732" s="197"/>
      <c r="Q732" s="197"/>
      <c r="R732" s="197"/>
      <c r="S732" s="197"/>
      <c r="T732" s="197"/>
      <c r="U732" s="197"/>
      <c r="V732" s="197"/>
      <c r="W732" s="197"/>
      <c r="X732" s="197"/>
      <c r="Y732" s="197"/>
      <c r="Z732" s="197"/>
    </row>
    <row r="733" ht="12.0" customHeight="1">
      <c r="A733" s="197"/>
      <c r="B733" s="198"/>
      <c r="C733" s="197"/>
      <c r="D733" s="197"/>
      <c r="E733" s="197"/>
      <c r="F733" s="197"/>
      <c r="G733" s="197"/>
      <c r="H733" s="197"/>
      <c r="I733" s="197"/>
      <c r="J733" s="197"/>
      <c r="K733" s="197"/>
      <c r="L733" s="197"/>
      <c r="M733" s="197"/>
      <c r="N733" s="197"/>
      <c r="O733" s="197"/>
      <c r="P733" s="197"/>
      <c r="Q733" s="197"/>
      <c r="R733" s="197"/>
      <c r="S733" s="197"/>
      <c r="T733" s="197"/>
      <c r="U733" s="197"/>
      <c r="V733" s="197"/>
      <c r="W733" s="197"/>
      <c r="X733" s="197"/>
      <c r="Y733" s="197"/>
      <c r="Z733" s="197"/>
    </row>
    <row r="734" ht="12.0" customHeight="1">
      <c r="A734" s="197"/>
      <c r="B734" s="198"/>
      <c r="C734" s="197"/>
      <c r="D734" s="197"/>
      <c r="E734" s="197"/>
      <c r="F734" s="197"/>
      <c r="G734" s="197"/>
      <c r="H734" s="197"/>
      <c r="I734" s="197"/>
      <c r="J734" s="197"/>
      <c r="K734" s="197"/>
      <c r="L734" s="197"/>
      <c r="M734" s="197"/>
      <c r="N734" s="197"/>
      <c r="O734" s="197"/>
      <c r="P734" s="197"/>
      <c r="Q734" s="197"/>
      <c r="R734" s="197"/>
      <c r="S734" s="197"/>
      <c r="T734" s="197"/>
      <c r="U734" s="197"/>
      <c r="V734" s="197"/>
      <c r="W734" s="197"/>
      <c r="X734" s="197"/>
      <c r="Y734" s="197"/>
      <c r="Z734" s="197"/>
    </row>
    <row r="735" ht="12.0" customHeight="1">
      <c r="A735" s="197"/>
      <c r="B735" s="198"/>
      <c r="C735" s="197"/>
      <c r="D735" s="197"/>
      <c r="E735" s="197"/>
      <c r="F735" s="197"/>
      <c r="G735" s="197"/>
      <c r="H735" s="197"/>
      <c r="I735" s="197"/>
      <c r="J735" s="197"/>
      <c r="K735" s="197"/>
      <c r="L735" s="197"/>
      <c r="M735" s="197"/>
      <c r="N735" s="197"/>
      <c r="O735" s="197"/>
      <c r="P735" s="197"/>
      <c r="Q735" s="197"/>
      <c r="R735" s="197"/>
      <c r="S735" s="197"/>
      <c r="T735" s="197"/>
      <c r="U735" s="197"/>
      <c r="V735" s="197"/>
      <c r="W735" s="197"/>
      <c r="X735" s="197"/>
      <c r="Y735" s="197"/>
      <c r="Z735" s="197"/>
    </row>
    <row r="736" ht="12.0" customHeight="1">
      <c r="A736" s="197"/>
      <c r="B736" s="198"/>
      <c r="C736" s="197"/>
      <c r="D736" s="197"/>
      <c r="E736" s="197"/>
      <c r="F736" s="197"/>
      <c r="G736" s="197"/>
      <c r="H736" s="197"/>
      <c r="I736" s="197"/>
      <c r="J736" s="197"/>
      <c r="K736" s="197"/>
      <c r="L736" s="197"/>
      <c r="M736" s="197"/>
      <c r="N736" s="197"/>
      <c r="O736" s="197"/>
      <c r="P736" s="197"/>
      <c r="Q736" s="197"/>
      <c r="R736" s="197"/>
      <c r="S736" s="197"/>
      <c r="T736" s="197"/>
      <c r="U736" s="197"/>
      <c r="V736" s="197"/>
      <c r="W736" s="197"/>
      <c r="X736" s="197"/>
      <c r="Y736" s="197"/>
      <c r="Z736" s="197"/>
    </row>
    <row r="737" ht="12.0" customHeight="1">
      <c r="A737" s="197"/>
      <c r="B737" s="198"/>
      <c r="C737" s="197"/>
      <c r="D737" s="197"/>
      <c r="E737" s="197"/>
      <c r="F737" s="197"/>
      <c r="G737" s="197"/>
      <c r="H737" s="197"/>
      <c r="I737" s="197"/>
      <c r="J737" s="197"/>
      <c r="K737" s="197"/>
      <c r="L737" s="197"/>
      <c r="M737" s="197"/>
      <c r="N737" s="197"/>
      <c r="O737" s="197"/>
      <c r="P737" s="197"/>
      <c r="Q737" s="197"/>
      <c r="R737" s="197"/>
      <c r="S737" s="197"/>
      <c r="T737" s="197"/>
      <c r="U737" s="197"/>
      <c r="V737" s="197"/>
      <c r="W737" s="197"/>
      <c r="X737" s="197"/>
      <c r="Y737" s="197"/>
      <c r="Z737" s="197"/>
    </row>
    <row r="738" ht="12.0" customHeight="1">
      <c r="A738" s="197"/>
      <c r="B738" s="198"/>
      <c r="C738" s="197"/>
      <c r="D738" s="197"/>
      <c r="E738" s="197"/>
      <c r="F738" s="197"/>
      <c r="G738" s="197"/>
      <c r="H738" s="197"/>
      <c r="I738" s="197"/>
      <c r="J738" s="197"/>
      <c r="K738" s="197"/>
      <c r="L738" s="197"/>
      <c r="M738" s="197"/>
      <c r="N738" s="197"/>
      <c r="O738" s="197"/>
      <c r="P738" s="197"/>
      <c r="Q738" s="197"/>
      <c r="R738" s="197"/>
      <c r="S738" s="197"/>
      <c r="T738" s="197"/>
      <c r="U738" s="197"/>
      <c r="V738" s="197"/>
      <c r="W738" s="197"/>
      <c r="X738" s="197"/>
      <c r="Y738" s="197"/>
      <c r="Z738" s="197"/>
    </row>
    <row r="739" ht="12.0" customHeight="1">
      <c r="A739" s="197"/>
      <c r="B739" s="198"/>
      <c r="C739" s="197"/>
      <c r="D739" s="197"/>
      <c r="E739" s="197"/>
      <c r="F739" s="197"/>
      <c r="G739" s="197"/>
      <c r="H739" s="197"/>
      <c r="I739" s="197"/>
      <c r="J739" s="197"/>
      <c r="K739" s="197"/>
      <c r="L739" s="197"/>
      <c r="M739" s="197"/>
      <c r="N739" s="197"/>
      <c r="O739" s="197"/>
      <c r="P739" s="197"/>
      <c r="Q739" s="197"/>
      <c r="R739" s="197"/>
      <c r="S739" s="197"/>
      <c r="T739" s="197"/>
      <c r="U739" s="197"/>
      <c r="V739" s="197"/>
      <c r="W739" s="197"/>
      <c r="X739" s="197"/>
      <c r="Y739" s="197"/>
      <c r="Z739" s="197"/>
    </row>
    <row r="740" ht="12.0" customHeight="1">
      <c r="A740" s="197"/>
      <c r="B740" s="198"/>
      <c r="C740" s="197"/>
      <c r="D740" s="197"/>
      <c r="E740" s="197"/>
      <c r="F740" s="197"/>
      <c r="G740" s="197"/>
      <c r="H740" s="197"/>
      <c r="I740" s="197"/>
      <c r="J740" s="197"/>
      <c r="K740" s="197"/>
      <c r="L740" s="197"/>
      <c r="M740" s="197"/>
      <c r="N740" s="197"/>
      <c r="O740" s="197"/>
      <c r="P740" s="197"/>
      <c r="Q740" s="197"/>
      <c r="R740" s="197"/>
      <c r="S740" s="197"/>
      <c r="T740" s="197"/>
      <c r="U740" s="197"/>
      <c r="V740" s="197"/>
      <c r="W740" s="197"/>
      <c r="X740" s="197"/>
      <c r="Y740" s="197"/>
      <c r="Z740" s="197"/>
    </row>
    <row r="741" ht="12.0" customHeight="1">
      <c r="A741" s="197"/>
      <c r="B741" s="198"/>
      <c r="C741" s="197"/>
      <c r="D741" s="197"/>
      <c r="E741" s="197"/>
      <c r="F741" s="197"/>
      <c r="G741" s="197"/>
      <c r="H741" s="197"/>
      <c r="I741" s="197"/>
      <c r="J741" s="197"/>
      <c r="K741" s="197"/>
      <c r="L741" s="197"/>
      <c r="M741" s="197"/>
      <c r="N741" s="197"/>
      <c r="O741" s="197"/>
      <c r="P741" s="197"/>
      <c r="Q741" s="197"/>
      <c r="R741" s="197"/>
      <c r="S741" s="197"/>
      <c r="T741" s="197"/>
      <c r="U741" s="197"/>
      <c r="V741" s="197"/>
      <c r="W741" s="197"/>
      <c r="X741" s="197"/>
      <c r="Y741" s="197"/>
      <c r="Z741" s="197"/>
    </row>
    <row r="742" ht="12.0" customHeight="1">
      <c r="A742" s="197"/>
      <c r="B742" s="198"/>
      <c r="C742" s="197"/>
      <c r="D742" s="197"/>
      <c r="E742" s="197"/>
      <c r="F742" s="197"/>
      <c r="G742" s="197"/>
      <c r="H742" s="197"/>
      <c r="I742" s="197"/>
      <c r="J742" s="197"/>
      <c r="K742" s="197"/>
      <c r="L742" s="197"/>
      <c r="M742" s="197"/>
      <c r="N742" s="197"/>
      <c r="O742" s="197"/>
      <c r="P742" s="197"/>
      <c r="Q742" s="197"/>
      <c r="R742" s="197"/>
      <c r="S742" s="197"/>
      <c r="T742" s="197"/>
      <c r="U742" s="197"/>
      <c r="V742" s="197"/>
      <c r="W742" s="197"/>
      <c r="X742" s="197"/>
      <c r="Y742" s="197"/>
      <c r="Z742" s="197"/>
    </row>
    <row r="743" ht="12.0" customHeight="1">
      <c r="A743" s="197"/>
      <c r="B743" s="198"/>
      <c r="C743" s="197"/>
      <c r="D743" s="197"/>
      <c r="E743" s="197"/>
      <c r="F743" s="197"/>
      <c r="G743" s="197"/>
      <c r="H743" s="197"/>
      <c r="I743" s="197"/>
      <c r="J743" s="197"/>
      <c r="K743" s="197"/>
      <c r="L743" s="197"/>
      <c r="M743" s="197"/>
      <c r="N743" s="197"/>
      <c r="O743" s="197"/>
      <c r="P743" s="197"/>
      <c r="Q743" s="197"/>
      <c r="R743" s="197"/>
      <c r="S743" s="197"/>
      <c r="T743" s="197"/>
      <c r="U743" s="197"/>
      <c r="V743" s="197"/>
      <c r="W743" s="197"/>
      <c r="X743" s="197"/>
      <c r="Y743" s="197"/>
      <c r="Z743" s="197"/>
    </row>
    <row r="744" ht="12.0" customHeight="1">
      <c r="A744" s="197"/>
      <c r="B744" s="198"/>
      <c r="C744" s="197"/>
      <c r="D744" s="197"/>
      <c r="E744" s="197"/>
      <c r="F744" s="197"/>
      <c r="G744" s="197"/>
      <c r="H744" s="197"/>
      <c r="I744" s="197"/>
      <c r="J744" s="197"/>
      <c r="K744" s="197"/>
      <c r="L744" s="197"/>
      <c r="M744" s="197"/>
      <c r="N744" s="197"/>
      <c r="O744" s="197"/>
      <c r="P744" s="197"/>
      <c r="Q744" s="197"/>
      <c r="R744" s="197"/>
      <c r="S744" s="197"/>
      <c r="T744" s="197"/>
      <c r="U744" s="197"/>
      <c r="V744" s="197"/>
      <c r="W744" s="197"/>
      <c r="X744" s="197"/>
      <c r="Y744" s="197"/>
      <c r="Z744" s="197"/>
    </row>
    <row r="745" ht="12.0" customHeight="1">
      <c r="A745" s="197"/>
      <c r="B745" s="198"/>
      <c r="C745" s="197"/>
      <c r="D745" s="197"/>
      <c r="E745" s="197"/>
      <c r="F745" s="197"/>
      <c r="G745" s="197"/>
      <c r="H745" s="197"/>
      <c r="I745" s="197"/>
      <c r="J745" s="197"/>
      <c r="K745" s="197"/>
      <c r="L745" s="197"/>
      <c r="M745" s="197"/>
      <c r="N745" s="197"/>
      <c r="O745" s="197"/>
      <c r="P745" s="197"/>
      <c r="Q745" s="197"/>
      <c r="R745" s="197"/>
      <c r="S745" s="197"/>
      <c r="T745" s="197"/>
      <c r="U745" s="197"/>
      <c r="V745" s="197"/>
      <c r="W745" s="197"/>
      <c r="X745" s="197"/>
      <c r="Y745" s="197"/>
      <c r="Z745" s="197"/>
    </row>
    <row r="746" ht="12.0" customHeight="1">
      <c r="A746" s="197"/>
      <c r="B746" s="198"/>
      <c r="C746" s="197"/>
      <c r="D746" s="197"/>
      <c r="E746" s="197"/>
      <c r="F746" s="197"/>
      <c r="G746" s="197"/>
      <c r="H746" s="197"/>
      <c r="I746" s="197"/>
      <c r="J746" s="197"/>
      <c r="K746" s="197"/>
      <c r="L746" s="197"/>
      <c r="M746" s="197"/>
      <c r="N746" s="197"/>
      <c r="O746" s="197"/>
      <c r="P746" s="197"/>
      <c r="Q746" s="197"/>
      <c r="R746" s="197"/>
      <c r="S746" s="197"/>
      <c r="T746" s="197"/>
      <c r="U746" s="197"/>
      <c r="V746" s="197"/>
      <c r="W746" s="197"/>
      <c r="X746" s="197"/>
      <c r="Y746" s="197"/>
      <c r="Z746" s="197"/>
    </row>
    <row r="747" ht="12.0" customHeight="1">
      <c r="A747" s="197"/>
      <c r="B747" s="198"/>
      <c r="C747" s="197"/>
      <c r="D747" s="197"/>
      <c r="E747" s="197"/>
      <c r="F747" s="197"/>
      <c r="G747" s="197"/>
      <c r="H747" s="197"/>
      <c r="I747" s="197"/>
      <c r="J747" s="197"/>
      <c r="K747" s="197"/>
      <c r="L747" s="197"/>
      <c r="M747" s="197"/>
      <c r="N747" s="197"/>
      <c r="O747" s="197"/>
      <c r="P747" s="197"/>
      <c r="Q747" s="197"/>
      <c r="R747" s="197"/>
      <c r="S747" s="197"/>
      <c r="T747" s="197"/>
      <c r="U747" s="197"/>
      <c r="V747" s="197"/>
      <c r="W747" s="197"/>
      <c r="X747" s="197"/>
      <c r="Y747" s="197"/>
      <c r="Z747" s="197"/>
    </row>
    <row r="748" ht="12.0" customHeight="1">
      <c r="A748" s="197"/>
      <c r="B748" s="198"/>
      <c r="C748" s="197"/>
      <c r="D748" s="197"/>
      <c r="E748" s="197"/>
      <c r="F748" s="197"/>
      <c r="G748" s="197"/>
      <c r="H748" s="197"/>
      <c r="I748" s="197"/>
      <c r="J748" s="197"/>
      <c r="K748" s="197"/>
      <c r="L748" s="197"/>
      <c r="M748" s="197"/>
      <c r="N748" s="197"/>
      <c r="O748" s="197"/>
      <c r="P748" s="197"/>
      <c r="Q748" s="197"/>
      <c r="R748" s="197"/>
      <c r="S748" s="197"/>
      <c r="T748" s="197"/>
      <c r="U748" s="197"/>
      <c r="V748" s="197"/>
      <c r="W748" s="197"/>
      <c r="X748" s="197"/>
      <c r="Y748" s="197"/>
      <c r="Z748" s="197"/>
    </row>
    <row r="749" ht="12.0" customHeight="1">
      <c r="A749" s="197"/>
      <c r="B749" s="198"/>
      <c r="C749" s="197"/>
      <c r="D749" s="197"/>
      <c r="E749" s="197"/>
      <c r="F749" s="197"/>
      <c r="G749" s="197"/>
      <c r="H749" s="197"/>
      <c r="I749" s="197"/>
      <c r="J749" s="197"/>
      <c r="K749" s="197"/>
      <c r="L749" s="197"/>
      <c r="M749" s="197"/>
      <c r="N749" s="197"/>
      <c r="O749" s="197"/>
      <c r="P749" s="197"/>
      <c r="Q749" s="197"/>
      <c r="R749" s="197"/>
      <c r="S749" s="197"/>
      <c r="T749" s="197"/>
      <c r="U749" s="197"/>
      <c r="V749" s="197"/>
      <c r="W749" s="197"/>
      <c r="X749" s="197"/>
      <c r="Y749" s="197"/>
      <c r="Z749" s="197"/>
    </row>
    <row r="750" ht="12.0" customHeight="1">
      <c r="A750" s="197"/>
      <c r="B750" s="198"/>
      <c r="C750" s="197"/>
      <c r="D750" s="197"/>
      <c r="E750" s="197"/>
      <c r="F750" s="197"/>
      <c r="G750" s="197"/>
      <c r="H750" s="197"/>
      <c r="I750" s="197"/>
      <c r="J750" s="197"/>
      <c r="K750" s="197"/>
      <c r="L750" s="197"/>
      <c r="M750" s="197"/>
      <c r="N750" s="197"/>
      <c r="O750" s="197"/>
      <c r="P750" s="197"/>
      <c r="Q750" s="197"/>
      <c r="R750" s="197"/>
      <c r="S750" s="197"/>
      <c r="T750" s="197"/>
      <c r="U750" s="197"/>
      <c r="V750" s="197"/>
      <c r="W750" s="197"/>
      <c r="X750" s="197"/>
      <c r="Y750" s="197"/>
      <c r="Z750" s="197"/>
    </row>
    <row r="751" ht="12.0" customHeight="1">
      <c r="A751" s="197"/>
      <c r="B751" s="198"/>
      <c r="C751" s="197"/>
      <c r="D751" s="197"/>
      <c r="E751" s="197"/>
      <c r="F751" s="197"/>
      <c r="G751" s="197"/>
      <c r="H751" s="197"/>
      <c r="I751" s="197"/>
      <c r="J751" s="197"/>
      <c r="K751" s="197"/>
      <c r="L751" s="197"/>
      <c r="M751" s="197"/>
      <c r="N751" s="197"/>
      <c r="O751" s="197"/>
      <c r="P751" s="197"/>
      <c r="Q751" s="197"/>
      <c r="R751" s="197"/>
      <c r="S751" s="197"/>
      <c r="T751" s="197"/>
      <c r="U751" s="197"/>
      <c r="V751" s="197"/>
      <c r="W751" s="197"/>
      <c r="X751" s="197"/>
      <c r="Y751" s="197"/>
      <c r="Z751" s="197"/>
    </row>
    <row r="752" ht="12.0" customHeight="1">
      <c r="A752" s="197"/>
      <c r="B752" s="198"/>
      <c r="C752" s="197"/>
      <c r="D752" s="197"/>
      <c r="E752" s="197"/>
      <c r="F752" s="197"/>
      <c r="G752" s="197"/>
      <c r="H752" s="197"/>
      <c r="I752" s="197"/>
      <c r="J752" s="197"/>
      <c r="K752" s="197"/>
      <c r="L752" s="197"/>
      <c r="M752" s="197"/>
      <c r="N752" s="197"/>
      <c r="O752" s="197"/>
      <c r="P752" s="197"/>
      <c r="Q752" s="197"/>
      <c r="R752" s="197"/>
      <c r="S752" s="197"/>
      <c r="T752" s="197"/>
      <c r="U752" s="197"/>
      <c r="V752" s="197"/>
      <c r="W752" s="197"/>
      <c r="X752" s="197"/>
      <c r="Y752" s="197"/>
      <c r="Z752" s="197"/>
    </row>
    <row r="753" ht="12.0" customHeight="1">
      <c r="A753" s="197"/>
      <c r="B753" s="198"/>
      <c r="C753" s="197"/>
      <c r="D753" s="197"/>
      <c r="E753" s="197"/>
      <c r="F753" s="197"/>
      <c r="G753" s="197"/>
      <c r="H753" s="197"/>
      <c r="I753" s="197"/>
      <c r="J753" s="197"/>
      <c r="K753" s="197"/>
      <c r="L753" s="197"/>
      <c r="M753" s="197"/>
      <c r="N753" s="197"/>
      <c r="O753" s="197"/>
      <c r="P753" s="197"/>
      <c r="Q753" s="197"/>
      <c r="R753" s="197"/>
      <c r="S753" s="197"/>
      <c r="T753" s="197"/>
      <c r="U753" s="197"/>
      <c r="V753" s="197"/>
      <c r="W753" s="197"/>
      <c r="X753" s="197"/>
      <c r="Y753" s="197"/>
      <c r="Z753" s="197"/>
    </row>
    <row r="754" ht="12.0" customHeight="1">
      <c r="A754" s="197"/>
      <c r="B754" s="198"/>
      <c r="C754" s="197"/>
      <c r="D754" s="197"/>
      <c r="E754" s="197"/>
      <c r="F754" s="197"/>
      <c r="G754" s="197"/>
      <c r="H754" s="197"/>
      <c r="I754" s="197"/>
      <c r="J754" s="197"/>
      <c r="K754" s="197"/>
      <c r="L754" s="197"/>
      <c r="M754" s="197"/>
      <c r="N754" s="197"/>
      <c r="O754" s="197"/>
      <c r="P754" s="197"/>
      <c r="Q754" s="197"/>
      <c r="R754" s="197"/>
      <c r="S754" s="197"/>
      <c r="T754" s="197"/>
      <c r="U754" s="197"/>
      <c r="V754" s="197"/>
      <c r="W754" s="197"/>
      <c r="X754" s="197"/>
      <c r="Y754" s="197"/>
      <c r="Z754" s="197"/>
    </row>
    <row r="755" ht="12.0" customHeight="1">
      <c r="A755" s="197"/>
      <c r="B755" s="198"/>
      <c r="C755" s="197"/>
      <c r="D755" s="197"/>
      <c r="E755" s="197"/>
      <c r="F755" s="197"/>
      <c r="G755" s="197"/>
      <c r="H755" s="197"/>
      <c r="I755" s="197"/>
      <c r="J755" s="197"/>
      <c r="K755" s="197"/>
      <c r="L755" s="197"/>
      <c r="M755" s="197"/>
      <c r="N755" s="197"/>
      <c r="O755" s="197"/>
      <c r="P755" s="197"/>
      <c r="Q755" s="197"/>
      <c r="R755" s="197"/>
      <c r="S755" s="197"/>
      <c r="T755" s="197"/>
      <c r="U755" s="197"/>
      <c r="V755" s="197"/>
      <c r="W755" s="197"/>
      <c r="X755" s="197"/>
      <c r="Y755" s="197"/>
      <c r="Z755" s="197"/>
    </row>
    <row r="756" ht="12.0" customHeight="1">
      <c r="A756" s="197"/>
      <c r="B756" s="198"/>
      <c r="C756" s="197"/>
      <c r="D756" s="197"/>
      <c r="E756" s="197"/>
      <c r="F756" s="197"/>
      <c r="G756" s="197"/>
      <c r="H756" s="197"/>
      <c r="I756" s="197"/>
      <c r="J756" s="197"/>
      <c r="K756" s="197"/>
      <c r="L756" s="197"/>
      <c r="M756" s="197"/>
      <c r="N756" s="197"/>
      <c r="O756" s="197"/>
      <c r="P756" s="197"/>
      <c r="Q756" s="197"/>
      <c r="R756" s="197"/>
      <c r="S756" s="197"/>
      <c r="T756" s="197"/>
      <c r="U756" s="197"/>
      <c r="V756" s="197"/>
      <c r="W756" s="197"/>
      <c r="X756" s="197"/>
      <c r="Y756" s="197"/>
      <c r="Z756" s="197"/>
    </row>
    <row r="757" ht="12.0" customHeight="1">
      <c r="A757" s="197"/>
      <c r="B757" s="198"/>
      <c r="C757" s="197"/>
      <c r="D757" s="197"/>
      <c r="E757" s="197"/>
      <c r="F757" s="197"/>
      <c r="G757" s="197"/>
      <c r="H757" s="197"/>
      <c r="I757" s="197"/>
      <c r="J757" s="197"/>
      <c r="K757" s="197"/>
      <c r="L757" s="197"/>
      <c r="M757" s="197"/>
      <c r="N757" s="197"/>
      <c r="O757" s="197"/>
      <c r="P757" s="197"/>
      <c r="Q757" s="197"/>
      <c r="R757" s="197"/>
      <c r="S757" s="197"/>
      <c r="T757" s="197"/>
      <c r="U757" s="197"/>
      <c r="V757" s="197"/>
      <c r="W757" s="197"/>
      <c r="X757" s="197"/>
      <c r="Y757" s="197"/>
      <c r="Z757" s="197"/>
    </row>
    <row r="758" ht="12.0" customHeight="1">
      <c r="A758" s="197"/>
      <c r="B758" s="198"/>
      <c r="C758" s="197"/>
      <c r="D758" s="197"/>
      <c r="E758" s="197"/>
      <c r="F758" s="197"/>
      <c r="G758" s="197"/>
      <c r="H758" s="197"/>
      <c r="I758" s="197"/>
      <c r="J758" s="197"/>
      <c r="K758" s="197"/>
      <c r="L758" s="197"/>
      <c r="M758" s="197"/>
      <c r="N758" s="197"/>
      <c r="O758" s="197"/>
      <c r="P758" s="197"/>
      <c r="Q758" s="197"/>
      <c r="R758" s="197"/>
      <c r="S758" s="197"/>
      <c r="T758" s="197"/>
      <c r="U758" s="197"/>
      <c r="V758" s="197"/>
      <c r="W758" s="197"/>
      <c r="X758" s="197"/>
      <c r="Y758" s="197"/>
      <c r="Z758" s="197"/>
    </row>
    <row r="759" ht="12.0" customHeight="1">
      <c r="A759" s="197"/>
      <c r="B759" s="198"/>
      <c r="C759" s="197"/>
      <c r="D759" s="197"/>
      <c r="E759" s="197"/>
      <c r="F759" s="197"/>
      <c r="G759" s="197"/>
      <c r="H759" s="197"/>
      <c r="I759" s="197"/>
      <c r="J759" s="197"/>
      <c r="K759" s="197"/>
      <c r="L759" s="197"/>
      <c r="M759" s="197"/>
      <c r="N759" s="197"/>
      <c r="O759" s="197"/>
      <c r="P759" s="197"/>
      <c r="Q759" s="197"/>
      <c r="R759" s="197"/>
      <c r="S759" s="197"/>
      <c r="T759" s="197"/>
      <c r="U759" s="197"/>
      <c r="V759" s="197"/>
      <c r="W759" s="197"/>
      <c r="X759" s="197"/>
      <c r="Y759" s="197"/>
      <c r="Z759" s="197"/>
    </row>
    <row r="760" ht="12.0" customHeight="1">
      <c r="A760" s="197"/>
      <c r="B760" s="198"/>
      <c r="C760" s="197"/>
      <c r="D760" s="197"/>
      <c r="E760" s="197"/>
      <c r="F760" s="197"/>
      <c r="G760" s="197"/>
      <c r="H760" s="197"/>
      <c r="I760" s="197"/>
      <c r="J760" s="197"/>
      <c r="K760" s="197"/>
      <c r="L760" s="197"/>
      <c r="M760" s="197"/>
      <c r="N760" s="197"/>
      <c r="O760" s="197"/>
      <c r="P760" s="197"/>
      <c r="Q760" s="197"/>
      <c r="R760" s="197"/>
      <c r="S760" s="197"/>
      <c r="T760" s="197"/>
      <c r="U760" s="197"/>
      <c r="V760" s="197"/>
      <c r="W760" s="197"/>
      <c r="X760" s="197"/>
      <c r="Y760" s="197"/>
      <c r="Z760" s="197"/>
    </row>
    <row r="761" ht="12.0" customHeight="1">
      <c r="A761" s="197"/>
      <c r="B761" s="198"/>
      <c r="C761" s="197"/>
      <c r="D761" s="197"/>
      <c r="E761" s="197"/>
      <c r="F761" s="197"/>
      <c r="G761" s="197"/>
      <c r="H761" s="197"/>
      <c r="I761" s="197"/>
      <c r="J761" s="197"/>
      <c r="K761" s="197"/>
      <c r="L761" s="197"/>
      <c r="M761" s="197"/>
      <c r="N761" s="197"/>
      <c r="O761" s="197"/>
      <c r="P761" s="197"/>
      <c r="Q761" s="197"/>
      <c r="R761" s="197"/>
      <c r="S761" s="197"/>
      <c r="T761" s="197"/>
      <c r="U761" s="197"/>
      <c r="V761" s="197"/>
      <c r="W761" s="197"/>
      <c r="X761" s="197"/>
      <c r="Y761" s="197"/>
      <c r="Z761" s="197"/>
    </row>
    <row r="762" ht="12.0" customHeight="1">
      <c r="A762" s="197"/>
      <c r="B762" s="198"/>
      <c r="C762" s="197"/>
      <c r="D762" s="197"/>
      <c r="E762" s="197"/>
      <c r="F762" s="197"/>
      <c r="G762" s="197"/>
      <c r="H762" s="197"/>
      <c r="I762" s="197"/>
      <c r="J762" s="197"/>
      <c r="K762" s="197"/>
      <c r="L762" s="197"/>
      <c r="M762" s="197"/>
      <c r="N762" s="197"/>
      <c r="O762" s="197"/>
      <c r="P762" s="197"/>
      <c r="Q762" s="197"/>
      <c r="R762" s="197"/>
      <c r="S762" s="197"/>
      <c r="T762" s="197"/>
      <c r="U762" s="197"/>
      <c r="V762" s="197"/>
      <c r="W762" s="197"/>
      <c r="X762" s="197"/>
      <c r="Y762" s="197"/>
      <c r="Z762" s="197"/>
    </row>
    <row r="763" ht="12.0" customHeight="1">
      <c r="A763" s="197"/>
      <c r="B763" s="198"/>
      <c r="C763" s="197"/>
      <c r="D763" s="197"/>
      <c r="E763" s="197"/>
      <c r="F763" s="197"/>
      <c r="G763" s="197"/>
      <c r="H763" s="197"/>
      <c r="I763" s="197"/>
      <c r="J763" s="197"/>
      <c r="K763" s="197"/>
      <c r="L763" s="197"/>
      <c r="M763" s="197"/>
      <c r="N763" s="197"/>
      <c r="O763" s="197"/>
      <c r="P763" s="197"/>
      <c r="Q763" s="197"/>
      <c r="R763" s="197"/>
      <c r="S763" s="197"/>
      <c r="T763" s="197"/>
      <c r="U763" s="197"/>
      <c r="V763" s="197"/>
      <c r="W763" s="197"/>
      <c r="X763" s="197"/>
      <c r="Y763" s="197"/>
      <c r="Z763" s="197"/>
    </row>
    <row r="764" ht="12.0" customHeight="1">
      <c r="A764" s="197"/>
      <c r="B764" s="198"/>
      <c r="C764" s="197"/>
      <c r="D764" s="197"/>
      <c r="E764" s="197"/>
      <c r="F764" s="197"/>
      <c r="G764" s="197"/>
      <c r="H764" s="197"/>
      <c r="I764" s="197"/>
      <c r="J764" s="197"/>
      <c r="K764" s="197"/>
      <c r="L764" s="197"/>
      <c r="M764" s="197"/>
      <c r="N764" s="197"/>
      <c r="O764" s="197"/>
      <c r="P764" s="197"/>
      <c r="Q764" s="197"/>
      <c r="R764" s="197"/>
      <c r="S764" s="197"/>
      <c r="T764" s="197"/>
      <c r="U764" s="197"/>
      <c r="V764" s="197"/>
      <c r="W764" s="197"/>
      <c r="X764" s="197"/>
      <c r="Y764" s="197"/>
      <c r="Z764" s="197"/>
    </row>
    <row r="765" ht="12.0" customHeight="1">
      <c r="A765" s="197"/>
      <c r="B765" s="198"/>
      <c r="C765" s="197"/>
      <c r="D765" s="197"/>
      <c r="E765" s="197"/>
      <c r="F765" s="197"/>
      <c r="G765" s="197"/>
      <c r="H765" s="197"/>
      <c r="I765" s="197"/>
      <c r="J765" s="197"/>
      <c r="K765" s="197"/>
      <c r="L765" s="197"/>
      <c r="M765" s="197"/>
      <c r="N765" s="197"/>
      <c r="O765" s="197"/>
      <c r="P765" s="197"/>
      <c r="Q765" s="197"/>
      <c r="R765" s="197"/>
      <c r="S765" s="197"/>
      <c r="T765" s="197"/>
      <c r="U765" s="197"/>
      <c r="V765" s="197"/>
      <c r="W765" s="197"/>
      <c r="X765" s="197"/>
      <c r="Y765" s="197"/>
      <c r="Z765" s="197"/>
    </row>
    <row r="766" ht="12.0" customHeight="1">
      <c r="A766" s="197"/>
      <c r="B766" s="198"/>
      <c r="C766" s="197"/>
      <c r="D766" s="197"/>
      <c r="E766" s="197"/>
      <c r="F766" s="197"/>
      <c r="G766" s="197"/>
      <c r="H766" s="197"/>
      <c r="I766" s="197"/>
      <c r="J766" s="197"/>
      <c r="K766" s="197"/>
      <c r="L766" s="197"/>
      <c r="M766" s="197"/>
      <c r="N766" s="197"/>
      <c r="O766" s="197"/>
      <c r="P766" s="197"/>
      <c r="Q766" s="197"/>
      <c r="R766" s="197"/>
      <c r="S766" s="197"/>
      <c r="T766" s="197"/>
      <c r="U766" s="197"/>
      <c r="V766" s="197"/>
      <c r="W766" s="197"/>
      <c r="X766" s="197"/>
      <c r="Y766" s="197"/>
      <c r="Z766" s="197"/>
    </row>
    <row r="767" ht="12.0" customHeight="1">
      <c r="A767" s="197"/>
      <c r="B767" s="198"/>
      <c r="C767" s="197"/>
      <c r="D767" s="197"/>
      <c r="E767" s="197"/>
      <c r="F767" s="197"/>
      <c r="G767" s="197"/>
      <c r="H767" s="197"/>
      <c r="I767" s="197"/>
      <c r="J767" s="197"/>
      <c r="K767" s="197"/>
      <c r="L767" s="197"/>
      <c r="M767" s="197"/>
      <c r="N767" s="197"/>
      <c r="O767" s="197"/>
      <c r="P767" s="197"/>
      <c r="Q767" s="197"/>
      <c r="R767" s="197"/>
      <c r="S767" s="197"/>
      <c r="T767" s="197"/>
      <c r="U767" s="197"/>
      <c r="V767" s="197"/>
      <c r="W767" s="197"/>
      <c r="X767" s="197"/>
      <c r="Y767" s="197"/>
      <c r="Z767" s="197"/>
    </row>
    <row r="768" ht="12.0" customHeight="1">
      <c r="A768" s="197"/>
      <c r="B768" s="198"/>
      <c r="C768" s="197"/>
      <c r="D768" s="197"/>
      <c r="E768" s="197"/>
      <c r="F768" s="197"/>
      <c r="G768" s="197"/>
      <c r="H768" s="197"/>
      <c r="I768" s="197"/>
      <c r="J768" s="197"/>
      <c r="K768" s="197"/>
      <c r="L768" s="197"/>
      <c r="M768" s="197"/>
      <c r="N768" s="197"/>
      <c r="O768" s="197"/>
      <c r="P768" s="197"/>
      <c r="Q768" s="197"/>
      <c r="R768" s="197"/>
      <c r="S768" s="197"/>
      <c r="T768" s="197"/>
      <c r="U768" s="197"/>
      <c r="V768" s="197"/>
      <c r="W768" s="197"/>
      <c r="X768" s="197"/>
      <c r="Y768" s="197"/>
      <c r="Z768" s="197"/>
    </row>
    <row r="769" ht="12.0" customHeight="1">
      <c r="A769" s="197"/>
      <c r="B769" s="198"/>
      <c r="C769" s="197"/>
      <c r="D769" s="197"/>
      <c r="E769" s="197"/>
      <c r="F769" s="197"/>
      <c r="G769" s="197"/>
      <c r="H769" s="197"/>
      <c r="I769" s="197"/>
      <c r="J769" s="197"/>
      <c r="K769" s="197"/>
      <c r="L769" s="197"/>
      <c r="M769" s="197"/>
      <c r="N769" s="197"/>
      <c r="O769" s="197"/>
      <c r="P769" s="197"/>
      <c r="Q769" s="197"/>
      <c r="R769" s="197"/>
      <c r="S769" s="197"/>
      <c r="T769" s="197"/>
      <c r="U769" s="197"/>
      <c r="V769" s="197"/>
      <c r="W769" s="197"/>
      <c r="X769" s="197"/>
      <c r="Y769" s="197"/>
      <c r="Z769" s="197"/>
    </row>
    <row r="770" ht="12.0" customHeight="1">
      <c r="A770" s="197"/>
      <c r="B770" s="198"/>
      <c r="C770" s="197"/>
      <c r="D770" s="197"/>
      <c r="E770" s="197"/>
      <c r="F770" s="197"/>
      <c r="G770" s="197"/>
      <c r="H770" s="197"/>
      <c r="I770" s="197"/>
      <c r="J770" s="197"/>
      <c r="K770" s="197"/>
      <c r="L770" s="197"/>
      <c r="M770" s="197"/>
      <c r="N770" s="197"/>
      <c r="O770" s="197"/>
      <c r="P770" s="197"/>
      <c r="Q770" s="197"/>
      <c r="R770" s="197"/>
      <c r="S770" s="197"/>
      <c r="T770" s="197"/>
      <c r="U770" s="197"/>
      <c r="V770" s="197"/>
      <c r="W770" s="197"/>
      <c r="X770" s="197"/>
      <c r="Y770" s="197"/>
      <c r="Z770" s="197"/>
    </row>
    <row r="771" ht="12.0" customHeight="1">
      <c r="A771" s="197"/>
      <c r="B771" s="198"/>
      <c r="C771" s="197"/>
      <c r="D771" s="197"/>
      <c r="E771" s="197"/>
      <c r="F771" s="197"/>
      <c r="G771" s="197"/>
      <c r="H771" s="197"/>
      <c r="I771" s="197"/>
      <c r="J771" s="197"/>
      <c r="K771" s="197"/>
      <c r="L771" s="197"/>
      <c r="M771" s="197"/>
      <c r="N771" s="197"/>
      <c r="O771" s="197"/>
      <c r="P771" s="197"/>
      <c r="Q771" s="197"/>
      <c r="R771" s="197"/>
      <c r="S771" s="197"/>
      <c r="T771" s="197"/>
      <c r="U771" s="197"/>
      <c r="V771" s="197"/>
      <c r="W771" s="197"/>
      <c r="X771" s="197"/>
      <c r="Y771" s="197"/>
      <c r="Z771" s="197"/>
    </row>
    <row r="772" ht="12.0" customHeight="1">
      <c r="A772" s="197"/>
      <c r="B772" s="198"/>
      <c r="C772" s="197"/>
      <c r="D772" s="197"/>
      <c r="E772" s="197"/>
      <c r="F772" s="197"/>
      <c r="G772" s="197"/>
      <c r="H772" s="197"/>
      <c r="I772" s="197"/>
      <c r="J772" s="197"/>
      <c r="K772" s="197"/>
      <c r="L772" s="197"/>
      <c r="M772" s="197"/>
      <c r="N772" s="197"/>
      <c r="O772" s="197"/>
      <c r="P772" s="197"/>
      <c r="Q772" s="197"/>
      <c r="R772" s="197"/>
      <c r="S772" s="197"/>
      <c r="T772" s="197"/>
      <c r="U772" s="197"/>
      <c r="V772" s="197"/>
      <c r="W772" s="197"/>
      <c r="X772" s="197"/>
      <c r="Y772" s="197"/>
      <c r="Z772" s="197"/>
    </row>
    <row r="773" ht="12.0" customHeight="1">
      <c r="A773" s="197"/>
      <c r="B773" s="198"/>
      <c r="C773" s="197"/>
      <c r="D773" s="197"/>
      <c r="E773" s="197"/>
      <c r="F773" s="197"/>
      <c r="G773" s="197"/>
      <c r="H773" s="197"/>
      <c r="I773" s="197"/>
      <c r="J773" s="197"/>
      <c r="K773" s="197"/>
      <c r="L773" s="197"/>
      <c r="M773" s="197"/>
      <c r="N773" s="197"/>
      <c r="O773" s="197"/>
      <c r="P773" s="197"/>
      <c r="Q773" s="197"/>
      <c r="R773" s="197"/>
      <c r="S773" s="197"/>
      <c r="T773" s="197"/>
      <c r="U773" s="197"/>
      <c r="V773" s="197"/>
      <c r="W773" s="197"/>
      <c r="X773" s="197"/>
      <c r="Y773" s="197"/>
      <c r="Z773" s="197"/>
    </row>
    <row r="774" ht="12.0" customHeight="1">
      <c r="A774" s="197"/>
      <c r="B774" s="198"/>
      <c r="C774" s="197"/>
      <c r="D774" s="197"/>
      <c r="E774" s="197"/>
      <c r="F774" s="197"/>
      <c r="G774" s="197"/>
      <c r="H774" s="197"/>
      <c r="I774" s="197"/>
      <c r="J774" s="197"/>
      <c r="K774" s="197"/>
      <c r="L774" s="197"/>
      <c r="M774" s="197"/>
      <c r="N774" s="197"/>
      <c r="O774" s="197"/>
      <c r="P774" s="197"/>
      <c r="Q774" s="197"/>
      <c r="R774" s="197"/>
      <c r="S774" s="197"/>
      <c r="T774" s="197"/>
      <c r="U774" s="197"/>
      <c r="V774" s="197"/>
      <c r="W774" s="197"/>
      <c r="X774" s="197"/>
      <c r="Y774" s="197"/>
      <c r="Z774" s="197"/>
    </row>
    <row r="775" ht="12.0" customHeight="1">
      <c r="A775" s="197"/>
      <c r="B775" s="198"/>
      <c r="C775" s="197"/>
      <c r="D775" s="197"/>
      <c r="E775" s="197"/>
      <c r="F775" s="197"/>
      <c r="G775" s="197"/>
      <c r="H775" s="197"/>
      <c r="I775" s="197"/>
      <c r="J775" s="197"/>
      <c r="K775" s="197"/>
      <c r="L775" s="197"/>
      <c r="M775" s="197"/>
      <c r="N775" s="197"/>
      <c r="O775" s="197"/>
      <c r="P775" s="197"/>
      <c r="Q775" s="197"/>
      <c r="R775" s="197"/>
      <c r="S775" s="197"/>
      <c r="T775" s="197"/>
      <c r="U775" s="197"/>
      <c r="V775" s="197"/>
      <c r="W775" s="197"/>
      <c r="X775" s="197"/>
      <c r="Y775" s="197"/>
      <c r="Z775" s="197"/>
    </row>
    <row r="776" ht="12.0" customHeight="1">
      <c r="A776" s="197"/>
      <c r="B776" s="198"/>
      <c r="C776" s="197"/>
      <c r="D776" s="197"/>
      <c r="E776" s="197"/>
      <c r="F776" s="197"/>
      <c r="G776" s="197"/>
      <c r="H776" s="197"/>
      <c r="I776" s="197"/>
      <c r="J776" s="197"/>
      <c r="K776" s="197"/>
      <c r="L776" s="197"/>
      <c r="M776" s="197"/>
      <c r="N776" s="197"/>
      <c r="O776" s="197"/>
      <c r="P776" s="197"/>
      <c r="Q776" s="197"/>
      <c r="R776" s="197"/>
      <c r="S776" s="197"/>
      <c r="T776" s="197"/>
      <c r="U776" s="197"/>
      <c r="V776" s="197"/>
      <c r="W776" s="197"/>
      <c r="X776" s="197"/>
      <c r="Y776" s="197"/>
      <c r="Z776" s="197"/>
    </row>
    <row r="777" ht="12.0" customHeight="1">
      <c r="A777" s="197"/>
      <c r="B777" s="198"/>
      <c r="C777" s="197"/>
      <c r="D777" s="197"/>
      <c r="E777" s="197"/>
      <c r="F777" s="197"/>
      <c r="G777" s="197"/>
      <c r="H777" s="197"/>
      <c r="I777" s="197"/>
      <c r="J777" s="197"/>
      <c r="K777" s="197"/>
      <c r="L777" s="197"/>
      <c r="M777" s="197"/>
      <c r="N777" s="197"/>
      <c r="O777" s="197"/>
      <c r="P777" s="197"/>
      <c r="Q777" s="197"/>
      <c r="R777" s="197"/>
      <c r="S777" s="197"/>
      <c r="T777" s="197"/>
      <c r="U777" s="197"/>
      <c r="V777" s="197"/>
      <c r="W777" s="197"/>
      <c r="X777" s="197"/>
      <c r="Y777" s="197"/>
      <c r="Z777" s="197"/>
    </row>
    <row r="778" ht="12.0" customHeight="1">
      <c r="A778" s="197"/>
      <c r="B778" s="198"/>
      <c r="C778" s="197"/>
      <c r="D778" s="197"/>
      <c r="E778" s="197"/>
      <c r="F778" s="197"/>
      <c r="G778" s="197"/>
      <c r="H778" s="197"/>
      <c r="I778" s="197"/>
      <c r="J778" s="197"/>
      <c r="K778" s="197"/>
      <c r="L778" s="197"/>
      <c r="M778" s="197"/>
      <c r="N778" s="197"/>
      <c r="O778" s="197"/>
      <c r="P778" s="197"/>
      <c r="Q778" s="197"/>
      <c r="R778" s="197"/>
      <c r="S778" s="197"/>
      <c r="T778" s="197"/>
      <c r="U778" s="197"/>
      <c r="V778" s="197"/>
      <c r="W778" s="197"/>
      <c r="X778" s="197"/>
      <c r="Y778" s="197"/>
      <c r="Z778" s="197"/>
    </row>
    <row r="779" ht="12.0" customHeight="1">
      <c r="A779" s="197"/>
      <c r="B779" s="198"/>
      <c r="C779" s="197"/>
      <c r="D779" s="197"/>
      <c r="E779" s="197"/>
      <c r="F779" s="197"/>
      <c r="G779" s="197"/>
      <c r="H779" s="197"/>
      <c r="I779" s="197"/>
      <c r="J779" s="197"/>
      <c r="K779" s="197"/>
      <c r="L779" s="197"/>
      <c r="M779" s="197"/>
      <c r="N779" s="197"/>
      <c r="O779" s="197"/>
      <c r="P779" s="197"/>
      <c r="Q779" s="197"/>
      <c r="R779" s="197"/>
      <c r="S779" s="197"/>
      <c r="T779" s="197"/>
      <c r="U779" s="197"/>
      <c r="V779" s="197"/>
      <c r="W779" s="197"/>
      <c r="X779" s="197"/>
      <c r="Y779" s="197"/>
      <c r="Z779" s="197"/>
    </row>
    <row r="780" ht="12.0" customHeight="1">
      <c r="A780" s="197"/>
      <c r="B780" s="198"/>
      <c r="C780" s="197"/>
      <c r="D780" s="197"/>
      <c r="E780" s="197"/>
      <c r="F780" s="197"/>
      <c r="G780" s="197"/>
      <c r="H780" s="197"/>
      <c r="I780" s="197"/>
      <c r="J780" s="197"/>
      <c r="K780" s="197"/>
      <c r="L780" s="197"/>
      <c r="M780" s="197"/>
      <c r="N780" s="197"/>
      <c r="O780" s="197"/>
      <c r="P780" s="197"/>
      <c r="Q780" s="197"/>
      <c r="R780" s="197"/>
      <c r="S780" s="197"/>
      <c r="T780" s="197"/>
      <c r="U780" s="197"/>
      <c r="V780" s="197"/>
      <c r="W780" s="197"/>
      <c r="X780" s="197"/>
      <c r="Y780" s="197"/>
      <c r="Z780" s="197"/>
    </row>
    <row r="781" ht="12.0" customHeight="1">
      <c r="A781" s="197"/>
      <c r="B781" s="198"/>
      <c r="C781" s="197"/>
      <c r="D781" s="197"/>
      <c r="E781" s="197"/>
      <c r="F781" s="197"/>
      <c r="G781" s="197"/>
      <c r="H781" s="197"/>
      <c r="I781" s="197"/>
      <c r="J781" s="197"/>
      <c r="K781" s="197"/>
      <c r="L781" s="197"/>
      <c r="M781" s="197"/>
      <c r="N781" s="197"/>
      <c r="O781" s="197"/>
      <c r="P781" s="197"/>
      <c r="Q781" s="197"/>
      <c r="R781" s="197"/>
      <c r="S781" s="197"/>
      <c r="T781" s="197"/>
      <c r="U781" s="197"/>
      <c r="V781" s="197"/>
      <c r="W781" s="197"/>
      <c r="X781" s="197"/>
      <c r="Y781" s="197"/>
      <c r="Z781" s="197"/>
    </row>
    <row r="782" ht="12.0" customHeight="1">
      <c r="A782" s="197"/>
      <c r="B782" s="198"/>
      <c r="C782" s="197"/>
      <c r="D782" s="197"/>
      <c r="E782" s="197"/>
      <c r="F782" s="197"/>
      <c r="G782" s="197"/>
      <c r="H782" s="197"/>
      <c r="I782" s="197"/>
      <c r="J782" s="197"/>
      <c r="K782" s="197"/>
      <c r="L782" s="197"/>
      <c r="M782" s="197"/>
      <c r="N782" s="197"/>
      <c r="O782" s="197"/>
      <c r="P782" s="197"/>
      <c r="Q782" s="197"/>
      <c r="R782" s="197"/>
      <c r="S782" s="197"/>
      <c r="T782" s="197"/>
      <c r="U782" s="197"/>
      <c r="V782" s="197"/>
      <c r="W782" s="197"/>
      <c r="X782" s="197"/>
      <c r="Y782" s="197"/>
      <c r="Z782" s="197"/>
    </row>
    <row r="783" ht="12.0" customHeight="1">
      <c r="A783" s="197"/>
      <c r="B783" s="198"/>
      <c r="C783" s="197"/>
      <c r="D783" s="197"/>
      <c r="E783" s="197"/>
      <c r="F783" s="197"/>
      <c r="G783" s="197"/>
      <c r="H783" s="197"/>
      <c r="I783" s="197"/>
      <c r="J783" s="197"/>
      <c r="K783" s="197"/>
      <c r="L783" s="197"/>
      <c r="M783" s="197"/>
      <c r="N783" s="197"/>
      <c r="O783" s="197"/>
      <c r="P783" s="197"/>
      <c r="Q783" s="197"/>
      <c r="R783" s="197"/>
      <c r="S783" s="197"/>
      <c r="T783" s="197"/>
      <c r="U783" s="197"/>
      <c r="V783" s="197"/>
      <c r="W783" s="197"/>
      <c r="X783" s="197"/>
      <c r="Y783" s="197"/>
      <c r="Z783" s="197"/>
    </row>
    <row r="784" ht="12.0" customHeight="1">
      <c r="A784" s="197"/>
      <c r="B784" s="198"/>
      <c r="C784" s="197"/>
      <c r="D784" s="197"/>
      <c r="E784" s="197"/>
      <c r="F784" s="197"/>
      <c r="G784" s="197"/>
      <c r="H784" s="197"/>
      <c r="I784" s="197"/>
      <c r="J784" s="197"/>
      <c r="K784" s="197"/>
      <c r="L784" s="197"/>
      <c r="M784" s="197"/>
      <c r="N784" s="197"/>
      <c r="O784" s="197"/>
      <c r="P784" s="197"/>
      <c r="Q784" s="197"/>
      <c r="R784" s="197"/>
      <c r="S784" s="197"/>
      <c r="T784" s="197"/>
      <c r="U784" s="197"/>
      <c r="V784" s="197"/>
      <c r="W784" s="197"/>
      <c r="X784" s="197"/>
      <c r="Y784" s="197"/>
      <c r="Z784" s="197"/>
    </row>
    <row r="785" ht="12.0" customHeight="1">
      <c r="A785" s="197"/>
      <c r="B785" s="198"/>
      <c r="C785" s="197"/>
      <c r="D785" s="197"/>
      <c r="E785" s="197"/>
      <c r="F785" s="197"/>
      <c r="G785" s="197"/>
      <c r="H785" s="197"/>
      <c r="I785" s="197"/>
      <c r="J785" s="197"/>
      <c r="K785" s="197"/>
      <c r="L785" s="197"/>
      <c r="M785" s="197"/>
      <c r="N785" s="197"/>
      <c r="O785" s="197"/>
      <c r="P785" s="197"/>
      <c r="Q785" s="197"/>
      <c r="R785" s="197"/>
      <c r="S785" s="197"/>
      <c r="T785" s="197"/>
      <c r="U785" s="197"/>
      <c r="V785" s="197"/>
      <c r="W785" s="197"/>
      <c r="X785" s="197"/>
      <c r="Y785" s="197"/>
      <c r="Z785" s="197"/>
    </row>
    <row r="786" ht="12.0" customHeight="1">
      <c r="A786" s="197"/>
      <c r="B786" s="198"/>
      <c r="C786" s="197"/>
      <c r="D786" s="197"/>
      <c r="E786" s="197"/>
      <c r="F786" s="197"/>
      <c r="G786" s="197"/>
      <c r="H786" s="197"/>
      <c r="I786" s="197"/>
      <c r="J786" s="197"/>
      <c r="K786" s="197"/>
      <c r="L786" s="197"/>
      <c r="M786" s="197"/>
      <c r="N786" s="197"/>
      <c r="O786" s="197"/>
      <c r="P786" s="197"/>
      <c r="Q786" s="197"/>
      <c r="R786" s="197"/>
      <c r="S786" s="197"/>
      <c r="T786" s="197"/>
      <c r="U786" s="197"/>
      <c r="V786" s="197"/>
      <c r="W786" s="197"/>
      <c r="X786" s="197"/>
      <c r="Y786" s="197"/>
      <c r="Z786" s="197"/>
    </row>
    <row r="787" ht="12.0" customHeight="1">
      <c r="A787" s="197"/>
      <c r="B787" s="198"/>
      <c r="C787" s="197"/>
      <c r="D787" s="197"/>
      <c r="E787" s="197"/>
      <c r="F787" s="197"/>
      <c r="G787" s="197"/>
      <c r="H787" s="197"/>
      <c r="I787" s="197"/>
      <c r="J787" s="197"/>
      <c r="K787" s="197"/>
      <c r="L787" s="197"/>
      <c r="M787" s="197"/>
      <c r="N787" s="197"/>
      <c r="O787" s="197"/>
      <c r="P787" s="197"/>
      <c r="Q787" s="197"/>
      <c r="R787" s="197"/>
      <c r="S787" s="197"/>
      <c r="T787" s="197"/>
      <c r="U787" s="197"/>
      <c r="V787" s="197"/>
      <c r="W787" s="197"/>
      <c r="X787" s="197"/>
      <c r="Y787" s="197"/>
      <c r="Z787" s="197"/>
    </row>
    <row r="788" ht="12.0" customHeight="1">
      <c r="A788" s="197"/>
      <c r="B788" s="198"/>
      <c r="C788" s="197"/>
      <c r="D788" s="197"/>
      <c r="E788" s="197"/>
      <c r="F788" s="197"/>
      <c r="G788" s="197"/>
      <c r="H788" s="197"/>
      <c r="I788" s="197"/>
      <c r="J788" s="197"/>
      <c r="K788" s="197"/>
      <c r="L788" s="197"/>
      <c r="M788" s="197"/>
      <c r="N788" s="197"/>
      <c r="O788" s="197"/>
      <c r="P788" s="197"/>
      <c r="Q788" s="197"/>
      <c r="R788" s="197"/>
      <c r="S788" s="197"/>
      <c r="T788" s="197"/>
      <c r="U788" s="197"/>
      <c r="V788" s="197"/>
      <c r="W788" s="197"/>
      <c r="X788" s="197"/>
      <c r="Y788" s="197"/>
      <c r="Z788" s="197"/>
    </row>
    <row r="789" ht="12.0" customHeight="1">
      <c r="A789" s="197"/>
      <c r="B789" s="198"/>
      <c r="C789" s="197"/>
      <c r="D789" s="197"/>
      <c r="E789" s="197"/>
      <c r="F789" s="197"/>
      <c r="G789" s="197"/>
      <c r="H789" s="197"/>
      <c r="I789" s="197"/>
      <c r="J789" s="197"/>
      <c r="K789" s="197"/>
      <c r="L789" s="197"/>
      <c r="M789" s="197"/>
      <c r="N789" s="197"/>
      <c r="O789" s="197"/>
      <c r="P789" s="197"/>
      <c r="Q789" s="197"/>
      <c r="R789" s="197"/>
      <c r="S789" s="197"/>
      <c r="T789" s="197"/>
      <c r="U789" s="197"/>
      <c r="V789" s="197"/>
      <c r="W789" s="197"/>
      <c r="X789" s="197"/>
      <c r="Y789" s="197"/>
      <c r="Z789" s="197"/>
    </row>
    <row r="790" ht="12.0" customHeight="1">
      <c r="A790" s="197"/>
      <c r="B790" s="198"/>
      <c r="C790" s="197"/>
      <c r="D790" s="197"/>
      <c r="E790" s="197"/>
      <c r="F790" s="197"/>
      <c r="G790" s="197"/>
      <c r="H790" s="197"/>
      <c r="I790" s="197"/>
      <c r="J790" s="197"/>
      <c r="K790" s="197"/>
      <c r="L790" s="197"/>
      <c r="M790" s="197"/>
      <c r="N790" s="197"/>
      <c r="O790" s="197"/>
      <c r="P790" s="197"/>
      <c r="Q790" s="197"/>
      <c r="R790" s="197"/>
      <c r="S790" s="197"/>
      <c r="T790" s="197"/>
      <c r="U790" s="197"/>
      <c r="V790" s="197"/>
      <c r="W790" s="197"/>
      <c r="X790" s="197"/>
      <c r="Y790" s="197"/>
      <c r="Z790" s="197"/>
    </row>
    <row r="791" ht="12.0" customHeight="1">
      <c r="A791" s="197"/>
      <c r="B791" s="198"/>
      <c r="C791" s="197"/>
      <c r="D791" s="197"/>
      <c r="E791" s="197"/>
      <c r="F791" s="197"/>
      <c r="G791" s="197"/>
      <c r="H791" s="197"/>
      <c r="I791" s="197"/>
      <c r="J791" s="197"/>
      <c r="K791" s="197"/>
      <c r="L791" s="197"/>
      <c r="M791" s="197"/>
      <c r="N791" s="197"/>
      <c r="O791" s="197"/>
      <c r="P791" s="197"/>
      <c r="Q791" s="197"/>
      <c r="R791" s="197"/>
      <c r="S791" s="197"/>
      <c r="T791" s="197"/>
      <c r="U791" s="197"/>
      <c r="V791" s="197"/>
      <c r="W791" s="197"/>
      <c r="X791" s="197"/>
      <c r="Y791" s="197"/>
      <c r="Z791" s="197"/>
    </row>
    <row r="792" ht="12.0" customHeight="1">
      <c r="A792" s="197"/>
      <c r="B792" s="198"/>
      <c r="C792" s="197"/>
      <c r="D792" s="197"/>
      <c r="E792" s="197"/>
      <c r="F792" s="197"/>
      <c r="G792" s="197"/>
      <c r="H792" s="197"/>
      <c r="I792" s="197"/>
      <c r="J792" s="197"/>
      <c r="K792" s="197"/>
      <c r="L792" s="197"/>
      <c r="M792" s="197"/>
      <c r="N792" s="197"/>
      <c r="O792" s="197"/>
      <c r="P792" s="197"/>
      <c r="Q792" s="197"/>
      <c r="R792" s="197"/>
      <c r="S792" s="197"/>
      <c r="T792" s="197"/>
      <c r="U792" s="197"/>
      <c r="V792" s="197"/>
      <c r="W792" s="197"/>
      <c r="X792" s="197"/>
      <c r="Y792" s="197"/>
      <c r="Z792" s="197"/>
    </row>
    <row r="793" ht="12.0" customHeight="1">
      <c r="A793" s="197"/>
      <c r="B793" s="198"/>
      <c r="C793" s="197"/>
      <c r="D793" s="197"/>
      <c r="E793" s="197"/>
      <c r="F793" s="197"/>
      <c r="G793" s="197"/>
      <c r="H793" s="197"/>
      <c r="I793" s="197"/>
      <c r="J793" s="197"/>
      <c r="K793" s="197"/>
      <c r="L793" s="197"/>
      <c r="M793" s="197"/>
      <c r="N793" s="197"/>
      <c r="O793" s="197"/>
      <c r="P793" s="197"/>
      <c r="Q793" s="197"/>
      <c r="R793" s="197"/>
      <c r="S793" s="197"/>
      <c r="T793" s="197"/>
      <c r="U793" s="197"/>
      <c r="V793" s="197"/>
      <c r="W793" s="197"/>
      <c r="X793" s="197"/>
      <c r="Y793" s="197"/>
      <c r="Z793" s="197"/>
    </row>
    <row r="794" ht="12.0" customHeight="1">
      <c r="A794" s="197"/>
      <c r="B794" s="198"/>
      <c r="C794" s="197"/>
      <c r="D794" s="197"/>
      <c r="E794" s="197"/>
      <c r="F794" s="197"/>
      <c r="G794" s="197"/>
      <c r="H794" s="197"/>
      <c r="I794" s="197"/>
      <c r="J794" s="197"/>
      <c r="K794" s="197"/>
      <c r="L794" s="197"/>
      <c r="M794" s="197"/>
      <c r="N794" s="197"/>
      <c r="O794" s="197"/>
      <c r="P794" s="197"/>
      <c r="Q794" s="197"/>
      <c r="R794" s="197"/>
      <c r="S794" s="197"/>
      <c r="T794" s="197"/>
      <c r="U794" s="197"/>
      <c r="V794" s="197"/>
      <c r="W794" s="197"/>
      <c r="X794" s="197"/>
      <c r="Y794" s="197"/>
      <c r="Z794" s="197"/>
    </row>
    <row r="795" ht="12.0" customHeight="1">
      <c r="A795" s="197"/>
      <c r="B795" s="198"/>
      <c r="C795" s="197"/>
      <c r="D795" s="197"/>
      <c r="E795" s="197"/>
      <c r="F795" s="197"/>
      <c r="G795" s="197"/>
      <c r="H795" s="197"/>
      <c r="I795" s="197"/>
      <c r="J795" s="197"/>
      <c r="K795" s="197"/>
      <c r="L795" s="197"/>
      <c r="M795" s="197"/>
      <c r="N795" s="197"/>
      <c r="O795" s="197"/>
      <c r="P795" s="197"/>
      <c r="Q795" s="197"/>
      <c r="R795" s="197"/>
      <c r="S795" s="197"/>
      <c r="T795" s="197"/>
      <c r="U795" s="197"/>
      <c r="V795" s="197"/>
      <c r="W795" s="197"/>
      <c r="X795" s="197"/>
      <c r="Y795" s="197"/>
      <c r="Z795" s="197"/>
    </row>
    <row r="796" ht="12.0" customHeight="1">
      <c r="A796" s="197"/>
      <c r="B796" s="198"/>
      <c r="C796" s="197"/>
      <c r="D796" s="197"/>
      <c r="E796" s="197"/>
      <c r="F796" s="197"/>
      <c r="G796" s="197"/>
      <c r="H796" s="197"/>
      <c r="I796" s="197"/>
      <c r="J796" s="197"/>
      <c r="K796" s="197"/>
      <c r="L796" s="197"/>
      <c r="M796" s="197"/>
      <c r="N796" s="197"/>
      <c r="O796" s="197"/>
      <c r="P796" s="197"/>
      <c r="Q796" s="197"/>
      <c r="R796" s="197"/>
      <c r="S796" s="197"/>
      <c r="T796" s="197"/>
      <c r="U796" s="197"/>
      <c r="V796" s="197"/>
      <c r="W796" s="197"/>
      <c r="X796" s="197"/>
      <c r="Y796" s="197"/>
      <c r="Z796" s="197"/>
    </row>
    <row r="797" ht="12.0" customHeight="1">
      <c r="A797" s="197"/>
      <c r="B797" s="198"/>
      <c r="C797" s="197"/>
      <c r="D797" s="197"/>
      <c r="E797" s="197"/>
      <c r="F797" s="197"/>
      <c r="G797" s="197"/>
      <c r="H797" s="197"/>
      <c r="I797" s="197"/>
      <c r="J797" s="197"/>
      <c r="K797" s="197"/>
      <c r="L797" s="197"/>
      <c r="M797" s="197"/>
      <c r="N797" s="197"/>
      <c r="O797" s="197"/>
      <c r="P797" s="197"/>
      <c r="Q797" s="197"/>
      <c r="R797" s="197"/>
      <c r="S797" s="197"/>
      <c r="T797" s="197"/>
      <c r="U797" s="197"/>
      <c r="V797" s="197"/>
      <c r="W797" s="197"/>
      <c r="X797" s="197"/>
      <c r="Y797" s="197"/>
      <c r="Z797" s="197"/>
    </row>
    <row r="798" ht="12.0" customHeight="1">
      <c r="A798" s="197"/>
      <c r="B798" s="198"/>
      <c r="C798" s="197"/>
      <c r="D798" s="197"/>
      <c r="E798" s="197"/>
      <c r="F798" s="197"/>
      <c r="G798" s="197"/>
      <c r="H798" s="197"/>
      <c r="I798" s="197"/>
      <c r="J798" s="197"/>
      <c r="K798" s="197"/>
      <c r="L798" s="197"/>
      <c r="M798" s="197"/>
      <c r="N798" s="197"/>
      <c r="O798" s="197"/>
      <c r="P798" s="197"/>
      <c r="Q798" s="197"/>
      <c r="R798" s="197"/>
      <c r="S798" s="197"/>
      <c r="T798" s="197"/>
      <c r="U798" s="197"/>
      <c r="V798" s="197"/>
      <c r="W798" s="197"/>
      <c r="X798" s="197"/>
      <c r="Y798" s="197"/>
      <c r="Z798" s="197"/>
    </row>
    <row r="799" ht="12.0" customHeight="1">
      <c r="A799" s="197"/>
      <c r="B799" s="198"/>
      <c r="C799" s="197"/>
      <c r="D799" s="197"/>
      <c r="E799" s="197"/>
      <c r="F799" s="197"/>
      <c r="G799" s="197"/>
      <c r="H799" s="197"/>
      <c r="I799" s="197"/>
      <c r="J799" s="197"/>
      <c r="K799" s="197"/>
      <c r="L799" s="197"/>
      <c r="M799" s="197"/>
      <c r="N799" s="197"/>
      <c r="O799" s="197"/>
      <c r="P799" s="197"/>
      <c r="Q799" s="197"/>
      <c r="R799" s="197"/>
      <c r="S799" s="197"/>
      <c r="T799" s="197"/>
      <c r="U799" s="197"/>
      <c r="V799" s="197"/>
      <c r="W799" s="197"/>
      <c r="X799" s="197"/>
      <c r="Y799" s="197"/>
      <c r="Z799" s="197"/>
    </row>
    <row r="800" ht="12.0" customHeight="1">
      <c r="A800" s="197"/>
      <c r="B800" s="198"/>
      <c r="C800" s="197"/>
      <c r="D800" s="197"/>
      <c r="E800" s="197"/>
      <c r="F800" s="197"/>
      <c r="G800" s="197"/>
      <c r="H800" s="197"/>
      <c r="I800" s="197"/>
      <c r="J800" s="197"/>
      <c r="K800" s="197"/>
      <c r="L800" s="197"/>
      <c r="M800" s="197"/>
      <c r="N800" s="197"/>
      <c r="O800" s="197"/>
      <c r="P800" s="197"/>
      <c r="Q800" s="197"/>
      <c r="R800" s="197"/>
      <c r="S800" s="197"/>
      <c r="T800" s="197"/>
      <c r="U800" s="197"/>
      <c r="V800" s="197"/>
      <c r="W800" s="197"/>
      <c r="X800" s="197"/>
      <c r="Y800" s="197"/>
      <c r="Z800" s="197"/>
    </row>
    <row r="801" ht="12.0" customHeight="1">
      <c r="A801" s="197"/>
      <c r="B801" s="198"/>
      <c r="C801" s="197"/>
      <c r="D801" s="197"/>
      <c r="E801" s="197"/>
      <c r="F801" s="197"/>
      <c r="G801" s="197"/>
      <c r="H801" s="197"/>
      <c r="I801" s="197"/>
      <c r="J801" s="197"/>
      <c r="K801" s="197"/>
      <c r="L801" s="197"/>
      <c r="M801" s="197"/>
      <c r="N801" s="197"/>
      <c r="O801" s="197"/>
      <c r="P801" s="197"/>
      <c r="Q801" s="197"/>
      <c r="R801" s="197"/>
      <c r="S801" s="197"/>
      <c r="T801" s="197"/>
      <c r="U801" s="197"/>
      <c r="V801" s="197"/>
      <c r="W801" s="197"/>
      <c r="X801" s="197"/>
      <c r="Y801" s="197"/>
      <c r="Z801" s="197"/>
    </row>
    <row r="802" ht="12.0" customHeight="1">
      <c r="A802" s="197"/>
      <c r="B802" s="198"/>
      <c r="C802" s="197"/>
      <c r="D802" s="197"/>
      <c r="E802" s="197"/>
      <c r="F802" s="197"/>
      <c r="G802" s="197"/>
      <c r="H802" s="197"/>
      <c r="I802" s="197"/>
      <c r="J802" s="197"/>
      <c r="K802" s="197"/>
      <c r="L802" s="197"/>
      <c r="M802" s="197"/>
      <c r="N802" s="197"/>
      <c r="O802" s="197"/>
      <c r="P802" s="197"/>
      <c r="Q802" s="197"/>
      <c r="R802" s="197"/>
      <c r="S802" s="197"/>
      <c r="T802" s="197"/>
      <c r="U802" s="197"/>
      <c r="V802" s="197"/>
      <c r="W802" s="197"/>
      <c r="X802" s="197"/>
      <c r="Y802" s="197"/>
      <c r="Z802" s="197"/>
    </row>
    <row r="803" ht="12.0" customHeight="1">
      <c r="A803" s="197"/>
      <c r="B803" s="198"/>
      <c r="C803" s="197"/>
      <c r="D803" s="197"/>
      <c r="E803" s="197"/>
      <c r="F803" s="197"/>
      <c r="G803" s="197"/>
      <c r="H803" s="197"/>
      <c r="I803" s="197"/>
      <c r="J803" s="197"/>
      <c r="K803" s="197"/>
      <c r="L803" s="197"/>
      <c r="M803" s="197"/>
      <c r="N803" s="197"/>
      <c r="O803" s="197"/>
      <c r="P803" s="197"/>
      <c r="Q803" s="197"/>
      <c r="R803" s="197"/>
      <c r="S803" s="197"/>
      <c r="T803" s="197"/>
      <c r="U803" s="197"/>
      <c r="V803" s="197"/>
      <c r="W803" s="197"/>
      <c r="X803" s="197"/>
      <c r="Y803" s="197"/>
      <c r="Z803" s="197"/>
    </row>
    <row r="804" ht="12.0" customHeight="1">
      <c r="A804" s="197"/>
      <c r="B804" s="198"/>
      <c r="C804" s="197"/>
      <c r="D804" s="197"/>
      <c r="E804" s="197"/>
      <c r="F804" s="197"/>
      <c r="G804" s="197"/>
      <c r="H804" s="197"/>
      <c r="I804" s="197"/>
      <c r="J804" s="197"/>
      <c r="K804" s="197"/>
      <c r="L804" s="197"/>
      <c r="M804" s="197"/>
      <c r="N804" s="197"/>
      <c r="O804" s="197"/>
      <c r="P804" s="197"/>
      <c r="Q804" s="197"/>
      <c r="R804" s="197"/>
      <c r="S804" s="197"/>
      <c r="T804" s="197"/>
      <c r="U804" s="197"/>
      <c r="V804" s="197"/>
      <c r="W804" s="197"/>
      <c r="X804" s="197"/>
      <c r="Y804" s="197"/>
      <c r="Z804" s="197"/>
    </row>
    <row r="805" ht="12.0" customHeight="1">
      <c r="A805" s="197"/>
      <c r="B805" s="198"/>
      <c r="C805" s="197"/>
      <c r="D805" s="197"/>
      <c r="E805" s="197"/>
      <c r="F805" s="197"/>
      <c r="G805" s="197"/>
      <c r="H805" s="197"/>
      <c r="I805" s="197"/>
      <c r="J805" s="197"/>
      <c r="K805" s="197"/>
      <c r="L805" s="197"/>
      <c r="M805" s="197"/>
      <c r="N805" s="197"/>
      <c r="O805" s="197"/>
      <c r="P805" s="197"/>
      <c r="Q805" s="197"/>
      <c r="R805" s="197"/>
      <c r="S805" s="197"/>
      <c r="T805" s="197"/>
      <c r="U805" s="197"/>
      <c r="V805" s="197"/>
      <c r="W805" s="197"/>
      <c r="X805" s="197"/>
      <c r="Y805" s="197"/>
      <c r="Z805" s="197"/>
    </row>
    <row r="806" ht="12.0" customHeight="1">
      <c r="A806" s="197"/>
      <c r="B806" s="198"/>
      <c r="C806" s="197"/>
      <c r="D806" s="197"/>
      <c r="E806" s="197"/>
      <c r="F806" s="197"/>
      <c r="G806" s="197"/>
      <c r="H806" s="197"/>
      <c r="I806" s="197"/>
      <c r="J806" s="197"/>
      <c r="K806" s="197"/>
      <c r="L806" s="197"/>
      <c r="M806" s="197"/>
      <c r="N806" s="197"/>
      <c r="O806" s="197"/>
      <c r="P806" s="197"/>
      <c r="Q806" s="197"/>
      <c r="R806" s="197"/>
      <c r="S806" s="197"/>
      <c r="T806" s="197"/>
      <c r="U806" s="197"/>
      <c r="V806" s="197"/>
      <c r="W806" s="197"/>
      <c r="X806" s="197"/>
      <c r="Y806" s="197"/>
      <c r="Z806" s="197"/>
    </row>
    <row r="807" ht="12.0" customHeight="1">
      <c r="A807" s="197"/>
      <c r="B807" s="198"/>
      <c r="C807" s="197"/>
      <c r="D807" s="197"/>
      <c r="E807" s="197"/>
      <c r="F807" s="197"/>
      <c r="G807" s="197"/>
      <c r="H807" s="197"/>
      <c r="I807" s="197"/>
      <c r="J807" s="197"/>
      <c r="K807" s="197"/>
      <c r="L807" s="197"/>
      <c r="M807" s="197"/>
      <c r="N807" s="197"/>
      <c r="O807" s="197"/>
      <c r="P807" s="197"/>
      <c r="Q807" s="197"/>
      <c r="R807" s="197"/>
      <c r="S807" s="197"/>
      <c r="T807" s="197"/>
      <c r="U807" s="197"/>
      <c r="V807" s="197"/>
      <c r="W807" s="197"/>
      <c r="X807" s="197"/>
      <c r="Y807" s="197"/>
      <c r="Z807" s="197"/>
    </row>
    <row r="808" ht="12.0" customHeight="1">
      <c r="A808" s="197"/>
      <c r="B808" s="198"/>
      <c r="C808" s="197"/>
      <c r="D808" s="197"/>
      <c r="E808" s="197"/>
      <c r="F808" s="197"/>
      <c r="G808" s="197"/>
      <c r="H808" s="197"/>
      <c r="I808" s="197"/>
      <c r="J808" s="197"/>
      <c r="K808" s="197"/>
      <c r="L808" s="197"/>
      <c r="M808" s="197"/>
      <c r="N808" s="197"/>
      <c r="O808" s="197"/>
      <c r="P808" s="197"/>
      <c r="Q808" s="197"/>
      <c r="R808" s="197"/>
      <c r="S808" s="197"/>
      <c r="T808" s="197"/>
      <c r="U808" s="197"/>
      <c r="V808" s="197"/>
      <c r="W808" s="197"/>
      <c r="X808" s="197"/>
      <c r="Y808" s="197"/>
      <c r="Z808" s="197"/>
    </row>
    <row r="809" ht="12.0" customHeight="1">
      <c r="A809" s="197"/>
      <c r="B809" s="198"/>
      <c r="C809" s="197"/>
      <c r="D809" s="197"/>
      <c r="E809" s="197"/>
      <c r="F809" s="197"/>
      <c r="G809" s="197"/>
      <c r="H809" s="197"/>
      <c r="I809" s="197"/>
      <c r="J809" s="197"/>
      <c r="K809" s="197"/>
      <c r="L809" s="197"/>
      <c r="M809" s="197"/>
      <c r="N809" s="197"/>
      <c r="O809" s="197"/>
      <c r="P809" s="197"/>
      <c r="Q809" s="197"/>
      <c r="R809" s="197"/>
      <c r="S809" s="197"/>
      <c r="T809" s="197"/>
      <c r="U809" s="197"/>
      <c r="V809" s="197"/>
      <c r="W809" s="197"/>
      <c r="X809" s="197"/>
      <c r="Y809" s="197"/>
      <c r="Z809" s="197"/>
    </row>
    <row r="810" ht="12.0" customHeight="1">
      <c r="A810" s="197"/>
      <c r="B810" s="198"/>
      <c r="C810" s="197"/>
      <c r="D810" s="197"/>
      <c r="E810" s="197"/>
      <c r="F810" s="197"/>
      <c r="G810" s="197"/>
      <c r="H810" s="197"/>
      <c r="I810" s="197"/>
      <c r="J810" s="197"/>
      <c r="K810" s="197"/>
      <c r="L810" s="197"/>
      <c r="M810" s="197"/>
      <c r="N810" s="197"/>
      <c r="O810" s="197"/>
      <c r="P810" s="197"/>
      <c r="Q810" s="197"/>
      <c r="R810" s="197"/>
      <c r="S810" s="197"/>
      <c r="T810" s="197"/>
      <c r="U810" s="197"/>
      <c r="V810" s="197"/>
      <c r="W810" s="197"/>
      <c r="X810" s="197"/>
      <c r="Y810" s="197"/>
      <c r="Z810" s="197"/>
    </row>
    <row r="811" ht="12.0" customHeight="1">
      <c r="A811" s="197"/>
      <c r="B811" s="198"/>
      <c r="C811" s="197"/>
      <c r="D811" s="197"/>
      <c r="E811" s="197"/>
      <c r="F811" s="197"/>
      <c r="G811" s="197"/>
      <c r="H811" s="197"/>
      <c r="I811" s="197"/>
      <c r="J811" s="197"/>
      <c r="K811" s="197"/>
      <c r="L811" s="197"/>
      <c r="M811" s="197"/>
      <c r="N811" s="197"/>
      <c r="O811" s="197"/>
      <c r="P811" s="197"/>
      <c r="Q811" s="197"/>
      <c r="R811" s="197"/>
      <c r="S811" s="197"/>
      <c r="T811" s="197"/>
      <c r="U811" s="197"/>
      <c r="V811" s="197"/>
      <c r="W811" s="197"/>
      <c r="X811" s="197"/>
      <c r="Y811" s="197"/>
      <c r="Z811" s="197"/>
    </row>
    <row r="812" ht="12.0" customHeight="1">
      <c r="A812" s="197"/>
      <c r="B812" s="198"/>
      <c r="C812" s="197"/>
      <c r="D812" s="197"/>
      <c r="E812" s="197"/>
      <c r="F812" s="197"/>
      <c r="G812" s="197"/>
      <c r="H812" s="197"/>
      <c r="I812" s="197"/>
      <c r="J812" s="197"/>
      <c r="K812" s="197"/>
      <c r="L812" s="197"/>
      <c r="M812" s="197"/>
      <c r="N812" s="197"/>
      <c r="O812" s="197"/>
      <c r="P812" s="197"/>
      <c r="Q812" s="197"/>
      <c r="R812" s="197"/>
      <c r="S812" s="197"/>
      <c r="T812" s="197"/>
      <c r="U812" s="197"/>
      <c r="V812" s="197"/>
      <c r="W812" s="197"/>
      <c r="X812" s="197"/>
      <c r="Y812" s="197"/>
      <c r="Z812" s="197"/>
    </row>
    <row r="813" ht="12.0" customHeight="1">
      <c r="A813" s="197"/>
      <c r="B813" s="198"/>
      <c r="C813" s="197"/>
      <c r="D813" s="197"/>
      <c r="E813" s="197"/>
      <c r="F813" s="197"/>
      <c r="G813" s="197"/>
      <c r="H813" s="197"/>
      <c r="I813" s="197"/>
      <c r="J813" s="197"/>
      <c r="K813" s="197"/>
      <c r="L813" s="197"/>
      <c r="M813" s="197"/>
      <c r="N813" s="197"/>
      <c r="O813" s="197"/>
      <c r="P813" s="197"/>
      <c r="Q813" s="197"/>
      <c r="R813" s="197"/>
      <c r="S813" s="197"/>
      <c r="T813" s="197"/>
      <c r="U813" s="197"/>
      <c r="V813" s="197"/>
      <c r="W813" s="197"/>
      <c r="X813" s="197"/>
      <c r="Y813" s="197"/>
      <c r="Z813" s="197"/>
    </row>
    <row r="814" ht="12.0" customHeight="1">
      <c r="A814" s="197"/>
      <c r="B814" s="198"/>
      <c r="C814" s="197"/>
      <c r="D814" s="197"/>
      <c r="E814" s="197"/>
      <c r="F814" s="197"/>
      <c r="G814" s="197"/>
      <c r="H814" s="197"/>
      <c r="I814" s="197"/>
      <c r="J814" s="197"/>
      <c r="K814" s="197"/>
      <c r="L814" s="197"/>
      <c r="M814" s="197"/>
      <c r="N814" s="197"/>
      <c r="O814" s="197"/>
      <c r="P814" s="197"/>
      <c r="Q814" s="197"/>
      <c r="R814" s="197"/>
      <c r="S814" s="197"/>
      <c r="T814" s="197"/>
      <c r="U814" s="197"/>
      <c r="V814" s="197"/>
      <c r="W814" s="197"/>
      <c r="X814" s="197"/>
      <c r="Y814" s="197"/>
      <c r="Z814" s="197"/>
    </row>
    <row r="815" ht="12.0" customHeight="1">
      <c r="A815" s="197"/>
      <c r="B815" s="198"/>
      <c r="C815" s="197"/>
      <c r="D815" s="197"/>
      <c r="E815" s="197"/>
      <c r="F815" s="197"/>
      <c r="G815" s="197"/>
      <c r="H815" s="197"/>
      <c r="I815" s="197"/>
      <c r="J815" s="197"/>
      <c r="K815" s="197"/>
      <c r="L815" s="197"/>
      <c r="M815" s="197"/>
      <c r="N815" s="197"/>
      <c r="O815" s="197"/>
      <c r="P815" s="197"/>
      <c r="Q815" s="197"/>
      <c r="R815" s="197"/>
      <c r="S815" s="197"/>
      <c r="T815" s="197"/>
      <c r="U815" s="197"/>
      <c r="V815" s="197"/>
      <c r="W815" s="197"/>
      <c r="X815" s="197"/>
      <c r="Y815" s="197"/>
      <c r="Z815" s="197"/>
    </row>
    <row r="816" ht="12.0" customHeight="1">
      <c r="A816" s="197"/>
      <c r="B816" s="198"/>
      <c r="C816" s="197"/>
      <c r="D816" s="197"/>
      <c r="E816" s="197"/>
      <c r="F816" s="197"/>
      <c r="G816" s="197"/>
      <c r="H816" s="197"/>
      <c r="I816" s="197"/>
      <c r="J816" s="197"/>
      <c r="K816" s="197"/>
      <c r="L816" s="197"/>
      <c r="M816" s="197"/>
      <c r="N816" s="197"/>
      <c r="O816" s="197"/>
      <c r="P816" s="197"/>
      <c r="Q816" s="197"/>
      <c r="R816" s="197"/>
      <c r="S816" s="197"/>
      <c r="T816" s="197"/>
      <c r="U816" s="197"/>
      <c r="V816" s="197"/>
      <c r="W816" s="197"/>
      <c r="X816" s="197"/>
      <c r="Y816" s="197"/>
      <c r="Z816" s="197"/>
    </row>
    <row r="817" ht="12.0" customHeight="1">
      <c r="A817" s="197"/>
      <c r="B817" s="198"/>
      <c r="C817" s="197"/>
      <c r="D817" s="197"/>
      <c r="E817" s="197"/>
      <c r="F817" s="197"/>
      <c r="G817" s="197"/>
      <c r="H817" s="197"/>
      <c r="I817" s="197"/>
      <c r="J817" s="197"/>
      <c r="K817" s="197"/>
      <c r="L817" s="197"/>
      <c r="M817" s="197"/>
      <c r="N817" s="197"/>
      <c r="O817" s="197"/>
      <c r="P817" s="197"/>
      <c r="Q817" s="197"/>
      <c r="R817" s="197"/>
      <c r="S817" s="197"/>
      <c r="T817" s="197"/>
      <c r="U817" s="197"/>
      <c r="V817" s="197"/>
      <c r="W817" s="197"/>
      <c r="X817" s="197"/>
      <c r="Y817" s="197"/>
      <c r="Z817" s="197"/>
    </row>
    <row r="818" ht="12.0" customHeight="1">
      <c r="A818" s="197"/>
      <c r="B818" s="198"/>
      <c r="C818" s="197"/>
      <c r="D818" s="197"/>
      <c r="E818" s="197"/>
      <c r="F818" s="197"/>
      <c r="G818" s="197"/>
      <c r="H818" s="197"/>
      <c r="I818" s="197"/>
      <c r="J818" s="197"/>
      <c r="K818" s="197"/>
      <c r="L818" s="197"/>
      <c r="M818" s="197"/>
      <c r="N818" s="197"/>
      <c r="O818" s="197"/>
      <c r="P818" s="197"/>
      <c r="Q818" s="197"/>
      <c r="R818" s="197"/>
      <c r="S818" s="197"/>
      <c r="T818" s="197"/>
      <c r="U818" s="197"/>
      <c r="V818" s="197"/>
      <c r="W818" s="197"/>
      <c r="X818" s="197"/>
      <c r="Y818" s="197"/>
      <c r="Z818" s="197"/>
    </row>
    <row r="819" ht="12.0" customHeight="1">
      <c r="A819" s="197"/>
      <c r="B819" s="198"/>
      <c r="C819" s="197"/>
      <c r="D819" s="197"/>
      <c r="E819" s="197"/>
      <c r="F819" s="197"/>
      <c r="G819" s="197"/>
      <c r="H819" s="197"/>
      <c r="I819" s="197"/>
      <c r="J819" s="197"/>
      <c r="K819" s="197"/>
      <c r="L819" s="197"/>
      <c r="M819" s="197"/>
      <c r="N819" s="197"/>
      <c r="O819" s="197"/>
      <c r="P819" s="197"/>
      <c r="Q819" s="197"/>
      <c r="R819" s="197"/>
      <c r="S819" s="197"/>
      <c r="T819" s="197"/>
      <c r="U819" s="197"/>
      <c r="V819" s="197"/>
      <c r="W819" s="197"/>
      <c r="X819" s="197"/>
      <c r="Y819" s="197"/>
      <c r="Z819" s="197"/>
    </row>
    <row r="820" ht="12.0" customHeight="1">
      <c r="A820" s="197"/>
      <c r="B820" s="198"/>
      <c r="C820" s="197"/>
      <c r="D820" s="197"/>
      <c r="E820" s="197"/>
      <c r="F820" s="197"/>
      <c r="G820" s="197"/>
      <c r="H820" s="197"/>
      <c r="I820" s="197"/>
      <c r="J820" s="197"/>
      <c r="K820" s="197"/>
      <c r="L820" s="197"/>
      <c r="M820" s="197"/>
      <c r="N820" s="197"/>
      <c r="O820" s="197"/>
      <c r="P820" s="197"/>
      <c r="Q820" s="197"/>
      <c r="R820" s="197"/>
      <c r="S820" s="197"/>
      <c r="T820" s="197"/>
      <c r="U820" s="197"/>
      <c r="V820" s="197"/>
      <c r="W820" s="197"/>
      <c r="X820" s="197"/>
      <c r="Y820" s="197"/>
      <c r="Z820" s="197"/>
    </row>
    <row r="821" ht="12.0" customHeight="1">
      <c r="A821" s="197"/>
      <c r="B821" s="198"/>
      <c r="C821" s="197"/>
      <c r="D821" s="197"/>
      <c r="E821" s="197"/>
      <c r="F821" s="197"/>
      <c r="G821" s="197"/>
      <c r="H821" s="197"/>
      <c r="I821" s="197"/>
      <c r="J821" s="197"/>
      <c r="K821" s="197"/>
      <c r="L821" s="197"/>
      <c r="M821" s="197"/>
      <c r="N821" s="197"/>
      <c r="O821" s="197"/>
      <c r="P821" s="197"/>
      <c r="Q821" s="197"/>
      <c r="R821" s="197"/>
      <c r="S821" s="197"/>
      <c r="T821" s="197"/>
      <c r="U821" s="197"/>
      <c r="V821" s="197"/>
      <c r="W821" s="197"/>
      <c r="X821" s="197"/>
      <c r="Y821" s="197"/>
      <c r="Z821" s="197"/>
    </row>
    <row r="822" ht="12.0" customHeight="1">
      <c r="A822" s="197"/>
      <c r="B822" s="198"/>
      <c r="C822" s="197"/>
      <c r="D822" s="197"/>
      <c r="E822" s="197"/>
      <c r="F822" s="197"/>
      <c r="G822" s="197"/>
      <c r="H822" s="197"/>
      <c r="I822" s="197"/>
      <c r="J822" s="197"/>
      <c r="K822" s="197"/>
      <c r="L822" s="197"/>
      <c r="M822" s="197"/>
      <c r="N822" s="197"/>
      <c r="O822" s="197"/>
      <c r="P822" s="197"/>
      <c r="Q822" s="197"/>
      <c r="R822" s="197"/>
      <c r="S822" s="197"/>
      <c r="T822" s="197"/>
      <c r="U822" s="197"/>
      <c r="V822" s="197"/>
      <c r="W822" s="197"/>
      <c r="X822" s="197"/>
      <c r="Y822" s="197"/>
      <c r="Z822" s="197"/>
    </row>
    <row r="823" ht="12.0" customHeight="1">
      <c r="A823" s="197"/>
      <c r="B823" s="198"/>
      <c r="C823" s="197"/>
      <c r="D823" s="197"/>
      <c r="E823" s="197"/>
      <c r="F823" s="197"/>
      <c r="G823" s="197"/>
      <c r="H823" s="197"/>
      <c r="I823" s="197"/>
      <c r="J823" s="197"/>
      <c r="K823" s="197"/>
      <c r="L823" s="197"/>
      <c r="M823" s="197"/>
      <c r="N823" s="197"/>
      <c r="O823" s="197"/>
      <c r="P823" s="197"/>
      <c r="Q823" s="197"/>
      <c r="R823" s="197"/>
      <c r="S823" s="197"/>
      <c r="T823" s="197"/>
      <c r="U823" s="197"/>
      <c r="V823" s="197"/>
      <c r="W823" s="197"/>
      <c r="X823" s="197"/>
      <c r="Y823" s="197"/>
      <c r="Z823" s="197"/>
    </row>
    <row r="824" ht="12.0" customHeight="1">
      <c r="A824" s="197"/>
      <c r="B824" s="198"/>
      <c r="C824" s="197"/>
      <c r="D824" s="197"/>
      <c r="E824" s="197"/>
      <c r="F824" s="197"/>
      <c r="G824" s="197"/>
      <c r="H824" s="197"/>
      <c r="I824" s="197"/>
      <c r="J824" s="197"/>
      <c r="K824" s="197"/>
      <c r="L824" s="197"/>
      <c r="M824" s="197"/>
      <c r="N824" s="197"/>
      <c r="O824" s="197"/>
      <c r="P824" s="197"/>
      <c r="Q824" s="197"/>
      <c r="R824" s="197"/>
      <c r="S824" s="197"/>
      <c r="T824" s="197"/>
      <c r="U824" s="197"/>
      <c r="V824" s="197"/>
      <c r="W824" s="197"/>
      <c r="X824" s="197"/>
      <c r="Y824" s="197"/>
      <c r="Z824" s="197"/>
    </row>
    <row r="825" ht="12.0" customHeight="1">
      <c r="A825" s="197"/>
      <c r="B825" s="198"/>
      <c r="C825" s="197"/>
      <c r="D825" s="197"/>
      <c r="E825" s="197"/>
      <c r="F825" s="197"/>
      <c r="G825" s="197"/>
      <c r="H825" s="197"/>
      <c r="I825" s="197"/>
      <c r="J825" s="197"/>
      <c r="K825" s="197"/>
      <c r="L825" s="197"/>
      <c r="M825" s="197"/>
      <c r="N825" s="197"/>
      <c r="O825" s="197"/>
      <c r="P825" s="197"/>
      <c r="Q825" s="197"/>
      <c r="R825" s="197"/>
      <c r="S825" s="197"/>
      <c r="T825" s="197"/>
      <c r="U825" s="197"/>
      <c r="V825" s="197"/>
      <c r="W825" s="197"/>
      <c r="X825" s="197"/>
      <c r="Y825" s="197"/>
      <c r="Z825" s="197"/>
    </row>
    <row r="826" ht="12.0" customHeight="1">
      <c r="A826" s="197"/>
      <c r="B826" s="198"/>
      <c r="C826" s="197"/>
      <c r="D826" s="197"/>
      <c r="E826" s="197"/>
      <c r="F826" s="197"/>
      <c r="G826" s="197"/>
      <c r="H826" s="197"/>
      <c r="I826" s="197"/>
      <c r="J826" s="197"/>
      <c r="K826" s="197"/>
      <c r="L826" s="197"/>
      <c r="M826" s="197"/>
      <c r="N826" s="197"/>
      <c r="O826" s="197"/>
      <c r="P826" s="197"/>
      <c r="Q826" s="197"/>
      <c r="R826" s="197"/>
      <c r="S826" s="197"/>
      <c r="T826" s="197"/>
      <c r="U826" s="197"/>
      <c r="V826" s="197"/>
      <c r="W826" s="197"/>
      <c r="X826" s="197"/>
      <c r="Y826" s="197"/>
      <c r="Z826" s="197"/>
    </row>
    <row r="827" ht="12.0" customHeight="1">
      <c r="A827" s="197"/>
      <c r="B827" s="198"/>
      <c r="C827" s="197"/>
      <c r="D827" s="197"/>
      <c r="E827" s="197"/>
      <c r="F827" s="197"/>
      <c r="G827" s="197"/>
      <c r="H827" s="197"/>
      <c r="I827" s="197"/>
      <c r="J827" s="197"/>
      <c r="K827" s="197"/>
      <c r="L827" s="197"/>
      <c r="M827" s="197"/>
      <c r="N827" s="197"/>
      <c r="O827" s="197"/>
      <c r="P827" s="197"/>
      <c r="Q827" s="197"/>
      <c r="R827" s="197"/>
      <c r="S827" s="197"/>
      <c r="T827" s="197"/>
      <c r="U827" s="197"/>
      <c r="V827" s="197"/>
      <c r="W827" s="197"/>
      <c r="X827" s="197"/>
      <c r="Y827" s="197"/>
      <c r="Z827" s="197"/>
    </row>
    <row r="828" ht="12.0" customHeight="1">
      <c r="A828" s="197"/>
      <c r="B828" s="198"/>
      <c r="C828" s="197"/>
      <c r="D828" s="197"/>
      <c r="E828" s="197"/>
      <c r="F828" s="197"/>
      <c r="G828" s="197"/>
      <c r="H828" s="197"/>
      <c r="I828" s="197"/>
      <c r="J828" s="197"/>
      <c r="K828" s="197"/>
      <c r="L828" s="197"/>
      <c r="M828" s="197"/>
      <c r="N828" s="197"/>
      <c r="O828" s="197"/>
      <c r="P828" s="197"/>
      <c r="Q828" s="197"/>
      <c r="R828" s="197"/>
      <c r="S828" s="197"/>
      <c r="T828" s="197"/>
      <c r="U828" s="197"/>
      <c r="V828" s="197"/>
      <c r="W828" s="197"/>
      <c r="X828" s="197"/>
      <c r="Y828" s="197"/>
      <c r="Z828" s="197"/>
    </row>
    <row r="829" ht="12.0" customHeight="1">
      <c r="A829" s="197"/>
      <c r="B829" s="198"/>
      <c r="C829" s="197"/>
      <c r="D829" s="197"/>
      <c r="E829" s="197"/>
      <c r="F829" s="197"/>
      <c r="G829" s="197"/>
      <c r="H829" s="197"/>
      <c r="I829" s="197"/>
      <c r="J829" s="197"/>
      <c r="K829" s="197"/>
      <c r="L829" s="197"/>
      <c r="M829" s="197"/>
      <c r="N829" s="197"/>
      <c r="O829" s="197"/>
      <c r="P829" s="197"/>
      <c r="Q829" s="197"/>
      <c r="R829" s="197"/>
      <c r="S829" s="197"/>
      <c r="T829" s="197"/>
      <c r="U829" s="197"/>
      <c r="V829" s="197"/>
      <c r="W829" s="197"/>
      <c r="X829" s="197"/>
      <c r="Y829" s="197"/>
      <c r="Z829" s="197"/>
    </row>
    <row r="830" ht="12.0" customHeight="1">
      <c r="A830" s="197"/>
      <c r="B830" s="198"/>
      <c r="C830" s="197"/>
      <c r="D830" s="197"/>
      <c r="E830" s="197"/>
      <c r="F830" s="197"/>
      <c r="G830" s="197"/>
      <c r="H830" s="197"/>
      <c r="I830" s="197"/>
      <c r="J830" s="197"/>
      <c r="K830" s="197"/>
      <c r="L830" s="197"/>
      <c r="M830" s="197"/>
      <c r="N830" s="197"/>
      <c r="O830" s="197"/>
      <c r="P830" s="197"/>
      <c r="Q830" s="197"/>
      <c r="R830" s="197"/>
      <c r="S830" s="197"/>
      <c r="T830" s="197"/>
      <c r="U830" s="197"/>
      <c r="V830" s="197"/>
      <c r="W830" s="197"/>
      <c r="X830" s="197"/>
      <c r="Y830" s="197"/>
      <c r="Z830" s="197"/>
    </row>
    <row r="831" ht="12.0" customHeight="1">
      <c r="A831" s="197"/>
      <c r="B831" s="198"/>
      <c r="C831" s="197"/>
      <c r="D831" s="197"/>
      <c r="E831" s="197"/>
      <c r="F831" s="197"/>
      <c r="G831" s="197"/>
      <c r="H831" s="197"/>
      <c r="I831" s="197"/>
      <c r="J831" s="197"/>
      <c r="K831" s="197"/>
      <c r="L831" s="197"/>
      <c r="M831" s="197"/>
      <c r="N831" s="197"/>
      <c r="O831" s="197"/>
      <c r="P831" s="197"/>
      <c r="Q831" s="197"/>
      <c r="R831" s="197"/>
      <c r="S831" s="197"/>
      <c r="T831" s="197"/>
      <c r="U831" s="197"/>
      <c r="V831" s="197"/>
      <c r="W831" s="197"/>
      <c r="X831" s="197"/>
      <c r="Y831" s="197"/>
      <c r="Z831" s="197"/>
    </row>
    <row r="832" ht="12.0" customHeight="1">
      <c r="A832" s="197"/>
      <c r="B832" s="198"/>
      <c r="C832" s="197"/>
      <c r="D832" s="197"/>
      <c r="E832" s="197"/>
      <c r="F832" s="197"/>
      <c r="G832" s="197"/>
      <c r="H832" s="197"/>
      <c r="I832" s="197"/>
      <c r="J832" s="197"/>
      <c r="K832" s="197"/>
      <c r="L832" s="197"/>
      <c r="M832" s="197"/>
      <c r="N832" s="197"/>
      <c r="O832" s="197"/>
      <c r="P832" s="197"/>
      <c r="Q832" s="197"/>
      <c r="R832" s="197"/>
      <c r="S832" s="197"/>
      <c r="T832" s="197"/>
      <c r="U832" s="197"/>
      <c r="V832" s="197"/>
      <c r="W832" s="197"/>
      <c r="X832" s="197"/>
      <c r="Y832" s="197"/>
      <c r="Z832" s="197"/>
    </row>
    <row r="833" ht="12.0" customHeight="1">
      <c r="A833" s="197"/>
      <c r="B833" s="198"/>
      <c r="C833" s="197"/>
      <c r="D833" s="197"/>
      <c r="E833" s="197"/>
      <c r="F833" s="197"/>
      <c r="G833" s="197"/>
      <c r="H833" s="197"/>
      <c r="I833" s="197"/>
      <c r="J833" s="197"/>
      <c r="K833" s="197"/>
      <c r="L833" s="197"/>
      <c r="M833" s="197"/>
      <c r="N833" s="197"/>
      <c r="O833" s="197"/>
      <c r="P833" s="197"/>
      <c r="Q833" s="197"/>
      <c r="R833" s="197"/>
      <c r="S833" s="197"/>
      <c r="T833" s="197"/>
      <c r="U833" s="197"/>
      <c r="V833" s="197"/>
      <c r="W833" s="197"/>
      <c r="X833" s="197"/>
      <c r="Y833" s="197"/>
      <c r="Z833" s="197"/>
    </row>
    <row r="834" ht="12.0" customHeight="1">
      <c r="A834" s="197"/>
      <c r="B834" s="198"/>
      <c r="C834" s="197"/>
      <c r="D834" s="197"/>
      <c r="E834" s="197"/>
      <c r="F834" s="197"/>
      <c r="G834" s="197"/>
      <c r="H834" s="197"/>
      <c r="I834" s="197"/>
      <c r="J834" s="197"/>
      <c r="K834" s="197"/>
      <c r="L834" s="197"/>
      <c r="M834" s="197"/>
      <c r="N834" s="197"/>
      <c r="O834" s="197"/>
      <c r="P834" s="197"/>
      <c r="Q834" s="197"/>
      <c r="R834" s="197"/>
      <c r="S834" s="197"/>
      <c r="T834" s="197"/>
      <c r="U834" s="197"/>
      <c r="V834" s="197"/>
      <c r="W834" s="197"/>
      <c r="X834" s="197"/>
      <c r="Y834" s="197"/>
      <c r="Z834" s="197"/>
    </row>
    <row r="835" ht="12.0" customHeight="1">
      <c r="A835" s="197"/>
      <c r="B835" s="198"/>
      <c r="C835" s="197"/>
      <c r="D835" s="197"/>
      <c r="E835" s="197"/>
      <c r="F835" s="197"/>
      <c r="G835" s="197"/>
      <c r="H835" s="197"/>
      <c r="I835" s="197"/>
      <c r="J835" s="197"/>
      <c r="K835" s="197"/>
      <c r="L835" s="197"/>
      <c r="M835" s="197"/>
      <c r="N835" s="197"/>
      <c r="O835" s="197"/>
      <c r="P835" s="197"/>
      <c r="Q835" s="197"/>
      <c r="R835" s="197"/>
      <c r="S835" s="197"/>
      <c r="T835" s="197"/>
      <c r="U835" s="197"/>
      <c r="V835" s="197"/>
      <c r="W835" s="197"/>
      <c r="X835" s="197"/>
      <c r="Y835" s="197"/>
      <c r="Z835" s="197"/>
    </row>
    <row r="836" ht="12.0" customHeight="1">
      <c r="A836" s="197"/>
      <c r="B836" s="198"/>
      <c r="C836" s="197"/>
      <c r="D836" s="197"/>
      <c r="E836" s="197"/>
      <c r="F836" s="197"/>
      <c r="G836" s="197"/>
      <c r="H836" s="197"/>
      <c r="I836" s="197"/>
      <c r="J836" s="197"/>
      <c r="K836" s="197"/>
      <c r="L836" s="197"/>
      <c r="M836" s="197"/>
      <c r="N836" s="197"/>
      <c r="O836" s="197"/>
      <c r="P836" s="197"/>
      <c r="Q836" s="197"/>
      <c r="R836" s="197"/>
      <c r="S836" s="197"/>
      <c r="T836" s="197"/>
      <c r="U836" s="197"/>
      <c r="V836" s="197"/>
      <c r="W836" s="197"/>
      <c r="X836" s="197"/>
      <c r="Y836" s="197"/>
      <c r="Z836" s="197"/>
    </row>
    <row r="837" ht="12.0" customHeight="1">
      <c r="A837" s="197"/>
      <c r="B837" s="198"/>
      <c r="C837" s="197"/>
      <c r="D837" s="197"/>
      <c r="E837" s="197"/>
      <c r="F837" s="197"/>
      <c r="G837" s="197"/>
      <c r="H837" s="197"/>
      <c r="I837" s="197"/>
      <c r="J837" s="197"/>
      <c r="K837" s="197"/>
      <c r="L837" s="197"/>
      <c r="M837" s="197"/>
      <c r="N837" s="197"/>
      <c r="O837" s="197"/>
      <c r="P837" s="197"/>
      <c r="Q837" s="197"/>
      <c r="R837" s="197"/>
      <c r="S837" s="197"/>
      <c r="T837" s="197"/>
      <c r="U837" s="197"/>
      <c r="V837" s="197"/>
      <c r="W837" s="197"/>
      <c r="X837" s="197"/>
      <c r="Y837" s="197"/>
      <c r="Z837" s="197"/>
    </row>
    <row r="838" ht="12.0" customHeight="1">
      <c r="A838" s="197"/>
      <c r="B838" s="198"/>
      <c r="C838" s="197"/>
      <c r="D838" s="197"/>
      <c r="E838" s="197"/>
      <c r="F838" s="197"/>
      <c r="G838" s="197"/>
      <c r="H838" s="197"/>
      <c r="I838" s="197"/>
      <c r="J838" s="197"/>
      <c r="K838" s="197"/>
      <c r="L838" s="197"/>
      <c r="M838" s="197"/>
      <c r="N838" s="197"/>
      <c r="O838" s="197"/>
      <c r="P838" s="197"/>
      <c r="Q838" s="197"/>
      <c r="R838" s="197"/>
      <c r="S838" s="197"/>
      <c r="T838" s="197"/>
      <c r="U838" s="197"/>
      <c r="V838" s="197"/>
      <c r="W838" s="197"/>
      <c r="X838" s="197"/>
      <c r="Y838" s="197"/>
      <c r="Z838" s="197"/>
    </row>
    <row r="839" ht="12.0" customHeight="1">
      <c r="A839" s="197"/>
      <c r="B839" s="198"/>
      <c r="C839" s="197"/>
      <c r="D839" s="197"/>
      <c r="E839" s="197"/>
      <c r="F839" s="197"/>
      <c r="G839" s="197"/>
      <c r="H839" s="197"/>
      <c r="I839" s="197"/>
      <c r="J839" s="197"/>
      <c r="K839" s="197"/>
      <c r="L839" s="197"/>
      <c r="M839" s="197"/>
      <c r="N839" s="197"/>
      <c r="O839" s="197"/>
      <c r="P839" s="197"/>
      <c r="Q839" s="197"/>
      <c r="R839" s="197"/>
      <c r="S839" s="197"/>
      <c r="T839" s="197"/>
      <c r="U839" s="197"/>
      <c r="V839" s="197"/>
      <c r="W839" s="197"/>
      <c r="X839" s="197"/>
      <c r="Y839" s="197"/>
      <c r="Z839" s="197"/>
    </row>
    <row r="840" ht="12.0" customHeight="1">
      <c r="A840" s="197"/>
      <c r="B840" s="198"/>
      <c r="C840" s="197"/>
      <c r="D840" s="197"/>
      <c r="E840" s="197"/>
      <c r="F840" s="197"/>
      <c r="G840" s="197"/>
      <c r="H840" s="197"/>
      <c r="I840" s="197"/>
      <c r="J840" s="197"/>
      <c r="K840" s="197"/>
      <c r="L840" s="197"/>
      <c r="M840" s="197"/>
      <c r="N840" s="197"/>
      <c r="O840" s="197"/>
      <c r="P840" s="197"/>
      <c r="Q840" s="197"/>
      <c r="R840" s="197"/>
      <c r="S840" s="197"/>
      <c r="T840" s="197"/>
      <c r="U840" s="197"/>
      <c r="V840" s="197"/>
      <c r="W840" s="197"/>
      <c r="X840" s="197"/>
      <c r="Y840" s="197"/>
      <c r="Z840" s="197"/>
    </row>
    <row r="841" ht="12.0" customHeight="1">
      <c r="A841" s="197"/>
      <c r="B841" s="198"/>
      <c r="C841" s="197"/>
      <c r="D841" s="197"/>
      <c r="E841" s="197"/>
      <c r="F841" s="197"/>
      <c r="G841" s="197"/>
      <c r="H841" s="197"/>
      <c r="I841" s="197"/>
      <c r="J841" s="197"/>
      <c r="K841" s="197"/>
      <c r="L841" s="197"/>
      <c r="M841" s="197"/>
      <c r="N841" s="197"/>
      <c r="O841" s="197"/>
      <c r="P841" s="197"/>
      <c r="Q841" s="197"/>
      <c r="R841" s="197"/>
      <c r="S841" s="197"/>
      <c r="T841" s="197"/>
      <c r="U841" s="197"/>
      <c r="V841" s="197"/>
      <c r="W841" s="197"/>
      <c r="X841" s="197"/>
      <c r="Y841" s="197"/>
      <c r="Z841" s="197"/>
    </row>
    <row r="842" ht="12.0" customHeight="1">
      <c r="A842" s="197"/>
      <c r="B842" s="198"/>
      <c r="C842" s="197"/>
      <c r="D842" s="197"/>
      <c r="E842" s="197"/>
      <c r="F842" s="197"/>
      <c r="G842" s="197"/>
      <c r="H842" s="197"/>
      <c r="I842" s="197"/>
      <c r="J842" s="197"/>
      <c r="K842" s="197"/>
      <c r="L842" s="197"/>
      <c r="M842" s="197"/>
      <c r="N842" s="197"/>
      <c r="O842" s="197"/>
      <c r="P842" s="197"/>
      <c r="Q842" s="197"/>
      <c r="R842" s="197"/>
      <c r="S842" s="197"/>
      <c r="T842" s="197"/>
      <c r="U842" s="197"/>
      <c r="V842" s="197"/>
      <c r="W842" s="197"/>
      <c r="X842" s="197"/>
      <c r="Y842" s="197"/>
      <c r="Z842" s="197"/>
    </row>
    <row r="843" ht="12.0" customHeight="1">
      <c r="A843" s="197"/>
      <c r="B843" s="198"/>
      <c r="C843" s="197"/>
      <c r="D843" s="197"/>
      <c r="E843" s="197"/>
      <c r="F843" s="197"/>
      <c r="G843" s="197"/>
      <c r="H843" s="197"/>
      <c r="I843" s="197"/>
      <c r="J843" s="197"/>
      <c r="K843" s="197"/>
      <c r="L843" s="197"/>
      <c r="M843" s="197"/>
      <c r="N843" s="197"/>
      <c r="O843" s="197"/>
      <c r="P843" s="197"/>
      <c r="Q843" s="197"/>
      <c r="R843" s="197"/>
      <c r="S843" s="197"/>
      <c r="T843" s="197"/>
      <c r="U843" s="197"/>
      <c r="V843" s="197"/>
      <c r="W843" s="197"/>
      <c r="X843" s="197"/>
      <c r="Y843" s="197"/>
      <c r="Z843" s="197"/>
    </row>
    <row r="844" ht="12.0" customHeight="1">
      <c r="A844" s="197"/>
      <c r="B844" s="198"/>
      <c r="C844" s="197"/>
      <c r="D844" s="197"/>
      <c r="E844" s="197"/>
      <c r="F844" s="197"/>
      <c r="G844" s="197"/>
      <c r="H844" s="197"/>
      <c r="I844" s="197"/>
      <c r="J844" s="197"/>
      <c r="K844" s="197"/>
      <c r="L844" s="197"/>
      <c r="M844" s="197"/>
      <c r="N844" s="197"/>
      <c r="O844" s="197"/>
      <c r="P844" s="197"/>
      <c r="Q844" s="197"/>
      <c r="R844" s="197"/>
      <c r="S844" s="197"/>
      <c r="T844" s="197"/>
      <c r="U844" s="197"/>
      <c r="V844" s="197"/>
      <c r="W844" s="197"/>
      <c r="X844" s="197"/>
      <c r="Y844" s="197"/>
      <c r="Z844" s="197"/>
    </row>
    <row r="845" ht="12.0" customHeight="1">
      <c r="A845" s="197"/>
      <c r="B845" s="198"/>
      <c r="C845" s="197"/>
      <c r="D845" s="197"/>
      <c r="E845" s="197"/>
      <c r="F845" s="197"/>
      <c r="G845" s="197"/>
      <c r="H845" s="197"/>
      <c r="I845" s="197"/>
      <c r="J845" s="197"/>
      <c r="K845" s="197"/>
      <c r="L845" s="197"/>
      <c r="M845" s="197"/>
      <c r="N845" s="197"/>
      <c r="O845" s="197"/>
      <c r="P845" s="197"/>
      <c r="Q845" s="197"/>
      <c r="R845" s="197"/>
      <c r="S845" s="197"/>
      <c r="T845" s="197"/>
      <c r="U845" s="197"/>
      <c r="V845" s="197"/>
      <c r="W845" s="197"/>
      <c r="X845" s="197"/>
      <c r="Y845" s="197"/>
      <c r="Z845" s="197"/>
    </row>
    <row r="846" ht="12.0" customHeight="1">
      <c r="A846" s="197"/>
      <c r="B846" s="198"/>
      <c r="C846" s="197"/>
      <c r="D846" s="197"/>
      <c r="E846" s="197"/>
      <c r="F846" s="197"/>
      <c r="G846" s="197"/>
      <c r="H846" s="197"/>
      <c r="I846" s="197"/>
      <c r="J846" s="197"/>
      <c r="K846" s="197"/>
      <c r="L846" s="197"/>
      <c r="M846" s="197"/>
      <c r="N846" s="197"/>
      <c r="O846" s="197"/>
      <c r="P846" s="197"/>
      <c r="Q846" s="197"/>
      <c r="R846" s="197"/>
      <c r="S846" s="197"/>
      <c r="T846" s="197"/>
      <c r="U846" s="197"/>
      <c r="V846" s="197"/>
      <c r="W846" s="197"/>
      <c r="X846" s="197"/>
      <c r="Y846" s="197"/>
      <c r="Z846" s="197"/>
    </row>
    <row r="847" ht="12.0" customHeight="1">
      <c r="A847" s="197"/>
      <c r="B847" s="198"/>
      <c r="C847" s="197"/>
      <c r="D847" s="197"/>
      <c r="E847" s="197"/>
      <c r="F847" s="197"/>
      <c r="G847" s="197"/>
      <c r="H847" s="197"/>
      <c r="I847" s="197"/>
      <c r="J847" s="197"/>
      <c r="K847" s="197"/>
      <c r="L847" s="197"/>
      <c r="M847" s="197"/>
      <c r="N847" s="197"/>
      <c r="O847" s="197"/>
      <c r="P847" s="197"/>
      <c r="Q847" s="197"/>
      <c r="R847" s="197"/>
      <c r="S847" s="197"/>
      <c r="T847" s="197"/>
      <c r="U847" s="197"/>
      <c r="V847" s="197"/>
      <c r="W847" s="197"/>
      <c r="X847" s="197"/>
      <c r="Y847" s="197"/>
      <c r="Z847" s="197"/>
    </row>
    <row r="848" ht="12.0" customHeight="1">
      <c r="A848" s="197"/>
      <c r="B848" s="198"/>
      <c r="C848" s="197"/>
      <c r="D848" s="197"/>
      <c r="E848" s="197"/>
      <c r="F848" s="197"/>
      <c r="G848" s="197"/>
      <c r="H848" s="197"/>
      <c r="I848" s="197"/>
      <c r="J848" s="197"/>
      <c r="K848" s="197"/>
      <c r="L848" s="197"/>
      <c r="M848" s="197"/>
      <c r="N848" s="197"/>
      <c r="O848" s="197"/>
      <c r="P848" s="197"/>
      <c r="Q848" s="197"/>
      <c r="R848" s="197"/>
      <c r="S848" s="197"/>
      <c r="T848" s="197"/>
      <c r="U848" s="197"/>
      <c r="V848" s="197"/>
      <c r="W848" s="197"/>
      <c r="X848" s="197"/>
      <c r="Y848" s="197"/>
      <c r="Z848" s="197"/>
    </row>
    <row r="849" ht="12.0" customHeight="1">
      <c r="A849" s="197"/>
      <c r="B849" s="198"/>
      <c r="C849" s="197"/>
      <c r="D849" s="197"/>
      <c r="E849" s="197"/>
      <c r="F849" s="197"/>
      <c r="G849" s="197"/>
      <c r="H849" s="197"/>
      <c r="I849" s="197"/>
      <c r="J849" s="197"/>
      <c r="K849" s="197"/>
      <c r="L849" s="197"/>
      <c r="M849" s="197"/>
      <c r="N849" s="197"/>
      <c r="O849" s="197"/>
      <c r="P849" s="197"/>
      <c r="Q849" s="197"/>
      <c r="R849" s="197"/>
      <c r="S849" s="197"/>
      <c r="T849" s="197"/>
      <c r="U849" s="197"/>
      <c r="V849" s="197"/>
      <c r="W849" s="197"/>
      <c r="X849" s="197"/>
      <c r="Y849" s="197"/>
      <c r="Z849" s="197"/>
    </row>
    <row r="850" ht="12.0" customHeight="1">
      <c r="A850" s="197"/>
      <c r="B850" s="198"/>
      <c r="C850" s="197"/>
      <c r="D850" s="197"/>
      <c r="E850" s="197"/>
      <c r="F850" s="197"/>
      <c r="G850" s="197"/>
      <c r="H850" s="197"/>
      <c r="I850" s="197"/>
      <c r="J850" s="197"/>
      <c r="K850" s="197"/>
      <c r="L850" s="197"/>
      <c r="M850" s="197"/>
      <c r="N850" s="197"/>
      <c r="O850" s="197"/>
      <c r="P850" s="197"/>
      <c r="Q850" s="197"/>
      <c r="R850" s="197"/>
      <c r="S850" s="197"/>
      <c r="T850" s="197"/>
      <c r="U850" s="197"/>
      <c r="V850" s="197"/>
      <c r="W850" s="197"/>
      <c r="X850" s="197"/>
      <c r="Y850" s="197"/>
      <c r="Z850" s="197"/>
    </row>
    <row r="851" ht="12.0" customHeight="1">
      <c r="A851" s="197"/>
      <c r="B851" s="198"/>
      <c r="C851" s="197"/>
      <c r="D851" s="197"/>
      <c r="E851" s="197"/>
      <c r="F851" s="197"/>
      <c r="G851" s="197"/>
      <c r="H851" s="197"/>
      <c r="I851" s="197"/>
      <c r="J851" s="197"/>
      <c r="K851" s="197"/>
      <c r="L851" s="197"/>
      <c r="M851" s="197"/>
      <c r="N851" s="197"/>
      <c r="O851" s="197"/>
      <c r="P851" s="197"/>
      <c r="Q851" s="197"/>
      <c r="R851" s="197"/>
      <c r="S851" s="197"/>
      <c r="T851" s="197"/>
      <c r="U851" s="197"/>
      <c r="V851" s="197"/>
      <c r="W851" s="197"/>
      <c r="X851" s="197"/>
      <c r="Y851" s="197"/>
      <c r="Z851" s="197"/>
    </row>
    <row r="852" ht="12.0" customHeight="1">
      <c r="A852" s="197"/>
      <c r="B852" s="198"/>
      <c r="C852" s="197"/>
      <c r="D852" s="197"/>
      <c r="E852" s="197"/>
      <c r="F852" s="197"/>
      <c r="G852" s="197"/>
      <c r="H852" s="197"/>
      <c r="I852" s="197"/>
      <c r="J852" s="197"/>
      <c r="K852" s="197"/>
      <c r="L852" s="197"/>
      <c r="M852" s="197"/>
      <c r="N852" s="197"/>
      <c r="O852" s="197"/>
      <c r="P852" s="197"/>
      <c r="Q852" s="197"/>
      <c r="R852" s="197"/>
      <c r="S852" s="197"/>
      <c r="T852" s="197"/>
      <c r="U852" s="197"/>
      <c r="V852" s="197"/>
      <c r="W852" s="197"/>
      <c r="X852" s="197"/>
      <c r="Y852" s="197"/>
      <c r="Z852" s="197"/>
    </row>
    <row r="853" ht="12.0" customHeight="1">
      <c r="A853" s="197"/>
      <c r="B853" s="198"/>
      <c r="C853" s="197"/>
      <c r="D853" s="197"/>
      <c r="E853" s="197"/>
      <c r="F853" s="197"/>
      <c r="G853" s="197"/>
      <c r="H853" s="197"/>
      <c r="I853" s="197"/>
      <c r="J853" s="197"/>
      <c r="K853" s="197"/>
      <c r="L853" s="197"/>
      <c r="M853" s="197"/>
      <c r="N853" s="197"/>
      <c r="O853" s="197"/>
      <c r="P853" s="197"/>
      <c r="Q853" s="197"/>
      <c r="R853" s="197"/>
      <c r="S853" s="197"/>
      <c r="T853" s="197"/>
      <c r="U853" s="197"/>
      <c r="V853" s="197"/>
      <c r="W853" s="197"/>
      <c r="X853" s="197"/>
      <c r="Y853" s="197"/>
      <c r="Z853" s="197"/>
    </row>
    <row r="854" ht="12.0" customHeight="1">
      <c r="A854" s="197"/>
      <c r="B854" s="198"/>
      <c r="C854" s="197"/>
      <c r="D854" s="197"/>
      <c r="E854" s="197"/>
      <c r="F854" s="197"/>
      <c r="G854" s="197"/>
      <c r="H854" s="197"/>
      <c r="I854" s="197"/>
      <c r="J854" s="197"/>
      <c r="K854" s="197"/>
      <c r="L854" s="197"/>
      <c r="M854" s="197"/>
      <c r="N854" s="197"/>
      <c r="O854" s="197"/>
      <c r="P854" s="197"/>
      <c r="Q854" s="197"/>
      <c r="R854" s="197"/>
      <c r="S854" s="197"/>
      <c r="T854" s="197"/>
      <c r="U854" s="197"/>
      <c r="V854" s="197"/>
      <c r="W854" s="197"/>
      <c r="X854" s="197"/>
      <c r="Y854" s="197"/>
      <c r="Z854" s="197"/>
    </row>
    <row r="855" ht="12.0" customHeight="1">
      <c r="A855" s="197"/>
      <c r="B855" s="198"/>
      <c r="C855" s="197"/>
      <c r="D855" s="197"/>
      <c r="E855" s="197"/>
      <c r="F855" s="197"/>
      <c r="G855" s="197"/>
      <c r="H855" s="197"/>
      <c r="I855" s="197"/>
      <c r="J855" s="197"/>
      <c r="K855" s="197"/>
      <c r="L855" s="197"/>
      <c r="M855" s="197"/>
      <c r="N855" s="197"/>
      <c r="O855" s="197"/>
      <c r="P855" s="197"/>
      <c r="Q855" s="197"/>
      <c r="R855" s="197"/>
      <c r="S855" s="197"/>
      <c r="T855" s="197"/>
      <c r="U855" s="197"/>
      <c r="V855" s="197"/>
      <c r="W855" s="197"/>
      <c r="X855" s="197"/>
      <c r="Y855" s="197"/>
      <c r="Z855" s="197"/>
    </row>
    <row r="856" ht="12.0" customHeight="1">
      <c r="A856" s="197"/>
      <c r="B856" s="198"/>
      <c r="C856" s="197"/>
      <c r="D856" s="197"/>
      <c r="E856" s="197"/>
      <c r="F856" s="197"/>
      <c r="G856" s="197"/>
      <c r="H856" s="197"/>
      <c r="I856" s="197"/>
      <c r="J856" s="197"/>
      <c r="K856" s="197"/>
      <c r="L856" s="197"/>
      <c r="M856" s="197"/>
      <c r="N856" s="197"/>
      <c r="O856" s="197"/>
      <c r="P856" s="197"/>
      <c r="Q856" s="197"/>
      <c r="R856" s="197"/>
      <c r="S856" s="197"/>
      <c r="T856" s="197"/>
      <c r="U856" s="197"/>
      <c r="V856" s="197"/>
      <c r="W856" s="197"/>
      <c r="X856" s="197"/>
      <c r="Y856" s="197"/>
      <c r="Z856" s="197"/>
    </row>
    <row r="857" ht="12.0" customHeight="1">
      <c r="A857" s="197"/>
      <c r="B857" s="198"/>
      <c r="C857" s="197"/>
      <c r="D857" s="197"/>
      <c r="E857" s="197"/>
      <c r="F857" s="197"/>
      <c r="G857" s="197"/>
      <c r="H857" s="197"/>
      <c r="I857" s="197"/>
      <c r="J857" s="197"/>
      <c r="K857" s="197"/>
      <c r="L857" s="197"/>
      <c r="M857" s="197"/>
      <c r="N857" s="197"/>
      <c r="O857" s="197"/>
      <c r="P857" s="197"/>
      <c r="Q857" s="197"/>
      <c r="R857" s="197"/>
      <c r="S857" s="197"/>
      <c r="T857" s="197"/>
      <c r="U857" s="197"/>
      <c r="V857" s="197"/>
      <c r="W857" s="197"/>
      <c r="X857" s="197"/>
      <c r="Y857" s="197"/>
      <c r="Z857" s="197"/>
    </row>
    <row r="858" ht="12.0" customHeight="1">
      <c r="A858" s="197"/>
      <c r="B858" s="198"/>
      <c r="C858" s="197"/>
      <c r="D858" s="197"/>
      <c r="E858" s="197"/>
      <c r="F858" s="197"/>
      <c r="G858" s="197"/>
      <c r="H858" s="197"/>
      <c r="I858" s="197"/>
      <c r="J858" s="197"/>
      <c r="K858" s="197"/>
      <c r="L858" s="197"/>
      <c r="M858" s="197"/>
      <c r="N858" s="197"/>
      <c r="O858" s="197"/>
      <c r="P858" s="197"/>
      <c r="Q858" s="197"/>
      <c r="R858" s="197"/>
      <c r="S858" s="197"/>
      <c r="T858" s="197"/>
      <c r="U858" s="197"/>
      <c r="V858" s="197"/>
      <c r="W858" s="197"/>
      <c r="X858" s="197"/>
      <c r="Y858" s="197"/>
      <c r="Z858" s="197"/>
    </row>
    <row r="859" ht="12.0" customHeight="1">
      <c r="A859" s="197"/>
      <c r="B859" s="198"/>
      <c r="C859" s="197"/>
      <c r="D859" s="197"/>
      <c r="E859" s="197"/>
      <c r="F859" s="197"/>
      <c r="G859" s="197"/>
      <c r="H859" s="197"/>
      <c r="I859" s="197"/>
      <c r="J859" s="197"/>
      <c r="K859" s="197"/>
      <c r="L859" s="197"/>
      <c r="M859" s="197"/>
      <c r="N859" s="197"/>
      <c r="O859" s="197"/>
      <c r="P859" s="197"/>
      <c r="Q859" s="197"/>
      <c r="R859" s="197"/>
      <c r="S859" s="197"/>
      <c r="T859" s="197"/>
      <c r="U859" s="197"/>
      <c r="V859" s="197"/>
      <c r="W859" s="197"/>
      <c r="X859" s="197"/>
      <c r="Y859" s="197"/>
      <c r="Z859" s="197"/>
    </row>
    <row r="860" ht="12.0" customHeight="1">
      <c r="A860" s="197"/>
      <c r="B860" s="198"/>
      <c r="C860" s="197"/>
      <c r="D860" s="197"/>
      <c r="E860" s="197"/>
      <c r="F860" s="197"/>
      <c r="G860" s="197"/>
      <c r="H860" s="197"/>
      <c r="I860" s="197"/>
      <c r="J860" s="197"/>
      <c r="K860" s="197"/>
      <c r="L860" s="197"/>
      <c r="M860" s="197"/>
      <c r="N860" s="197"/>
      <c r="O860" s="197"/>
      <c r="P860" s="197"/>
      <c r="Q860" s="197"/>
      <c r="R860" s="197"/>
      <c r="S860" s="197"/>
      <c r="T860" s="197"/>
      <c r="U860" s="197"/>
      <c r="V860" s="197"/>
      <c r="W860" s="197"/>
      <c r="X860" s="197"/>
      <c r="Y860" s="197"/>
      <c r="Z860" s="197"/>
    </row>
    <row r="861" ht="12.0" customHeight="1">
      <c r="A861" s="197"/>
      <c r="B861" s="198"/>
      <c r="C861" s="197"/>
      <c r="D861" s="197"/>
      <c r="E861" s="197"/>
      <c r="F861" s="197"/>
      <c r="G861" s="197"/>
      <c r="H861" s="197"/>
      <c r="I861" s="197"/>
      <c r="J861" s="197"/>
      <c r="K861" s="197"/>
      <c r="L861" s="197"/>
      <c r="M861" s="197"/>
      <c r="N861" s="197"/>
      <c r="O861" s="197"/>
      <c r="P861" s="197"/>
      <c r="Q861" s="197"/>
      <c r="R861" s="197"/>
      <c r="S861" s="197"/>
      <c r="T861" s="197"/>
      <c r="U861" s="197"/>
      <c r="V861" s="197"/>
      <c r="W861" s="197"/>
      <c r="X861" s="197"/>
      <c r="Y861" s="197"/>
      <c r="Z861" s="197"/>
    </row>
    <row r="862" ht="12.0" customHeight="1">
      <c r="A862" s="197"/>
      <c r="B862" s="198"/>
      <c r="C862" s="197"/>
      <c r="D862" s="197"/>
      <c r="E862" s="197"/>
      <c r="F862" s="197"/>
      <c r="G862" s="197"/>
      <c r="H862" s="197"/>
      <c r="I862" s="197"/>
      <c r="J862" s="197"/>
      <c r="K862" s="197"/>
      <c r="L862" s="197"/>
      <c r="M862" s="197"/>
      <c r="N862" s="197"/>
      <c r="O862" s="197"/>
      <c r="P862" s="197"/>
      <c r="Q862" s="197"/>
      <c r="R862" s="197"/>
      <c r="S862" s="197"/>
      <c r="T862" s="197"/>
      <c r="U862" s="197"/>
      <c r="V862" s="197"/>
      <c r="W862" s="197"/>
      <c r="X862" s="197"/>
      <c r="Y862" s="197"/>
      <c r="Z862" s="197"/>
    </row>
    <row r="863" ht="12.0" customHeight="1">
      <c r="A863" s="197"/>
      <c r="B863" s="198"/>
      <c r="C863" s="197"/>
      <c r="D863" s="197"/>
      <c r="E863" s="197"/>
      <c r="F863" s="197"/>
      <c r="G863" s="197"/>
      <c r="H863" s="197"/>
      <c r="I863" s="197"/>
      <c r="J863" s="197"/>
      <c r="K863" s="197"/>
      <c r="L863" s="197"/>
      <c r="M863" s="197"/>
      <c r="N863" s="197"/>
      <c r="O863" s="197"/>
      <c r="P863" s="197"/>
      <c r="Q863" s="197"/>
      <c r="R863" s="197"/>
      <c r="S863" s="197"/>
      <c r="T863" s="197"/>
      <c r="U863" s="197"/>
      <c r="V863" s="197"/>
      <c r="W863" s="197"/>
      <c r="X863" s="197"/>
      <c r="Y863" s="197"/>
      <c r="Z863" s="197"/>
    </row>
    <row r="864" ht="12.0" customHeight="1">
      <c r="A864" s="197"/>
      <c r="B864" s="198"/>
      <c r="C864" s="197"/>
      <c r="D864" s="197"/>
      <c r="E864" s="197"/>
      <c r="F864" s="197"/>
      <c r="G864" s="197"/>
      <c r="H864" s="197"/>
      <c r="I864" s="197"/>
      <c r="J864" s="197"/>
      <c r="K864" s="197"/>
      <c r="L864" s="197"/>
      <c r="M864" s="197"/>
      <c r="N864" s="197"/>
      <c r="O864" s="197"/>
      <c r="P864" s="197"/>
      <c r="Q864" s="197"/>
      <c r="R864" s="197"/>
      <c r="S864" s="197"/>
      <c r="T864" s="197"/>
      <c r="U864" s="197"/>
      <c r="V864" s="197"/>
      <c r="W864" s="197"/>
      <c r="X864" s="197"/>
      <c r="Y864" s="197"/>
      <c r="Z864" s="197"/>
    </row>
    <row r="865" ht="12.0" customHeight="1">
      <c r="A865" s="197"/>
      <c r="B865" s="198"/>
      <c r="C865" s="197"/>
      <c r="D865" s="197"/>
      <c r="E865" s="197"/>
      <c r="F865" s="197"/>
      <c r="G865" s="197"/>
      <c r="H865" s="197"/>
      <c r="I865" s="197"/>
      <c r="J865" s="197"/>
      <c r="K865" s="197"/>
      <c r="L865" s="197"/>
      <c r="M865" s="197"/>
      <c r="N865" s="197"/>
      <c r="O865" s="197"/>
      <c r="P865" s="197"/>
      <c r="Q865" s="197"/>
      <c r="R865" s="197"/>
      <c r="S865" s="197"/>
      <c r="T865" s="197"/>
      <c r="U865" s="197"/>
      <c r="V865" s="197"/>
      <c r="W865" s="197"/>
      <c r="X865" s="197"/>
      <c r="Y865" s="197"/>
      <c r="Z865" s="197"/>
    </row>
    <row r="866" ht="12.0" customHeight="1">
      <c r="A866" s="197"/>
      <c r="B866" s="198"/>
      <c r="C866" s="197"/>
      <c r="D866" s="197"/>
      <c r="E866" s="197"/>
      <c r="F866" s="197"/>
      <c r="G866" s="197"/>
      <c r="H866" s="197"/>
      <c r="I866" s="197"/>
      <c r="J866" s="197"/>
      <c r="K866" s="197"/>
      <c r="L866" s="197"/>
      <c r="M866" s="197"/>
      <c r="N866" s="197"/>
      <c r="O866" s="197"/>
      <c r="P866" s="197"/>
      <c r="Q866" s="197"/>
      <c r="R866" s="197"/>
      <c r="S866" s="197"/>
      <c r="T866" s="197"/>
      <c r="U866" s="197"/>
      <c r="V866" s="197"/>
      <c r="W866" s="197"/>
      <c r="X866" s="197"/>
      <c r="Y866" s="197"/>
      <c r="Z866" s="197"/>
    </row>
    <row r="867" ht="12.0" customHeight="1">
      <c r="A867" s="197"/>
      <c r="B867" s="198"/>
      <c r="C867" s="197"/>
      <c r="D867" s="197"/>
      <c r="E867" s="197"/>
      <c r="F867" s="197"/>
      <c r="G867" s="197"/>
      <c r="H867" s="197"/>
      <c r="I867" s="197"/>
      <c r="J867" s="197"/>
      <c r="K867" s="197"/>
      <c r="L867" s="197"/>
      <c r="M867" s="197"/>
      <c r="N867" s="197"/>
      <c r="O867" s="197"/>
      <c r="P867" s="197"/>
      <c r="Q867" s="197"/>
      <c r="R867" s="197"/>
      <c r="S867" s="197"/>
      <c r="T867" s="197"/>
      <c r="U867" s="197"/>
      <c r="V867" s="197"/>
      <c r="W867" s="197"/>
      <c r="X867" s="197"/>
      <c r="Y867" s="197"/>
      <c r="Z867" s="197"/>
    </row>
    <row r="868" ht="12.0" customHeight="1">
      <c r="A868" s="197"/>
      <c r="B868" s="198"/>
      <c r="C868" s="197"/>
      <c r="D868" s="197"/>
      <c r="E868" s="197"/>
      <c r="F868" s="197"/>
      <c r="G868" s="197"/>
      <c r="H868" s="197"/>
      <c r="I868" s="197"/>
      <c r="J868" s="197"/>
      <c r="K868" s="197"/>
      <c r="L868" s="197"/>
      <c r="M868" s="197"/>
      <c r="N868" s="197"/>
      <c r="O868" s="197"/>
      <c r="P868" s="197"/>
      <c r="Q868" s="197"/>
      <c r="R868" s="197"/>
      <c r="S868" s="197"/>
      <c r="T868" s="197"/>
      <c r="U868" s="197"/>
      <c r="V868" s="197"/>
      <c r="W868" s="197"/>
      <c r="X868" s="197"/>
      <c r="Y868" s="197"/>
      <c r="Z868" s="197"/>
    </row>
    <row r="869" ht="12.0" customHeight="1">
      <c r="A869" s="197"/>
      <c r="B869" s="198"/>
      <c r="C869" s="197"/>
      <c r="D869" s="197"/>
      <c r="E869" s="197"/>
      <c r="F869" s="197"/>
      <c r="G869" s="197"/>
      <c r="H869" s="197"/>
      <c r="I869" s="197"/>
      <c r="J869" s="197"/>
      <c r="K869" s="197"/>
      <c r="L869" s="197"/>
      <c r="M869" s="197"/>
      <c r="N869" s="197"/>
      <c r="O869" s="197"/>
      <c r="P869" s="197"/>
      <c r="Q869" s="197"/>
      <c r="R869" s="197"/>
      <c r="S869" s="197"/>
      <c r="T869" s="197"/>
      <c r="U869" s="197"/>
      <c r="V869" s="197"/>
      <c r="W869" s="197"/>
      <c r="X869" s="197"/>
      <c r="Y869" s="197"/>
      <c r="Z869" s="197"/>
    </row>
    <row r="870" ht="12.0" customHeight="1">
      <c r="A870" s="197"/>
      <c r="B870" s="198"/>
      <c r="C870" s="197"/>
      <c r="D870" s="197"/>
      <c r="E870" s="197"/>
      <c r="F870" s="197"/>
      <c r="G870" s="197"/>
      <c r="H870" s="197"/>
      <c r="I870" s="197"/>
      <c r="J870" s="197"/>
      <c r="K870" s="197"/>
      <c r="L870" s="197"/>
      <c r="M870" s="197"/>
      <c r="N870" s="197"/>
      <c r="O870" s="197"/>
      <c r="P870" s="197"/>
      <c r="Q870" s="197"/>
      <c r="R870" s="197"/>
      <c r="S870" s="197"/>
      <c r="T870" s="197"/>
      <c r="U870" s="197"/>
      <c r="V870" s="197"/>
      <c r="W870" s="197"/>
      <c r="X870" s="197"/>
      <c r="Y870" s="197"/>
      <c r="Z870" s="197"/>
    </row>
    <row r="871" ht="12.0" customHeight="1">
      <c r="A871" s="197"/>
      <c r="B871" s="198"/>
      <c r="C871" s="197"/>
      <c r="D871" s="197"/>
      <c r="E871" s="197"/>
      <c r="F871" s="197"/>
      <c r="G871" s="197"/>
      <c r="H871" s="197"/>
      <c r="I871" s="197"/>
      <c r="J871" s="197"/>
      <c r="K871" s="197"/>
      <c r="L871" s="197"/>
      <c r="M871" s="197"/>
      <c r="N871" s="197"/>
      <c r="O871" s="197"/>
      <c r="P871" s="197"/>
      <c r="Q871" s="197"/>
      <c r="R871" s="197"/>
      <c r="S871" s="197"/>
      <c r="T871" s="197"/>
      <c r="U871" s="197"/>
      <c r="V871" s="197"/>
      <c r="W871" s="197"/>
      <c r="X871" s="197"/>
      <c r="Y871" s="197"/>
      <c r="Z871" s="197"/>
    </row>
    <row r="872" ht="12.0" customHeight="1">
      <c r="A872" s="197"/>
      <c r="B872" s="198"/>
      <c r="C872" s="197"/>
      <c r="D872" s="197"/>
      <c r="E872" s="197"/>
      <c r="F872" s="197"/>
      <c r="G872" s="197"/>
      <c r="H872" s="197"/>
      <c r="I872" s="197"/>
      <c r="J872" s="197"/>
      <c r="K872" s="197"/>
      <c r="L872" s="197"/>
      <c r="M872" s="197"/>
      <c r="N872" s="197"/>
      <c r="O872" s="197"/>
      <c r="P872" s="197"/>
      <c r="Q872" s="197"/>
      <c r="R872" s="197"/>
      <c r="S872" s="197"/>
      <c r="T872" s="197"/>
      <c r="U872" s="197"/>
      <c r="V872" s="197"/>
      <c r="W872" s="197"/>
      <c r="X872" s="197"/>
      <c r="Y872" s="197"/>
      <c r="Z872" s="197"/>
    </row>
    <row r="873" ht="12.0" customHeight="1">
      <c r="A873" s="197"/>
      <c r="B873" s="198"/>
      <c r="C873" s="197"/>
      <c r="D873" s="197"/>
      <c r="E873" s="197"/>
      <c r="F873" s="197"/>
      <c r="G873" s="197"/>
      <c r="H873" s="197"/>
      <c r="I873" s="197"/>
      <c r="J873" s="197"/>
      <c r="K873" s="197"/>
      <c r="L873" s="197"/>
      <c r="M873" s="197"/>
      <c r="N873" s="197"/>
      <c r="O873" s="197"/>
      <c r="P873" s="197"/>
      <c r="Q873" s="197"/>
      <c r="R873" s="197"/>
      <c r="S873" s="197"/>
      <c r="T873" s="197"/>
      <c r="U873" s="197"/>
      <c r="V873" s="197"/>
      <c r="W873" s="197"/>
      <c r="X873" s="197"/>
      <c r="Y873" s="197"/>
      <c r="Z873" s="197"/>
    </row>
    <row r="874" ht="12.0" customHeight="1">
      <c r="A874" s="197"/>
      <c r="B874" s="198"/>
      <c r="C874" s="197"/>
      <c r="D874" s="197"/>
      <c r="E874" s="197"/>
      <c r="F874" s="197"/>
      <c r="G874" s="197"/>
      <c r="H874" s="197"/>
      <c r="I874" s="197"/>
      <c r="J874" s="197"/>
      <c r="K874" s="197"/>
      <c r="L874" s="197"/>
      <c r="M874" s="197"/>
      <c r="N874" s="197"/>
      <c r="O874" s="197"/>
      <c r="P874" s="197"/>
      <c r="Q874" s="197"/>
      <c r="R874" s="197"/>
      <c r="S874" s="197"/>
      <c r="T874" s="197"/>
      <c r="U874" s="197"/>
      <c r="V874" s="197"/>
      <c r="W874" s="197"/>
      <c r="X874" s="197"/>
      <c r="Y874" s="197"/>
      <c r="Z874" s="197"/>
    </row>
    <row r="875" ht="12.0" customHeight="1">
      <c r="A875" s="197"/>
      <c r="B875" s="198"/>
      <c r="C875" s="197"/>
      <c r="D875" s="197"/>
      <c r="E875" s="197"/>
      <c r="F875" s="197"/>
      <c r="G875" s="197"/>
      <c r="H875" s="197"/>
      <c r="I875" s="197"/>
      <c r="J875" s="197"/>
      <c r="K875" s="197"/>
      <c r="L875" s="197"/>
      <c r="M875" s="197"/>
      <c r="N875" s="197"/>
      <c r="O875" s="197"/>
      <c r="P875" s="197"/>
      <c r="Q875" s="197"/>
      <c r="R875" s="197"/>
      <c r="S875" s="197"/>
      <c r="T875" s="197"/>
      <c r="U875" s="197"/>
      <c r="V875" s="197"/>
      <c r="W875" s="197"/>
      <c r="X875" s="197"/>
      <c r="Y875" s="197"/>
      <c r="Z875" s="197"/>
    </row>
    <row r="876" ht="12.0" customHeight="1">
      <c r="A876" s="197"/>
      <c r="B876" s="198"/>
      <c r="C876" s="197"/>
      <c r="D876" s="197"/>
      <c r="E876" s="197"/>
      <c r="F876" s="197"/>
      <c r="G876" s="197"/>
      <c r="H876" s="197"/>
      <c r="I876" s="197"/>
      <c r="J876" s="197"/>
      <c r="K876" s="197"/>
      <c r="L876" s="197"/>
      <c r="M876" s="197"/>
      <c r="N876" s="197"/>
      <c r="O876" s="197"/>
      <c r="P876" s="197"/>
      <c r="Q876" s="197"/>
      <c r="R876" s="197"/>
      <c r="S876" s="197"/>
      <c r="T876" s="197"/>
      <c r="U876" s="197"/>
      <c r="V876" s="197"/>
      <c r="W876" s="197"/>
      <c r="X876" s="197"/>
      <c r="Y876" s="197"/>
      <c r="Z876" s="197"/>
    </row>
    <row r="877" ht="12.0" customHeight="1">
      <c r="A877" s="197"/>
      <c r="B877" s="198"/>
      <c r="C877" s="197"/>
      <c r="D877" s="197"/>
      <c r="E877" s="197"/>
      <c r="F877" s="197"/>
      <c r="G877" s="197"/>
      <c r="H877" s="197"/>
      <c r="I877" s="197"/>
      <c r="J877" s="197"/>
      <c r="K877" s="197"/>
      <c r="L877" s="197"/>
      <c r="M877" s="197"/>
      <c r="N877" s="197"/>
      <c r="O877" s="197"/>
      <c r="P877" s="197"/>
      <c r="Q877" s="197"/>
      <c r="R877" s="197"/>
      <c r="S877" s="197"/>
      <c r="T877" s="197"/>
      <c r="U877" s="197"/>
      <c r="V877" s="197"/>
      <c r="W877" s="197"/>
      <c r="X877" s="197"/>
      <c r="Y877" s="197"/>
      <c r="Z877" s="197"/>
    </row>
    <row r="878" ht="12.0" customHeight="1">
      <c r="A878" s="197"/>
      <c r="B878" s="198"/>
      <c r="C878" s="197"/>
      <c r="D878" s="197"/>
      <c r="E878" s="197"/>
      <c r="F878" s="197"/>
      <c r="G878" s="197"/>
      <c r="H878" s="197"/>
      <c r="I878" s="197"/>
      <c r="J878" s="197"/>
      <c r="K878" s="197"/>
      <c r="L878" s="197"/>
      <c r="M878" s="197"/>
      <c r="N878" s="197"/>
      <c r="O878" s="197"/>
      <c r="P878" s="197"/>
      <c r="Q878" s="197"/>
      <c r="R878" s="197"/>
      <c r="S878" s="197"/>
      <c r="T878" s="197"/>
      <c r="U878" s="197"/>
      <c r="V878" s="197"/>
      <c r="W878" s="197"/>
      <c r="X878" s="197"/>
      <c r="Y878" s="197"/>
      <c r="Z878" s="197"/>
    </row>
    <row r="879" ht="12.0" customHeight="1">
      <c r="A879" s="197"/>
      <c r="B879" s="198"/>
      <c r="C879" s="197"/>
      <c r="D879" s="197"/>
      <c r="E879" s="197"/>
      <c r="F879" s="197"/>
      <c r="G879" s="197"/>
      <c r="H879" s="197"/>
      <c r="I879" s="197"/>
      <c r="J879" s="197"/>
      <c r="K879" s="197"/>
      <c r="L879" s="197"/>
      <c r="M879" s="197"/>
      <c r="N879" s="197"/>
      <c r="O879" s="197"/>
      <c r="P879" s="197"/>
      <c r="Q879" s="197"/>
      <c r="R879" s="197"/>
      <c r="S879" s="197"/>
      <c r="T879" s="197"/>
      <c r="U879" s="197"/>
      <c r="V879" s="197"/>
      <c r="W879" s="197"/>
      <c r="X879" s="197"/>
      <c r="Y879" s="197"/>
      <c r="Z879" s="197"/>
    </row>
    <row r="880" ht="12.0" customHeight="1">
      <c r="A880" s="197"/>
      <c r="B880" s="198"/>
      <c r="C880" s="197"/>
      <c r="D880" s="197"/>
      <c r="E880" s="197"/>
      <c r="F880" s="197"/>
      <c r="G880" s="197"/>
      <c r="H880" s="197"/>
      <c r="I880" s="197"/>
      <c r="J880" s="197"/>
      <c r="K880" s="197"/>
      <c r="L880" s="197"/>
      <c r="M880" s="197"/>
      <c r="N880" s="197"/>
      <c r="O880" s="197"/>
      <c r="P880" s="197"/>
      <c r="Q880" s="197"/>
      <c r="R880" s="197"/>
      <c r="S880" s="197"/>
      <c r="T880" s="197"/>
      <c r="U880" s="197"/>
      <c r="V880" s="197"/>
      <c r="W880" s="197"/>
      <c r="X880" s="197"/>
      <c r="Y880" s="197"/>
      <c r="Z880" s="197"/>
    </row>
    <row r="881" ht="12.0" customHeight="1">
      <c r="A881" s="197"/>
      <c r="B881" s="198"/>
      <c r="C881" s="197"/>
      <c r="D881" s="197"/>
      <c r="E881" s="197"/>
      <c r="F881" s="197"/>
      <c r="G881" s="197"/>
      <c r="H881" s="197"/>
      <c r="I881" s="197"/>
      <c r="J881" s="197"/>
      <c r="K881" s="197"/>
      <c r="L881" s="197"/>
      <c r="M881" s="197"/>
      <c r="N881" s="197"/>
      <c r="O881" s="197"/>
      <c r="P881" s="197"/>
      <c r="Q881" s="197"/>
      <c r="R881" s="197"/>
      <c r="S881" s="197"/>
      <c r="T881" s="197"/>
      <c r="U881" s="197"/>
      <c r="V881" s="197"/>
      <c r="W881" s="197"/>
      <c r="X881" s="197"/>
      <c r="Y881" s="197"/>
      <c r="Z881" s="197"/>
    </row>
    <row r="882" ht="12.0" customHeight="1">
      <c r="A882" s="197"/>
      <c r="B882" s="198"/>
      <c r="C882" s="197"/>
      <c r="D882" s="197"/>
      <c r="E882" s="197"/>
      <c r="F882" s="197"/>
      <c r="G882" s="197"/>
      <c r="H882" s="197"/>
      <c r="I882" s="197"/>
      <c r="J882" s="197"/>
      <c r="K882" s="197"/>
      <c r="L882" s="197"/>
      <c r="M882" s="197"/>
      <c r="N882" s="197"/>
      <c r="O882" s="197"/>
      <c r="P882" s="197"/>
      <c r="Q882" s="197"/>
      <c r="R882" s="197"/>
      <c r="S882" s="197"/>
      <c r="T882" s="197"/>
      <c r="U882" s="197"/>
      <c r="V882" s="197"/>
      <c r="W882" s="197"/>
      <c r="X882" s="197"/>
      <c r="Y882" s="197"/>
      <c r="Z882" s="197"/>
    </row>
    <row r="883" ht="12.0" customHeight="1">
      <c r="A883" s="197"/>
      <c r="B883" s="198"/>
      <c r="C883" s="197"/>
      <c r="D883" s="197"/>
      <c r="E883" s="197"/>
      <c r="F883" s="197"/>
      <c r="G883" s="197"/>
      <c r="H883" s="197"/>
      <c r="I883" s="197"/>
      <c r="J883" s="197"/>
      <c r="K883" s="197"/>
      <c r="L883" s="197"/>
      <c r="M883" s="197"/>
      <c r="N883" s="197"/>
      <c r="O883" s="197"/>
      <c r="P883" s="197"/>
      <c r="Q883" s="197"/>
      <c r="R883" s="197"/>
      <c r="S883" s="197"/>
      <c r="T883" s="197"/>
      <c r="U883" s="197"/>
      <c r="V883" s="197"/>
      <c r="W883" s="197"/>
      <c r="X883" s="197"/>
      <c r="Y883" s="197"/>
      <c r="Z883" s="197"/>
    </row>
    <row r="884" ht="12.0" customHeight="1">
      <c r="A884" s="197"/>
      <c r="B884" s="198"/>
      <c r="C884" s="197"/>
      <c r="D884" s="197"/>
      <c r="E884" s="197"/>
      <c r="F884" s="197"/>
      <c r="G884" s="197"/>
      <c r="H884" s="197"/>
      <c r="I884" s="197"/>
      <c r="J884" s="197"/>
      <c r="K884" s="197"/>
      <c r="L884" s="197"/>
      <c r="M884" s="197"/>
      <c r="N884" s="197"/>
      <c r="O884" s="197"/>
      <c r="P884" s="197"/>
      <c r="Q884" s="197"/>
      <c r="R884" s="197"/>
      <c r="S884" s="197"/>
      <c r="T884" s="197"/>
      <c r="U884" s="197"/>
      <c r="V884" s="197"/>
      <c r="W884" s="197"/>
      <c r="X884" s="197"/>
      <c r="Y884" s="197"/>
      <c r="Z884" s="197"/>
    </row>
    <row r="885" ht="12.0" customHeight="1">
      <c r="A885" s="197"/>
      <c r="B885" s="198"/>
      <c r="C885" s="197"/>
      <c r="D885" s="197"/>
      <c r="E885" s="197"/>
      <c r="F885" s="197"/>
      <c r="G885" s="197"/>
      <c r="H885" s="197"/>
      <c r="I885" s="197"/>
      <c r="J885" s="197"/>
      <c r="K885" s="197"/>
      <c r="L885" s="197"/>
      <c r="M885" s="197"/>
      <c r="N885" s="197"/>
      <c r="O885" s="197"/>
      <c r="P885" s="197"/>
      <c r="Q885" s="197"/>
      <c r="R885" s="197"/>
      <c r="S885" s="197"/>
      <c r="T885" s="197"/>
      <c r="U885" s="197"/>
      <c r="V885" s="197"/>
      <c r="W885" s="197"/>
      <c r="X885" s="197"/>
      <c r="Y885" s="197"/>
      <c r="Z885" s="197"/>
    </row>
    <row r="886" ht="12.0" customHeight="1">
      <c r="A886" s="197"/>
      <c r="B886" s="198"/>
      <c r="C886" s="197"/>
      <c r="D886" s="197"/>
      <c r="E886" s="197"/>
      <c r="F886" s="197"/>
      <c r="G886" s="197"/>
      <c r="H886" s="197"/>
      <c r="I886" s="197"/>
      <c r="J886" s="197"/>
      <c r="K886" s="197"/>
      <c r="L886" s="197"/>
      <c r="M886" s="197"/>
      <c r="N886" s="197"/>
      <c r="O886" s="197"/>
      <c r="P886" s="197"/>
      <c r="Q886" s="197"/>
      <c r="R886" s="197"/>
      <c r="S886" s="197"/>
      <c r="T886" s="197"/>
      <c r="U886" s="197"/>
      <c r="V886" s="197"/>
      <c r="W886" s="197"/>
      <c r="X886" s="197"/>
      <c r="Y886" s="197"/>
      <c r="Z886" s="197"/>
    </row>
    <row r="887" ht="12.0" customHeight="1">
      <c r="A887" s="197"/>
      <c r="B887" s="198"/>
      <c r="C887" s="197"/>
      <c r="D887" s="197"/>
      <c r="E887" s="197"/>
      <c r="F887" s="197"/>
      <c r="G887" s="197"/>
      <c r="H887" s="197"/>
      <c r="I887" s="197"/>
      <c r="J887" s="197"/>
      <c r="K887" s="197"/>
      <c r="L887" s="197"/>
      <c r="M887" s="197"/>
      <c r="N887" s="197"/>
      <c r="O887" s="197"/>
      <c r="P887" s="197"/>
      <c r="Q887" s="197"/>
      <c r="R887" s="197"/>
      <c r="S887" s="197"/>
      <c r="T887" s="197"/>
      <c r="U887" s="197"/>
      <c r="V887" s="197"/>
      <c r="W887" s="197"/>
      <c r="X887" s="197"/>
      <c r="Y887" s="197"/>
      <c r="Z887" s="197"/>
    </row>
    <row r="888" ht="12.0" customHeight="1">
      <c r="A888" s="197"/>
      <c r="B888" s="198"/>
      <c r="C888" s="197"/>
      <c r="D888" s="197"/>
      <c r="E888" s="197"/>
      <c r="F888" s="197"/>
      <c r="G888" s="197"/>
      <c r="H888" s="197"/>
      <c r="I888" s="197"/>
      <c r="J888" s="197"/>
      <c r="K888" s="197"/>
      <c r="L888" s="197"/>
      <c r="M888" s="197"/>
      <c r="N888" s="197"/>
      <c r="O888" s="197"/>
      <c r="P888" s="197"/>
      <c r="Q888" s="197"/>
      <c r="R888" s="197"/>
      <c r="S888" s="197"/>
      <c r="T888" s="197"/>
      <c r="U888" s="197"/>
      <c r="V888" s="197"/>
      <c r="W888" s="197"/>
      <c r="X888" s="197"/>
      <c r="Y888" s="197"/>
      <c r="Z888" s="197"/>
    </row>
    <row r="889" ht="12.0" customHeight="1">
      <c r="A889" s="197"/>
      <c r="B889" s="198"/>
      <c r="C889" s="197"/>
      <c r="D889" s="197"/>
      <c r="E889" s="197"/>
      <c r="F889" s="197"/>
      <c r="G889" s="197"/>
      <c r="H889" s="197"/>
      <c r="I889" s="197"/>
      <c r="J889" s="197"/>
      <c r="K889" s="197"/>
      <c r="L889" s="197"/>
      <c r="M889" s="197"/>
      <c r="N889" s="197"/>
      <c r="O889" s="197"/>
      <c r="P889" s="197"/>
      <c r="Q889" s="197"/>
      <c r="R889" s="197"/>
      <c r="S889" s="197"/>
      <c r="T889" s="197"/>
      <c r="U889" s="197"/>
      <c r="V889" s="197"/>
      <c r="W889" s="197"/>
      <c r="X889" s="197"/>
      <c r="Y889" s="197"/>
      <c r="Z889" s="197"/>
    </row>
    <row r="890" ht="12.0" customHeight="1">
      <c r="A890" s="197"/>
      <c r="B890" s="198"/>
      <c r="C890" s="197"/>
      <c r="D890" s="197"/>
      <c r="E890" s="197"/>
      <c r="F890" s="197"/>
      <c r="G890" s="197"/>
      <c r="H890" s="197"/>
      <c r="I890" s="197"/>
      <c r="J890" s="197"/>
      <c r="K890" s="197"/>
      <c r="L890" s="197"/>
      <c r="M890" s="197"/>
      <c r="N890" s="197"/>
      <c r="O890" s="197"/>
      <c r="P890" s="197"/>
      <c r="Q890" s="197"/>
      <c r="R890" s="197"/>
      <c r="S890" s="197"/>
      <c r="T890" s="197"/>
      <c r="U890" s="197"/>
      <c r="V890" s="197"/>
      <c r="W890" s="197"/>
      <c r="X890" s="197"/>
      <c r="Y890" s="197"/>
      <c r="Z890" s="197"/>
    </row>
    <row r="891" ht="12.0" customHeight="1">
      <c r="A891" s="197"/>
      <c r="B891" s="198"/>
      <c r="C891" s="197"/>
      <c r="D891" s="197"/>
      <c r="E891" s="197"/>
      <c r="F891" s="197"/>
      <c r="G891" s="197"/>
      <c r="H891" s="197"/>
      <c r="I891" s="197"/>
      <c r="J891" s="197"/>
      <c r="K891" s="197"/>
      <c r="L891" s="197"/>
      <c r="M891" s="197"/>
      <c r="N891" s="197"/>
      <c r="O891" s="197"/>
      <c r="P891" s="197"/>
      <c r="Q891" s="197"/>
      <c r="R891" s="197"/>
      <c r="S891" s="197"/>
      <c r="T891" s="197"/>
      <c r="U891" s="197"/>
      <c r="V891" s="197"/>
      <c r="W891" s="197"/>
      <c r="X891" s="197"/>
      <c r="Y891" s="197"/>
      <c r="Z891" s="197"/>
    </row>
    <row r="892" ht="12.0" customHeight="1">
      <c r="A892" s="197"/>
      <c r="B892" s="198"/>
      <c r="C892" s="197"/>
      <c r="D892" s="197"/>
      <c r="E892" s="197"/>
      <c r="F892" s="197"/>
      <c r="G892" s="197"/>
      <c r="H892" s="197"/>
      <c r="I892" s="197"/>
      <c r="J892" s="197"/>
      <c r="K892" s="197"/>
      <c r="L892" s="197"/>
      <c r="M892" s="197"/>
      <c r="N892" s="197"/>
      <c r="O892" s="197"/>
      <c r="P892" s="197"/>
      <c r="Q892" s="197"/>
      <c r="R892" s="197"/>
      <c r="S892" s="197"/>
      <c r="T892" s="197"/>
      <c r="U892" s="197"/>
      <c r="V892" s="197"/>
      <c r="W892" s="197"/>
      <c r="X892" s="197"/>
      <c r="Y892" s="197"/>
      <c r="Z892" s="197"/>
    </row>
    <row r="893" ht="12.0" customHeight="1">
      <c r="A893" s="197"/>
      <c r="B893" s="198"/>
      <c r="C893" s="197"/>
      <c r="D893" s="197"/>
      <c r="E893" s="197"/>
      <c r="F893" s="197"/>
      <c r="G893" s="197"/>
      <c r="H893" s="197"/>
      <c r="I893" s="197"/>
      <c r="J893" s="197"/>
      <c r="K893" s="197"/>
      <c r="L893" s="197"/>
      <c r="M893" s="197"/>
      <c r="N893" s="197"/>
      <c r="O893" s="197"/>
      <c r="P893" s="197"/>
      <c r="Q893" s="197"/>
      <c r="R893" s="197"/>
      <c r="S893" s="197"/>
      <c r="T893" s="197"/>
      <c r="U893" s="197"/>
      <c r="V893" s="197"/>
      <c r="W893" s="197"/>
      <c r="X893" s="197"/>
      <c r="Y893" s="197"/>
      <c r="Z893" s="197"/>
    </row>
    <row r="894" ht="12.0" customHeight="1">
      <c r="A894" s="197"/>
      <c r="B894" s="198"/>
      <c r="C894" s="197"/>
      <c r="D894" s="197"/>
      <c r="E894" s="197"/>
      <c r="F894" s="197"/>
      <c r="G894" s="197"/>
      <c r="H894" s="197"/>
      <c r="I894" s="197"/>
      <c r="J894" s="197"/>
      <c r="K894" s="197"/>
      <c r="L894" s="197"/>
      <c r="M894" s="197"/>
      <c r="N894" s="197"/>
      <c r="O894" s="197"/>
      <c r="P894" s="197"/>
      <c r="Q894" s="197"/>
      <c r="R894" s="197"/>
      <c r="S894" s="197"/>
      <c r="T894" s="197"/>
      <c r="U894" s="197"/>
      <c r="V894" s="197"/>
      <c r="W894" s="197"/>
      <c r="X894" s="197"/>
      <c r="Y894" s="197"/>
      <c r="Z894" s="197"/>
    </row>
    <row r="895" ht="12.0" customHeight="1">
      <c r="A895" s="197"/>
      <c r="B895" s="198"/>
      <c r="C895" s="197"/>
      <c r="D895" s="197"/>
      <c r="E895" s="197"/>
      <c r="F895" s="197"/>
      <c r="G895" s="197"/>
      <c r="H895" s="197"/>
      <c r="I895" s="197"/>
      <c r="J895" s="197"/>
      <c r="K895" s="197"/>
      <c r="L895" s="197"/>
      <c r="M895" s="197"/>
      <c r="N895" s="197"/>
      <c r="O895" s="197"/>
      <c r="P895" s="197"/>
      <c r="Q895" s="197"/>
      <c r="R895" s="197"/>
      <c r="S895" s="197"/>
      <c r="T895" s="197"/>
      <c r="U895" s="197"/>
      <c r="V895" s="197"/>
      <c r="W895" s="197"/>
      <c r="X895" s="197"/>
      <c r="Y895" s="197"/>
      <c r="Z895" s="197"/>
    </row>
    <row r="896" ht="12.0" customHeight="1">
      <c r="A896" s="197"/>
      <c r="B896" s="198"/>
      <c r="C896" s="197"/>
      <c r="D896" s="197"/>
      <c r="E896" s="197"/>
      <c r="F896" s="197"/>
      <c r="G896" s="197"/>
      <c r="H896" s="197"/>
      <c r="I896" s="197"/>
      <c r="J896" s="197"/>
      <c r="K896" s="197"/>
      <c r="L896" s="197"/>
      <c r="M896" s="197"/>
      <c r="N896" s="197"/>
      <c r="O896" s="197"/>
      <c r="P896" s="197"/>
      <c r="Q896" s="197"/>
      <c r="R896" s="197"/>
      <c r="S896" s="197"/>
      <c r="T896" s="197"/>
      <c r="U896" s="197"/>
      <c r="V896" s="197"/>
      <c r="W896" s="197"/>
      <c r="X896" s="197"/>
      <c r="Y896" s="197"/>
      <c r="Z896" s="197"/>
    </row>
    <row r="897" ht="12.0" customHeight="1">
      <c r="A897" s="197"/>
      <c r="B897" s="198"/>
      <c r="C897" s="197"/>
      <c r="D897" s="197"/>
      <c r="E897" s="197"/>
      <c r="F897" s="197"/>
      <c r="G897" s="197"/>
      <c r="H897" s="197"/>
      <c r="I897" s="197"/>
      <c r="J897" s="197"/>
      <c r="K897" s="197"/>
      <c r="L897" s="197"/>
      <c r="M897" s="197"/>
      <c r="N897" s="197"/>
      <c r="O897" s="197"/>
      <c r="P897" s="197"/>
      <c r="Q897" s="197"/>
      <c r="R897" s="197"/>
      <c r="S897" s="197"/>
      <c r="T897" s="197"/>
      <c r="U897" s="197"/>
      <c r="V897" s="197"/>
      <c r="W897" s="197"/>
      <c r="X897" s="197"/>
      <c r="Y897" s="197"/>
      <c r="Z897" s="197"/>
    </row>
    <row r="898" ht="12.0" customHeight="1">
      <c r="A898" s="197"/>
      <c r="B898" s="198"/>
      <c r="C898" s="197"/>
      <c r="D898" s="197"/>
      <c r="E898" s="197"/>
      <c r="F898" s="197"/>
      <c r="G898" s="197"/>
      <c r="H898" s="197"/>
      <c r="I898" s="197"/>
      <c r="J898" s="197"/>
      <c r="K898" s="197"/>
      <c r="L898" s="197"/>
      <c r="M898" s="197"/>
      <c r="N898" s="197"/>
      <c r="O898" s="197"/>
      <c r="P898" s="197"/>
      <c r="Q898" s="197"/>
      <c r="R898" s="197"/>
      <c r="S898" s="197"/>
      <c r="T898" s="197"/>
      <c r="U898" s="197"/>
      <c r="V898" s="197"/>
      <c r="W898" s="197"/>
      <c r="X898" s="197"/>
      <c r="Y898" s="197"/>
      <c r="Z898" s="197"/>
    </row>
    <row r="899" ht="12.0" customHeight="1">
      <c r="A899" s="197"/>
      <c r="B899" s="198"/>
      <c r="C899" s="197"/>
      <c r="D899" s="197"/>
      <c r="E899" s="197"/>
      <c r="F899" s="197"/>
      <c r="G899" s="197"/>
      <c r="H899" s="197"/>
      <c r="I899" s="197"/>
      <c r="J899" s="197"/>
      <c r="K899" s="197"/>
      <c r="L899" s="197"/>
      <c r="M899" s="197"/>
      <c r="N899" s="197"/>
      <c r="O899" s="197"/>
      <c r="P899" s="197"/>
      <c r="Q899" s="197"/>
      <c r="R899" s="197"/>
      <c r="S899" s="197"/>
      <c r="T899" s="197"/>
      <c r="U899" s="197"/>
      <c r="V899" s="197"/>
      <c r="W899" s="197"/>
      <c r="X899" s="197"/>
      <c r="Y899" s="197"/>
      <c r="Z899" s="197"/>
    </row>
    <row r="900" ht="12.0" customHeight="1">
      <c r="A900" s="197"/>
      <c r="B900" s="198"/>
      <c r="C900" s="197"/>
      <c r="D900" s="197"/>
      <c r="E900" s="197"/>
      <c r="F900" s="197"/>
      <c r="G900" s="197"/>
      <c r="H900" s="197"/>
      <c r="I900" s="197"/>
      <c r="J900" s="197"/>
      <c r="K900" s="197"/>
      <c r="L900" s="197"/>
      <c r="M900" s="197"/>
      <c r="N900" s="197"/>
      <c r="O900" s="197"/>
      <c r="P900" s="197"/>
      <c r="Q900" s="197"/>
      <c r="R900" s="197"/>
      <c r="S900" s="197"/>
      <c r="T900" s="197"/>
      <c r="U900" s="197"/>
      <c r="V900" s="197"/>
      <c r="W900" s="197"/>
      <c r="X900" s="197"/>
      <c r="Y900" s="197"/>
      <c r="Z900" s="197"/>
    </row>
    <row r="901" ht="12.0" customHeight="1">
      <c r="A901" s="197"/>
      <c r="B901" s="198"/>
      <c r="C901" s="197"/>
      <c r="D901" s="197"/>
      <c r="E901" s="197"/>
      <c r="F901" s="197"/>
      <c r="G901" s="197"/>
      <c r="H901" s="197"/>
      <c r="I901" s="197"/>
      <c r="J901" s="197"/>
      <c r="K901" s="197"/>
      <c r="L901" s="197"/>
      <c r="M901" s="197"/>
      <c r="N901" s="197"/>
      <c r="O901" s="197"/>
      <c r="P901" s="197"/>
      <c r="Q901" s="197"/>
      <c r="R901" s="197"/>
      <c r="S901" s="197"/>
      <c r="T901" s="197"/>
      <c r="U901" s="197"/>
      <c r="V901" s="197"/>
      <c r="W901" s="197"/>
      <c r="X901" s="197"/>
      <c r="Y901" s="197"/>
      <c r="Z901" s="197"/>
    </row>
    <row r="902" ht="12.0" customHeight="1">
      <c r="A902" s="197"/>
      <c r="B902" s="198"/>
      <c r="C902" s="197"/>
      <c r="D902" s="197"/>
      <c r="E902" s="197"/>
      <c r="F902" s="197"/>
      <c r="G902" s="197"/>
      <c r="H902" s="197"/>
      <c r="I902" s="197"/>
      <c r="J902" s="197"/>
      <c r="K902" s="197"/>
      <c r="L902" s="197"/>
      <c r="M902" s="197"/>
      <c r="N902" s="197"/>
      <c r="O902" s="197"/>
      <c r="P902" s="197"/>
      <c r="Q902" s="197"/>
      <c r="R902" s="197"/>
      <c r="S902" s="197"/>
      <c r="T902" s="197"/>
      <c r="U902" s="197"/>
      <c r="V902" s="197"/>
      <c r="W902" s="197"/>
      <c r="X902" s="197"/>
      <c r="Y902" s="197"/>
      <c r="Z902" s="197"/>
    </row>
    <row r="903" ht="12.0" customHeight="1">
      <c r="A903" s="197"/>
      <c r="B903" s="198"/>
      <c r="C903" s="197"/>
      <c r="D903" s="197"/>
      <c r="E903" s="197"/>
      <c r="F903" s="197"/>
      <c r="G903" s="197"/>
      <c r="H903" s="197"/>
      <c r="I903" s="197"/>
      <c r="J903" s="197"/>
      <c r="K903" s="197"/>
      <c r="L903" s="197"/>
      <c r="M903" s="197"/>
      <c r="N903" s="197"/>
      <c r="O903" s="197"/>
      <c r="P903" s="197"/>
      <c r="Q903" s="197"/>
      <c r="R903" s="197"/>
      <c r="S903" s="197"/>
      <c r="T903" s="197"/>
      <c r="U903" s="197"/>
      <c r="V903" s="197"/>
      <c r="W903" s="197"/>
      <c r="X903" s="197"/>
      <c r="Y903" s="197"/>
      <c r="Z903" s="197"/>
    </row>
    <row r="904" ht="12.0" customHeight="1">
      <c r="A904" s="197"/>
      <c r="B904" s="198"/>
      <c r="C904" s="197"/>
      <c r="D904" s="197"/>
      <c r="E904" s="197"/>
      <c r="F904" s="197"/>
      <c r="G904" s="197"/>
      <c r="H904" s="197"/>
      <c r="I904" s="197"/>
      <c r="J904" s="197"/>
      <c r="K904" s="197"/>
      <c r="L904" s="197"/>
      <c r="M904" s="197"/>
      <c r="N904" s="197"/>
      <c r="O904" s="197"/>
      <c r="P904" s="197"/>
      <c r="Q904" s="197"/>
      <c r="R904" s="197"/>
      <c r="S904" s="197"/>
      <c r="T904" s="197"/>
      <c r="U904" s="197"/>
      <c r="V904" s="197"/>
      <c r="W904" s="197"/>
      <c r="X904" s="197"/>
      <c r="Y904" s="197"/>
      <c r="Z904" s="197"/>
    </row>
    <row r="905" ht="12.0" customHeight="1">
      <c r="A905" s="197"/>
      <c r="B905" s="198"/>
      <c r="C905" s="197"/>
      <c r="D905" s="197"/>
      <c r="E905" s="197"/>
      <c r="F905" s="197"/>
      <c r="G905" s="197"/>
      <c r="H905" s="197"/>
      <c r="I905" s="197"/>
      <c r="J905" s="197"/>
      <c r="K905" s="197"/>
      <c r="L905" s="197"/>
      <c r="M905" s="197"/>
      <c r="N905" s="197"/>
      <c r="O905" s="197"/>
      <c r="P905" s="197"/>
      <c r="Q905" s="197"/>
      <c r="R905" s="197"/>
      <c r="S905" s="197"/>
      <c r="T905" s="197"/>
      <c r="U905" s="197"/>
      <c r="V905" s="197"/>
      <c r="W905" s="197"/>
      <c r="X905" s="197"/>
      <c r="Y905" s="197"/>
      <c r="Z905" s="197"/>
    </row>
    <row r="906" ht="12.0" customHeight="1">
      <c r="A906" s="197"/>
      <c r="B906" s="198"/>
      <c r="C906" s="197"/>
      <c r="D906" s="197"/>
      <c r="E906" s="197"/>
      <c r="F906" s="197"/>
      <c r="G906" s="197"/>
      <c r="H906" s="197"/>
      <c r="I906" s="197"/>
      <c r="J906" s="197"/>
      <c r="K906" s="197"/>
      <c r="L906" s="197"/>
      <c r="M906" s="197"/>
      <c r="N906" s="197"/>
      <c r="O906" s="197"/>
      <c r="P906" s="197"/>
      <c r="Q906" s="197"/>
      <c r="R906" s="197"/>
      <c r="S906" s="197"/>
      <c r="T906" s="197"/>
      <c r="U906" s="197"/>
      <c r="V906" s="197"/>
      <c r="W906" s="197"/>
      <c r="X906" s="197"/>
      <c r="Y906" s="197"/>
      <c r="Z906" s="197"/>
    </row>
    <row r="907" ht="12.0" customHeight="1">
      <c r="A907" s="197"/>
      <c r="B907" s="198"/>
      <c r="C907" s="197"/>
      <c r="D907" s="197"/>
      <c r="E907" s="197"/>
      <c r="F907" s="197"/>
      <c r="G907" s="197"/>
      <c r="H907" s="197"/>
      <c r="I907" s="197"/>
      <c r="J907" s="197"/>
      <c r="K907" s="197"/>
      <c r="L907" s="197"/>
      <c r="M907" s="197"/>
      <c r="N907" s="197"/>
      <c r="O907" s="197"/>
      <c r="P907" s="197"/>
      <c r="Q907" s="197"/>
      <c r="R907" s="197"/>
      <c r="S907" s="197"/>
      <c r="T907" s="197"/>
      <c r="U907" s="197"/>
      <c r="V907" s="197"/>
      <c r="W907" s="197"/>
      <c r="X907" s="197"/>
      <c r="Y907" s="197"/>
      <c r="Z907" s="197"/>
    </row>
    <row r="908" ht="12.0" customHeight="1">
      <c r="A908" s="197"/>
      <c r="B908" s="198"/>
      <c r="C908" s="197"/>
      <c r="D908" s="197"/>
      <c r="E908" s="197"/>
      <c r="F908" s="197"/>
      <c r="G908" s="197"/>
      <c r="H908" s="197"/>
      <c r="I908" s="197"/>
      <c r="J908" s="197"/>
      <c r="K908" s="197"/>
      <c r="L908" s="197"/>
      <c r="M908" s="197"/>
      <c r="N908" s="197"/>
      <c r="O908" s="197"/>
      <c r="P908" s="197"/>
      <c r="Q908" s="197"/>
      <c r="R908" s="197"/>
      <c r="S908" s="197"/>
      <c r="T908" s="197"/>
      <c r="U908" s="197"/>
      <c r="V908" s="197"/>
      <c r="W908" s="197"/>
      <c r="X908" s="197"/>
      <c r="Y908" s="197"/>
      <c r="Z908" s="197"/>
    </row>
    <row r="909" ht="12.0" customHeight="1">
      <c r="A909" s="197"/>
      <c r="B909" s="198"/>
      <c r="C909" s="197"/>
      <c r="D909" s="197"/>
      <c r="E909" s="197"/>
      <c r="F909" s="197"/>
      <c r="G909" s="197"/>
      <c r="H909" s="197"/>
      <c r="I909" s="197"/>
      <c r="J909" s="197"/>
      <c r="K909" s="197"/>
      <c r="L909" s="197"/>
      <c r="M909" s="197"/>
      <c r="N909" s="197"/>
      <c r="O909" s="197"/>
      <c r="P909" s="197"/>
      <c r="Q909" s="197"/>
      <c r="R909" s="197"/>
      <c r="S909" s="197"/>
      <c r="T909" s="197"/>
      <c r="U909" s="197"/>
      <c r="V909" s="197"/>
      <c r="W909" s="197"/>
      <c r="X909" s="197"/>
      <c r="Y909" s="197"/>
      <c r="Z909" s="197"/>
    </row>
    <row r="910" ht="12.0" customHeight="1">
      <c r="A910" s="197"/>
      <c r="B910" s="198"/>
      <c r="C910" s="197"/>
      <c r="D910" s="197"/>
      <c r="E910" s="197"/>
      <c r="F910" s="197"/>
      <c r="G910" s="197"/>
      <c r="H910" s="197"/>
      <c r="I910" s="197"/>
      <c r="J910" s="197"/>
      <c r="K910" s="197"/>
      <c r="L910" s="197"/>
      <c r="M910" s="197"/>
      <c r="N910" s="197"/>
      <c r="O910" s="197"/>
      <c r="P910" s="197"/>
      <c r="Q910" s="197"/>
      <c r="R910" s="197"/>
      <c r="S910" s="197"/>
      <c r="T910" s="197"/>
      <c r="U910" s="197"/>
      <c r="V910" s="197"/>
      <c r="W910" s="197"/>
      <c r="X910" s="197"/>
      <c r="Y910" s="197"/>
      <c r="Z910" s="197"/>
    </row>
    <row r="911" ht="12.0" customHeight="1">
      <c r="A911" s="197"/>
      <c r="B911" s="198"/>
      <c r="C911" s="197"/>
      <c r="D911" s="197"/>
      <c r="E911" s="197"/>
      <c r="F911" s="197"/>
      <c r="G911" s="197"/>
      <c r="H911" s="197"/>
      <c r="I911" s="197"/>
      <c r="J911" s="197"/>
      <c r="K911" s="197"/>
      <c r="L911" s="197"/>
      <c r="M911" s="197"/>
      <c r="N911" s="197"/>
      <c r="O911" s="197"/>
      <c r="P911" s="197"/>
      <c r="Q911" s="197"/>
      <c r="R911" s="197"/>
      <c r="S911" s="197"/>
      <c r="T911" s="197"/>
      <c r="U911" s="197"/>
      <c r="V911" s="197"/>
      <c r="W911" s="197"/>
      <c r="X911" s="197"/>
      <c r="Y911" s="197"/>
      <c r="Z911" s="197"/>
    </row>
    <row r="912" ht="12.0" customHeight="1">
      <c r="A912" s="197"/>
      <c r="B912" s="198"/>
      <c r="C912" s="197"/>
      <c r="D912" s="197"/>
      <c r="E912" s="197"/>
      <c r="F912" s="197"/>
      <c r="G912" s="197"/>
      <c r="H912" s="197"/>
      <c r="I912" s="197"/>
      <c r="J912" s="197"/>
      <c r="K912" s="197"/>
      <c r="L912" s="197"/>
      <c r="M912" s="197"/>
      <c r="N912" s="197"/>
      <c r="O912" s="197"/>
      <c r="P912" s="197"/>
      <c r="Q912" s="197"/>
      <c r="R912" s="197"/>
      <c r="S912" s="197"/>
      <c r="T912" s="197"/>
      <c r="U912" s="197"/>
      <c r="V912" s="197"/>
      <c r="W912" s="197"/>
      <c r="X912" s="197"/>
      <c r="Y912" s="197"/>
      <c r="Z912" s="197"/>
    </row>
    <row r="913" ht="12.0" customHeight="1">
      <c r="A913" s="197"/>
      <c r="B913" s="198"/>
      <c r="C913" s="197"/>
      <c r="D913" s="197"/>
      <c r="E913" s="197"/>
      <c r="F913" s="197"/>
      <c r="G913" s="197"/>
      <c r="H913" s="197"/>
      <c r="I913" s="197"/>
      <c r="J913" s="197"/>
      <c r="K913" s="197"/>
      <c r="L913" s="197"/>
      <c r="M913" s="197"/>
      <c r="N913" s="197"/>
      <c r="O913" s="197"/>
      <c r="P913" s="197"/>
      <c r="Q913" s="197"/>
      <c r="R913" s="197"/>
      <c r="S913" s="197"/>
      <c r="T913" s="197"/>
      <c r="U913" s="197"/>
      <c r="V913" s="197"/>
      <c r="W913" s="197"/>
      <c r="X913" s="197"/>
      <c r="Y913" s="197"/>
      <c r="Z913" s="197"/>
    </row>
    <row r="914" ht="12.0" customHeight="1">
      <c r="A914" s="197"/>
      <c r="B914" s="198"/>
      <c r="C914" s="197"/>
      <c r="D914" s="197"/>
      <c r="E914" s="197"/>
      <c r="F914" s="197"/>
      <c r="G914" s="197"/>
      <c r="H914" s="197"/>
      <c r="I914" s="197"/>
      <c r="J914" s="197"/>
      <c r="K914" s="197"/>
      <c r="L914" s="197"/>
      <c r="M914" s="197"/>
      <c r="N914" s="197"/>
      <c r="O914" s="197"/>
      <c r="P914" s="197"/>
      <c r="Q914" s="197"/>
      <c r="R914" s="197"/>
      <c r="S914" s="197"/>
      <c r="T914" s="197"/>
      <c r="U914" s="197"/>
      <c r="V914" s="197"/>
      <c r="W914" s="197"/>
      <c r="X914" s="197"/>
      <c r="Y914" s="197"/>
      <c r="Z914" s="197"/>
    </row>
    <row r="915" ht="12.0" customHeight="1">
      <c r="A915" s="197"/>
      <c r="B915" s="198"/>
      <c r="C915" s="197"/>
      <c r="D915" s="197"/>
      <c r="E915" s="197"/>
      <c r="F915" s="197"/>
      <c r="G915" s="197"/>
      <c r="H915" s="197"/>
      <c r="I915" s="197"/>
      <c r="J915" s="197"/>
      <c r="K915" s="197"/>
      <c r="L915" s="197"/>
      <c r="M915" s="197"/>
      <c r="N915" s="197"/>
      <c r="O915" s="197"/>
      <c r="P915" s="197"/>
      <c r="Q915" s="197"/>
      <c r="R915" s="197"/>
      <c r="S915" s="197"/>
      <c r="T915" s="197"/>
      <c r="U915" s="197"/>
      <c r="V915" s="197"/>
      <c r="W915" s="197"/>
      <c r="X915" s="197"/>
      <c r="Y915" s="197"/>
      <c r="Z915" s="197"/>
    </row>
    <row r="916" ht="12.0" customHeight="1">
      <c r="A916" s="197"/>
      <c r="B916" s="198"/>
      <c r="C916" s="197"/>
      <c r="D916" s="197"/>
      <c r="E916" s="197"/>
      <c r="F916" s="197"/>
      <c r="G916" s="197"/>
      <c r="H916" s="197"/>
      <c r="I916" s="197"/>
      <c r="J916" s="197"/>
      <c r="K916" s="197"/>
      <c r="L916" s="197"/>
      <c r="M916" s="197"/>
      <c r="N916" s="197"/>
      <c r="O916" s="197"/>
      <c r="P916" s="197"/>
      <c r="Q916" s="197"/>
      <c r="R916" s="197"/>
      <c r="S916" s="197"/>
      <c r="T916" s="197"/>
      <c r="U916" s="197"/>
      <c r="V916" s="197"/>
      <c r="W916" s="197"/>
      <c r="X916" s="197"/>
      <c r="Y916" s="197"/>
      <c r="Z916" s="197"/>
    </row>
    <row r="917" ht="12.0" customHeight="1">
      <c r="A917" s="197"/>
      <c r="B917" s="198"/>
      <c r="C917" s="197"/>
      <c r="D917" s="197"/>
      <c r="E917" s="197"/>
      <c r="F917" s="197"/>
      <c r="G917" s="197"/>
      <c r="H917" s="197"/>
      <c r="I917" s="197"/>
      <c r="J917" s="197"/>
      <c r="K917" s="197"/>
      <c r="L917" s="197"/>
      <c r="M917" s="197"/>
      <c r="N917" s="197"/>
      <c r="O917" s="197"/>
      <c r="P917" s="197"/>
      <c r="Q917" s="197"/>
      <c r="R917" s="197"/>
      <c r="S917" s="197"/>
      <c r="T917" s="197"/>
      <c r="U917" s="197"/>
      <c r="V917" s="197"/>
      <c r="W917" s="197"/>
      <c r="X917" s="197"/>
      <c r="Y917" s="197"/>
      <c r="Z917" s="197"/>
    </row>
    <row r="918" ht="12.0" customHeight="1">
      <c r="A918" s="197"/>
      <c r="B918" s="198"/>
      <c r="C918" s="197"/>
      <c r="D918" s="197"/>
      <c r="E918" s="197"/>
      <c r="F918" s="197"/>
      <c r="G918" s="197"/>
      <c r="H918" s="197"/>
      <c r="I918" s="197"/>
      <c r="J918" s="197"/>
      <c r="K918" s="197"/>
      <c r="L918" s="197"/>
      <c r="M918" s="197"/>
      <c r="N918" s="197"/>
      <c r="O918" s="197"/>
      <c r="P918" s="197"/>
      <c r="Q918" s="197"/>
      <c r="R918" s="197"/>
      <c r="S918" s="197"/>
      <c r="T918" s="197"/>
      <c r="U918" s="197"/>
      <c r="V918" s="197"/>
      <c r="W918" s="197"/>
      <c r="X918" s="197"/>
      <c r="Y918" s="197"/>
      <c r="Z918" s="197"/>
    </row>
    <row r="919" ht="12.0" customHeight="1">
      <c r="A919" s="197"/>
      <c r="B919" s="198"/>
      <c r="C919" s="197"/>
      <c r="D919" s="197"/>
      <c r="E919" s="197"/>
      <c r="F919" s="197"/>
      <c r="G919" s="197"/>
      <c r="H919" s="197"/>
      <c r="I919" s="197"/>
      <c r="J919" s="197"/>
      <c r="K919" s="197"/>
      <c r="L919" s="197"/>
      <c r="M919" s="197"/>
      <c r="N919" s="197"/>
      <c r="O919" s="197"/>
      <c r="P919" s="197"/>
      <c r="Q919" s="197"/>
      <c r="R919" s="197"/>
      <c r="S919" s="197"/>
      <c r="T919" s="197"/>
      <c r="U919" s="197"/>
      <c r="V919" s="197"/>
      <c r="W919" s="197"/>
      <c r="X919" s="197"/>
      <c r="Y919" s="197"/>
      <c r="Z919" s="197"/>
    </row>
    <row r="920" ht="12.0" customHeight="1">
      <c r="A920" s="197"/>
      <c r="B920" s="198"/>
      <c r="C920" s="197"/>
      <c r="D920" s="197"/>
      <c r="E920" s="197"/>
      <c r="F920" s="197"/>
      <c r="G920" s="197"/>
      <c r="H920" s="197"/>
      <c r="I920" s="197"/>
      <c r="J920" s="197"/>
      <c r="K920" s="197"/>
      <c r="L920" s="197"/>
      <c r="M920" s="197"/>
      <c r="N920" s="197"/>
      <c r="O920" s="197"/>
      <c r="P920" s="197"/>
      <c r="Q920" s="197"/>
      <c r="R920" s="197"/>
      <c r="S920" s="197"/>
      <c r="T920" s="197"/>
      <c r="U920" s="197"/>
      <c r="V920" s="197"/>
      <c r="W920" s="197"/>
      <c r="X920" s="197"/>
      <c r="Y920" s="197"/>
      <c r="Z920" s="197"/>
    </row>
    <row r="921" ht="12.0" customHeight="1">
      <c r="A921" s="197"/>
      <c r="B921" s="198"/>
      <c r="C921" s="197"/>
      <c r="D921" s="197"/>
      <c r="E921" s="197"/>
      <c r="F921" s="197"/>
      <c r="G921" s="197"/>
      <c r="H921" s="197"/>
      <c r="I921" s="197"/>
      <c r="J921" s="197"/>
      <c r="K921" s="197"/>
      <c r="L921" s="197"/>
      <c r="M921" s="197"/>
      <c r="N921" s="197"/>
      <c r="O921" s="197"/>
      <c r="P921" s="197"/>
      <c r="Q921" s="197"/>
      <c r="R921" s="197"/>
      <c r="S921" s="197"/>
      <c r="T921" s="197"/>
      <c r="U921" s="197"/>
      <c r="V921" s="197"/>
      <c r="W921" s="197"/>
      <c r="X921" s="197"/>
      <c r="Y921" s="197"/>
      <c r="Z921" s="197"/>
    </row>
    <row r="922" ht="12.0" customHeight="1">
      <c r="A922" s="197"/>
      <c r="B922" s="198"/>
      <c r="C922" s="197"/>
      <c r="D922" s="197"/>
      <c r="E922" s="197"/>
      <c r="F922" s="197"/>
      <c r="G922" s="197"/>
      <c r="H922" s="197"/>
      <c r="I922" s="197"/>
      <c r="J922" s="197"/>
      <c r="K922" s="197"/>
      <c r="L922" s="197"/>
      <c r="M922" s="197"/>
      <c r="N922" s="197"/>
      <c r="O922" s="197"/>
      <c r="P922" s="197"/>
      <c r="Q922" s="197"/>
      <c r="R922" s="197"/>
      <c r="S922" s="197"/>
      <c r="T922" s="197"/>
      <c r="U922" s="197"/>
      <c r="V922" s="197"/>
      <c r="W922" s="197"/>
      <c r="X922" s="197"/>
      <c r="Y922" s="197"/>
      <c r="Z922" s="197"/>
    </row>
    <row r="923" ht="12.0" customHeight="1">
      <c r="A923" s="197"/>
      <c r="B923" s="198"/>
      <c r="C923" s="197"/>
      <c r="D923" s="197"/>
      <c r="E923" s="197"/>
      <c r="F923" s="197"/>
      <c r="G923" s="197"/>
      <c r="H923" s="197"/>
      <c r="I923" s="197"/>
      <c r="J923" s="197"/>
      <c r="K923" s="197"/>
      <c r="L923" s="197"/>
      <c r="M923" s="197"/>
      <c r="N923" s="197"/>
      <c r="O923" s="197"/>
      <c r="P923" s="197"/>
      <c r="Q923" s="197"/>
      <c r="R923" s="197"/>
      <c r="S923" s="197"/>
      <c r="T923" s="197"/>
      <c r="U923" s="197"/>
      <c r="V923" s="197"/>
      <c r="W923" s="197"/>
      <c r="X923" s="197"/>
      <c r="Y923" s="197"/>
      <c r="Z923" s="197"/>
    </row>
    <row r="924" ht="12.0" customHeight="1">
      <c r="A924" s="197"/>
      <c r="B924" s="198"/>
      <c r="C924" s="197"/>
      <c r="D924" s="197"/>
      <c r="E924" s="197"/>
      <c r="F924" s="197"/>
      <c r="G924" s="197"/>
      <c r="H924" s="197"/>
      <c r="I924" s="197"/>
      <c r="J924" s="197"/>
      <c r="K924" s="197"/>
      <c r="L924" s="197"/>
      <c r="M924" s="197"/>
      <c r="N924" s="197"/>
      <c r="O924" s="197"/>
      <c r="P924" s="197"/>
      <c r="Q924" s="197"/>
      <c r="R924" s="197"/>
      <c r="S924" s="197"/>
      <c r="T924" s="197"/>
      <c r="U924" s="197"/>
      <c r="V924" s="197"/>
      <c r="W924" s="197"/>
      <c r="X924" s="197"/>
      <c r="Y924" s="197"/>
      <c r="Z924" s="197"/>
    </row>
    <row r="925" ht="12.0" customHeight="1">
      <c r="A925" s="197"/>
      <c r="B925" s="198"/>
      <c r="C925" s="197"/>
      <c r="D925" s="197"/>
      <c r="E925" s="197"/>
      <c r="F925" s="197"/>
      <c r="G925" s="197"/>
      <c r="H925" s="197"/>
      <c r="I925" s="197"/>
      <c r="J925" s="197"/>
      <c r="K925" s="197"/>
      <c r="L925" s="197"/>
      <c r="M925" s="197"/>
      <c r="N925" s="197"/>
      <c r="O925" s="197"/>
      <c r="P925" s="197"/>
      <c r="Q925" s="197"/>
      <c r="R925" s="197"/>
      <c r="S925" s="197"/>
      <c r="T925" s="197"/>
      <c r="U925" s="197"/>
      <c r="V925" s="197"/>
      <c r="W925" s="197"/>
      <c r="X925" s="197"/>
      <c r="Y925" s="197"/>
      <c r="Z925" s="197"/>
    </row>
    <row r="926" ht="12.0" customHeight="1">
      <c r="A926" s="197"/>
      <c r="B926" s="198"/>
      <c r="C926" s="197"/>
      <c r="D926" s="197"/>
      <c r="E926" s="197"/>
      <c r="F926" s="197"/>
      <c r="G926" s="197"/>
      <c r="H926" s="197"/>
      <c r="I926" s="197"/>
      <c r="J926" s="197"/>
      <c r="K926" s="197"/>
      <c r="L926" s="197"/>
      <c r="M926" s="197"/>
      <c r="N926" s="197"/>
      <c r="O926" s="197"/>
      <c r="P926" s="197"/>
      <c r="Q926" s="197"/>
      <c r="R926" s="197"/>
      <c r="S926" s="197"/>
      <c r="T926" s="197"/>
      <c r="U926" s="197"/>
      <c r="V926" s="197"/>
      <c r="W926" s="197"/>
      <c r="X926" s="197"/>
      <c r="Y926" s="197"/>
      <c r="Z926" s="197"/>
    </row>
    <row r="927" ht="12.0" customHeight="1">
      <c r="A927" s="197"/>
      <c r="B927" s="198"/>
      <c r="C927" s="197"/>
      <c r="D927" s="197"/>
      <c r="E927" s="197"/>
      <c r="F927" s="197"/>
      <c r="G927" s="197"/>
      <c r="H927" s="197"/>
      <c r="I927" s="197"/>
      <c r="J927" s="197"/>
      <c r="K927" s="197"/>
      <c r="L927" s="197"/>
      <c r="M927" s="197"/>
      <c r="N927" s="197"/>
      <c r="O927" s="197"/>
      <c r="P927" s="197"/>
      <c r="Q927" s="197"/>
      <c r="R927" s="197"/>
      <c r="S927" s="197"/>
      <c r="T927" s="197"/>
      <c r="U927" s="197"/>
      <c r="V927" s="197"/>
      <c r="W927" s="197"/>
      <c r="X927" s="197"/>
      <c r="Y927" s="197"/>
      <c r="Z927" s="197"/>
    </row>
    <row r="928" ht="12.0" customHeight="1">
      <c r="A928" s="197"/>
      <c r="B928" s="198"/>
      <c r="C928" s="197"/>
      <c r="D928" s="197"/>
      <c r="E928" s="197"/>
      <c r="F928" s="197"/>
      <c r="G928" s="197"/>
      <c r="H928" s="197"/>
      <c r="I928" s="197"/>
      <c r="J928" s="197"/>
      <c r="K928" s="197"/>
      <c r="L928" s="197"/>
      <c r="M928" s="197"/>
      <c r="N928" s="197"/>
      <c r="O928" s="197"/>
      <c r="P928" s="197"/>
      <c r="Q928" s="197"/>
      <c r="R928" s="197"/>
      <c r="S928" s="197"/>
      <c r="T928" s="197"/>
      <c r="U928" s="197"/>
      <c r="V928" s="197"/>
      <c r="W928" s="197"/>
      <c r="X928" s="197"/>
      <c r="Y928" s="197"/>
      <c r="Z928" s="197"/>
    </row>
    <row r="929" ht="12.0" customHeight="1">
      <c r="A929" s="197"/>
      <c r="B929" s="198"/>
      <c r="C929" s="197"/>
      <c r="D929" s="197"/>
      <c r="E929" s="197"/>
      <c r="F929" s="197"/>
      <c r="G929" s="197"/>
      <c r="H929" s="197"/>
      <c r="I929" s="197"/>
      <c r="J929" s="197"/>
      <c r="K929" s="197"/>
      <c r="L929" s="197"/>
      <c r="M929" s="197"/>
      <c r="N929" s="197"/>
      <c r="O929" s="197"/>
      <c r="P929" s="197"/>
      <c r="Q929" s="197"/>
      <c r="R929" s="197"/>
      <c r="S929" s="197"/>
      <c r="T929" s="197"/>
      <c r="U929" s="197"/>
      <c r="V929" s="197"/>
      <c r="W929" s="197"/>
      <c r="X929" s="197"/>
      <c r="Y929" s="197"/>
      <c r="Z929" s="197"/>
    </row>
    <row r="930" ht="12.0" customHeight="1">
      <c r="A930" s="197"/>
      <c r="B930" s="198"/>
      <c r="C930" s="197"/>
      <c r="D930" s="197"/>
      <c r="E930" s="197"/>
      <c r="F930" s="197"/>
      <c r="G930" s="197"/>
      <c r="H930" s="197"/>
      <c r="I930" s="197"/>
      <c r="J930" s="197"/>
      <c r="K930" s="197"/>
      <c r="L930" s="197"/>
      <c r="M930" s="197"/>
      <c r="N930" s="197"/>
      <c r="O930" s="197"/>
      <c r="P930" s="197"/>
      <c r="Q930" s="197"/>
      <c r="R930" s="197"/>
      <c r="S930" s="197"/>
      <c r="T930" s="197"/>
      <c r="U930" s="197"/>
      <c r="V930" s="197"/>
      <c r="W930" s="197"/>
      <c r="X930" s="197"/>
      <c r="Y930" s="197"/>
      <c r="Z930" s="197"/>
    </row>
    <row r="931" ht="12.0" customHeight="1">
      <c r="A931" s="197"/>
      <c r="B931" s="198"/>
      <c r="C931" s="197"/>
      <c r="D931" s="197"/>
      <c r="E931" s="197"/>
      <c r="F931" s="197"/>
      <c r="G931" s="197"/>
      <c r="H931" s="197"/>
      <c r="I931" s="197"/>
      <c r="J931" s="197"/>
      <c r="K931" s="197"/>
      <c r="L931" s="197"/>
      <c r="M931" s="197"/>
      <c r="N931" s="197"/>
      <c r="O931" s="197"/>
      <c r="P931" s="197"/>
      <c r="Q931" s="197"/>
      <c r="R931" s="197"/>
      <c r="S931" s="197"/>
      <c r="T931" s="197"/>
      <c r="U931" s="197"/>
      <c r="V931" s="197"/>
      <c r="W931" s="197"/>
      <c r="X931" s="197"/>
      <c r="Y931" s="197"/>
      <c r="Z931" s="197"/>
    </row>
    <row r="932" ht="12.0" customHeight="1">
      <c r="A932" s="197"/>
      <c r="B932" s="198"/>
      <c r="C932" s="197"/>
      <c r="D932" s="197"/>
      <c r="E932" s="197"/>
      <c r="F932" s="197"/>
      <c r="G932" s="197"/>
      <c r="H932" s="197"/>
      <c r="I932" s="197"/>
      <c r="J932" s="197"/>
      <c r="K932" s="197"/>
      <c r="L932" s="197"/>
      <c r="M932" s="197"/>
      <c r="N932" s="197"/>
      <c r="O932" s="197"/>
      <c r="P932" s="197"/>
      <c r="Q932" s="197"/>
      <c r="R932" s="197"/>
      <c r="S932" s="197"/>
      <c r="T932" s="197"/>
      <c r="U932" s="197"/>
      <c r="V932" s="197"/>
      <c r="W932" s="197"/>
      <c r="X932" s="197"/>
      <c r="Y932" s="197"/>
      <c r="Z932" s="197"/>
    </row>
    <row r="933" ht="12.0" customHeight="1">
      <c r="A933" s="197"/>
      <c r="B933" s="198"/>
      <c r="C933" s="197"/>
      <c r="D933" s="197"/>
      <c r="E933" s="197"/>
      <c r="F933" s="197"/>
      <c r="G933" s="197"/>
      <c r="H933" s="197"/>
      <c r="I933" s="197"/>
      <c r="J933" s="197"/>
      <c r="K933" s="197"/>
      <c r="L933" s="197"/>
      <c r="M933" s="197"/>
      <c r="N933" s="197"/>
      <c r="O933" s="197"/>
      <c r="P933" s="197"/>
      <c r="Q933" s="197"/>
      <c r="R933" s="197"/>
      <c r="S933" s="197"/>
      <c r="T933" s="197"/>
      <c r="U933" s="197"/>
      <c r="V933" s="197"/>
      <c r="W933" s="197"/>
      <c r="X933" s="197"/>
      <c r="Y933" s="197"/>
      <c r="Z933" s="197"/>
    </row>
    <row r="934" ht="12.0" customHeight="1">
      <c r="A934" s="197"/>
      <c r="B934" s="198"/>
      <c r="C934" s="197"/>
      <c r="D934" s="197"/>
      <c r="E934" s="197"/>
      <c r="F934" s="197"/>
      <c r="G934" s="197"/>
      <c r="H934" s="197"/>
      <c r="I934" s="197"/>
      <c r="J934" s="197"/>
      <c r="K934" s="197"/>
      <c r="L934" s="197"/>
      <c r="M934" s="197"/>
      <c r="N934" s="197"/>
      <c r="O934" s="197"/>
      <c r="P934" s="197"/>
      <c r="Q934" s="197"/>
      <c r="R934" s="197"/>
      <c r="S934" s="197"/>
      <c r="T934" s="197"/>
      <c r="U934" s="197"/>
      <c r="V934" s="197"/>
      <c r="W934" s="197"/>
      <c r="X934" s="197"/>
      <c r="Y934" s="197"/>
      <c r="Z934" s="197"/>
    </row>
    <row r="935" ht="12.0" customHeight="1">
      <c r="A935" s="197"/>
      <c r="B935" s="198"/>
      <c r="C935" s="197"/>
      <c r="D935" s="197"/>
      <c r="E935" s="197"/>
      <c r="F935" s="197"/>
      <c r="G935" s="197"/>
      <c r="H935" s="197"/>
      <c r="I935" s="197"/>
      <c r="J935" s="197"/>
      <c r="K935" s="197"/>
      <c r="L935" s="197"/>
      <c r="M935" s="197"/>
      <c r="N935" s="197"/>
      <c r="O935" s="197"/>
      <c r="P935" s="197"/>
      <c r="Q935" s="197"/>
      <c r="R935" s="197"/>
      <c r="S935" s="197"/>
      <c r="T935" s="197"/>
      <c r="U935" s="197"/>
      <c r="V935" s="197"/>
      <c r="W935" s="197"/>
      <c r="X935" s="197"/>
      <c r="Y935" s="197"/>
      <c r="Z935" s="197"/>
    </row>
    <row r="936" ht="12.0" customHeight="1">
      <c r="A936" s="197"/>
      <c r="B936" s="198"/>
      <c r="C936" s="197"/>
      <c r="D936" s="197"/>
      <c r="E936" s="197"/>
      <c r="F936" s="197"/>
      <c r="G936" s="197"/>
      <c r="H936" s="197"/>
      <c r="I936" s="197"/>
      <c r="J936" s="197"/>
      <c r="K936" s="197"/>
      <c r="L936" s="197"/>
      <c r="M936" s="197"/>
      <c r="N936" s="197"/>
      <c r="O936" s="197"/>
      <c r="P936" s="197"/>
      <c r="Q936" s="197"/>
      <c r="R936" s="197"/>
      <c r="S936" s="197"/>
      <c r="T936" s="197"/>
      <c r="U936" s="197"/>
      <c r="V936" s="197"/>
      <c r="W936" s="197"/>
      <c r="X936" s="197"/>
      <c r="Y936" s="197"/>
      <c r="Z936" s="197"/>
    </row>
    <row r="937" ht="12.0" customHeight="1">
      <c r="A937" s="197"/>
      <c r="B937" s="198"/>
      <c r="C937" s="197"/>
      <c r="D937" s="197"/>
      <c r="E937" s="197"/>
      <c r="F937" s="197"/>
      <c r="G937" s="197"/>
      <c r="H937" s="197"/>
      <c r="I937" s="197"/>
      <c r="J937" s="197"/>
      <c r="K937" s="197"/>
      <c r="L937" s="197"/>
      <c r="M937" s="197"/>
      <c r="N937" s="197"/>
      <c r="O937" s="197"/>
      <c r="P937" s="197"/>
      <c r="Q937" s="197"/>
      <c r="R937" s="197"/>
      <c r="S937" s="197"/>
      <c r="T937" s="197"/>
      <c r="U937" s="197"/>
      <c r="V937" s="197"/>
      <c r="W937" s="197"/>
      <c r="X937" s="197"/>
      <c r="Y937" s="197"/>
      <c r="Z937" s="197"/>
    </row>
    <row r="938" ht="12.0" customHeight="1">
      <c r="A938" s="197"/>
      <c r="B938" s="198"/>
      <c r="C938" s="197"/>
      <c r="D938" s="197"/>
      <c r="E938" s="197"/>
      <c r="F938" s="197"/>
      <c r="G938" s="197"/>
      <c r="H938" s="197"/>
      <c r="I938" s="197"/>
      <c r="J938" s="197"/>
      <c r="K938" s="197"/>
      <c r="L938" s="197"/>
      <c r="M938" s="197"/>
      <c r="N938" s="197"/>
      <c r="O938" s="197"/>
      <c r="P938" s="197"/>
      <c r="Q938" s="197"/>
      <c r="R938" s="197"/>
      <c r="S938" s="197"/>
      <c r="T938" s="197"/>
      <c r="U938" s="197"/>
      <c r="V938" s="197"/>
      <c r="W938" s="197"/>
      <c r="X938" s="197"/>
      <c r="Y938" s="197"/>
      <c r="Z938" s="197"/>
    </row>
    <row r="939" ht="12.0" customHeight="1">
      <c r="A939" s="197"/>
      <c r="B939" s="198"/>
      <c r="C939" s="197"/>
      <c r="D939" s="197"/>
      <c r="E939" s="197"/>
      <c r="F939" s="197"/>
      <c r="G939" s="197"/>
      <c r="H939" s="197"/>
      <c r="I939" s="197"/>
      <c r="J939" s="197"/>
      <c r="K939" s="197"/>
      <c r="L939" s="197"/>
      <c r="M939" s="197"/>
      <c r="N939" s="197"/>
      <c r="O939" s="197"/>
      <c r="P939" s="197"/>
      <c r="Q939" s="197"/>
      <c r="R939" s="197"/>
      <c r="S939" s="197"/>
      <c r="T939" s="197"/>
      <c r="U939" s="197"/>
      <c r="V939" s="197"/>
      <c r="W939" s="197"/>
      <c r="X939" s="197"/>
      <c r="Y939" s="197"/>
      <c r="Z939" s="197"/>
    </row>
    <row r="940" ht="12.0" customHeight="1">
      <c r="A940" s="197"/>
      <c r="B940" s="198"/>
      <c r="C940" s="197"/>
      <c r="D940" s="197"/>
      <c r="E940" s="197"/>
      <c r="F940" s="197"/>
      <c r="G940" s="197"/>
      <c r="H940" s="197"/>
      <c r="I940" s="197"/>
      <c r="J940" s="197"/>
      <c r="K940" s="197"/>
      <c r="L940" s="197"/>
      <c r="M940" s="197"/>
      <c r="N940" s="197"/>
      <c r="O940" s="197"/>
      <c r="P940" s="197"/>
      <c r="Q940" s="197"/>
      <c r="R940" s="197"/>
      <c r="S940" s="197"/>
      <c r="T940" s="197"/>
      <c r="U940" s="197"/>
      <c r="V940" s="197"/>
      <c r="W940" s="197"/>
      <c r="X940" s="197"/>
      <c r="Y940" s="197"/>
      <c r="Z940" s="197"/>
    </row>
    <row r="941" ht="12.0" customHeight="1">
      <c r="A941" s="197"/>
      <c r="B941" s="198"/>
      <c r="C941" s="197"/>
      <c r="D941" s="197"/>
      <c r="E941" s="197"/>
      <c r="F941" s="197"/>
      <c r="G941" s="197"/>
      <c r="H941" s="197"/>
      <c r="I941" s="197"/>
      <c r="J941" s="197"/>
      <c r="K941" s="197"/>
      <c r="L941" s="197"/>
      <c r="M941" s="197"/>
      <c r="N941" s="197"/>
      <c r="O941" s="197"/>
      <c r="P941" s="197"/>
      <c r="Q941" s="197"/>
      <c r="R941" s="197"/>
      <c r="S941" s="197"/>
      <c r="T941" s="197"/>
      <c r="U941" s="197"/>
      <c r="V941" s="197"/>
      <c r="W941" s="197"/>
      <c r="X941" s="197"/>
      <c r="Y941" s="197"/>
      <c r="Z941" s="197"/>
    </row>
    <row r="942" ht="12.0" customHeight="1">
      <c r="A942" s="197"/>
      <c r="B942" s="198"/>
      <c r="C942" s="197"/>
      <c r="D942" s="197"/>
      <c r="E942" s="197"/>
      <c r="F942" s="197"/>
      <c r="G942" s="197"/>
      <c r="H942" s="197"/>
      <c r="I942" s="197"/>
      <c r="J942" s="197"/>
      <c r="K942" s="197"/>
      <c r="L942" s="197"/>
      <c r="M942" s="197"/>
      <c r="N942" s="197"/>
      <c r="O942" s="197"/>
      <c r="P942" s="197"/>
      <c r="Q942" s="197"/>
      <c r="R942" s="197"/>
      <c r="S942" s="197"/>
      <c r="T942" s="197"/>
      <c r="U942" s="197"/>
      <c r="V942" s="197"/>
      <c r="W942" s="197"/>
      <c r="X942" s="197"/>
      <c r="Y942" s="197"/>
      <c r="Z942" s="197"/>
    </row>
    <row r="943" ht="12.0" customHeight="1">
      <c r="A943" s="197"/>
      <c r="B943" s="198"/>
      <c r="C943" s="197"/>
      <c r="D943" s="197"/>
      <c r="E943" s="197"/>
      <c r="F943" s="197"/>
      <c r="G943" s="197"/>
      <c r="H943" s="197"/>
      <c r="I943" s="197"/>
      <c r="J943" s="197"/>
      <c r="K943" s="197"/>
      <c r="L943" s="197"/>
      <c r="M943" s="197"/>
      <c r="N943" s="197"/>
      <c r="O943" s="197"/>
      <c r="P943" s="197"/>
      <c r="Q943" s="197"/>
      <c r="R943" s="197"/>
      <c r="S943" s="197"/>
      <c r="T943" s="197"/>
      <c r="U943" s="197"/>
      <c r="V943" s="197"/>
      <c r="W943" s="197"/>
      <c r="X943" s="197"/>
      <c r="Y943" s="197"/>
      <c r="Z943" s="197"/>
    </row>
    <row r="944" ht="12.0" customHeight="1">
      <c r="A944" s="197"/>
      <c r="B944" s="198"/>
      <c r="C944" s="197"/>
      <c r="D944" s="197"/>
      <c r="E944" s="197"/>
      <c r="F944" s="197"/>
      <c r="G944" s="197"/>
      <c r="H944" s="197"/>
      <c r="I944" s="197"/>
      <c r="J944" s="197"/>
      <c r="K944" s="197"/>
      <c r="L944" s="197"/>
      <c r="M944" s="197"/>
      <c r="N944" s="197"/>
      <c r="O944" s="197"/>
      <c r="P944" s="197"/>
      <c r="Q944" s="197"/>
      <c r="R944" s="197"/>
      <c r="S944" s="197"/>
      <c r="T944" s="197"/>
      <c r="U944" s="197"/>
      <c r="V944" s="197"/>
      <c r="W944" s="197"/>
      <c r="X944" s="197"/>
      <c r="Y944" s="197"/>
      <c r="Z944" s="197"/>
    </row>
    <row r="945" ht="12.0" customHeight="1">
      <c r="A945" s="197"/>
      <c r="B945" s="198"/>
      <c r="C945" s="197"/>
      <c r="D945" s="197"/>
      <c r="E945" s="197"/>
      <c r="F945" s="197"/>
      <c r="G945" s="197"/>
      <c r="H945" s="197"/>
      <c r="I945" s="197"/>
      <c r="J945" s="197"/>
      <c r="K945" s="197"/>
      <c r="L945" s="197"/>
      <c r="M945" s="197"/>
      <c r="N945" s="197"/>
      <c r="O945" s="197"/>
      <c r="P945" s="197"/>
      <c r="Q945" s="197"/>
      <c r="R945" s="197"/>
      <c r="S945" s="197"/>
      <c r="T945" s="197"/>
      <c r="U945" s="197"/>
      <c r="V945" s="197"/>
      <c r="W945" s="197"/>
      <c r="X945" s="197"/>
      <c r="Y945" s="197"/>
      <c r="Z945" s="197"/>
    </row>
    <row r="946" ht="12.0" customHeight="1">
      <c r="A946" s="197"/>
      <c r="B946" s="198"/>
      <c r="C946" s="197"/>
      <c r="D946" s="197"/>
      <c r="E946" s="197"/>
      <c r="F946" s="197"/>
      <c r="G946" s="197"/>
      <c r="H946" s="197"/>
      <c r="I946" s="197"/>
      <c r="J946" s="197"/>
      <c r="K946" s="197"/>
      <c r="L946" s="197"/>
      <c r="M946" s="197"/>
      <c r="N946" s="197"/>
      <c r="O946" s="197"/>
      <c r="P946" s="197"/>
      <c r="Q946" s="197"/>
      <c r="R946" s="197"/>
      <c r="S946" s="197"/>
      <c r="T946" s="197"/>
      <c r="U946" s="197"/>
      <c r="V946" s="197"/>
      <c r="W946" s="197"/>
      <c r="X946" s="197"/>
      <c r="Y946" s="197"/>
      <c r="Z946" s="197"/>
    </row>
    <row r="947" ht="12.0" customHeight="1">
      <c r="A947" s="197"/>
      <c r="B947" s="198"/>
      <c r="C947" s="197"/>
      <c r="D947" s="197"/>
      <c r="E947" s="197"/>
      <c r="F947" s="197"/>
      <c r="G947" s="197"/>
      <c r="H947" s="197"/>
      <c r="I947" s="197"/>
      <c r="J947" s="197"/>
      <c r="K947" s="197"/>
      <c r="L947" s="197"/>
      <c r="M947" s="197"/>
      <c r="N947" s="197"/>
      <c r="O947" s="197"/>
      <c r="P947" s="197"/>
      <c r="Q947" s="197"/>
      <c r="R947" s="197"/>
      <c r="S947" s="197"/>
      <c r="T947" s="197"/>
      <c r="U947" s="197"/>
      <c r="V947" s="197"/>
      <c r="W947" s="197"/>
      <c r="X947" s="197"/>
      <c r="Y947" s="197"/>
      <c r="Z947" s="197"/>
    </row>
    <row r="948" ht="12.0" customHeight="1">
      <c r="A948" s="197"/>
      <c r="B948" s="198"/>
      <c r="C948" s="197"/>
      <c r="D948" s="197"/>
      <c r="E948" s="197"/>
      <c r="F948" s="197"/>
      <c r="G948" s="197"/>
      <c r="H948" s="197"/>
      <c r="I948" s="197"/>
      <c r="J948" s="197"/>
      <c r="K948" s="197"/>
      <c r="L948" s="197"/>
      <c r="M948" s="197"/>
      <c r="N948" s="197"/>
      <c r="O948" s="197"/>
      <c r="P948" s="197"/>
      <c r="Q948" s="197"/>
      <c r="R948" s="197"/>
      <c r="S948" s="197"/>
      <c r="T948" s="197"/>
      <c r="U948" s="197"/>
      <c r="V948" s="197"/>
      <c r="W948" s="197"/>
      <c r="X948" s="197"/>
      <c r="Y948" s="197"/>
      <c r="Z948" s="197"/>
    </row>
    <row r="949" ht="12.0" customHeight="1">
      <c r="A949" s="197"/>
      <c r="B949" s="198"/>
      <c r="C949" s="197"/>
      <c r="D949" s="197"/>
      <c r="E949" s="197"/>
      <c r="F949" s="197"/>
      <c r="G949" s="197"/>
      <c r="H949" s="197"/>
      <c r="I949" s="197"/>
      <c r="J949" s="197"/>
      <c r="K949" s="197"/>
      <c r="L949" s="197"/>
      <c r="M949" s="197"/>
      <c r="N949" s="197"/>
      <c r="O949" s="197"/>
      <c r="P949" s="197"/>
      <c r="Q949" s="197"/>
      <c r="R949" s="197"/>
      <c r="S949" s="197"/>
      <c r="T949" s="197"/>
      <c r="U949" s="197"/>
      <c r="V949" s="197"/>
      <c r="W949" s="197"/>
      <c r="X949" s="197"/>
      <c r="Y949" s="197"/>
      <c r="Z949" s="197"/>
    </row>
    <row r="950" ht="12.0" customHeight="1">
      <c r="A950" s="197"/>
      <c r="B950" s="198"/>
      <c r="C950" s="197"/>
      <c r="D950" s="197"/>
      <c r="E950" s="197"/>
      <c r="F950" s="197"/>
      <c r="G950" s="197"/>
      <c r="H950" s="197"/>
      <c r="I950" s="197"/>
      <c r="J950" s="197"/>
      <c r="K950" s="197"/>
      <c r="L950" s="197"/>
      <c r="M950" s="197"/>
      <c r="N950" s="197"/>
      <c r="O950" s="197"/>
      <c r="P950" s="197"/>
      <c r="Q950" s="197"/>
      <c r="R950" s="197"/>
      <c r="S950" s="197"/>
      <c r="T950" s="197"/>
      <c r="U950" s="197"/>
      <c r="V950" s="197"/>
      <c r="W950" s="197"/>
      <c r="X950" s="197"/>
      <c r="Y950" s="197"/>
      <c r="Z950" s="197"/>
    </row>
    <row r="951" ht="12.0" customHeight="1">
      <c r="A951" s="197"/>
      <c r="B951" s="198"/>
      <c r="C951" s="197"/>
      <c r="D951" s="197"/>
      <c r="E951" s="197"/>
      <c r="F951" s="197"/>
      <c r="G951" s="197"/>
      <c r="H951" s="197"/>
      <c r="I951" s="197"/>
      <c r="J951" s="197"/>
      <c r="K951" s="197"/>
      <c r="L951" s="197"/>
      <c r="M951" s="197"/>
      <c r="N951" s="197"/>
      <c r="O951" s="197"/>
      <c r="P951" s="197"/>
      <c r="Q951" s="197"/>
      <c r="R951" s="197"/>
      <c r="S951" s="197"/>
      <c r="T951" s="197"/>
      <c r="U951" s="197"/>
      <c r="V951" s="197"/>
      <c r="W951" s="197"/>
      <c r="X951" s="197"/>
      <c r="Y951" s="197"/>
      <c r="Z951" s="197"/>
    </row>
    <row r="952" ht="12.0" customHeight="1">
      <c r="A952" s="197"/>
      <c r="B952" s="198"/>
      <c r="C952" s="197"/>
      <c r="D952" s="197"/>
      <c r="E952" s="197"/>
      <c r="F952" s="197"/>
      <c r="G952" s="197"/>
      <c r="H952" s="197"/>
      <c r="I952" s="197"/>
      <c r="J952" s="197"/>
      <c r="K952" s="197"/>
      <c r="L952" s="197"/>
      <c r="M952" s="197"/>
      <c r="N952" s="197"/>
      <c r="O952" s="197"/>
      <c r="P952" s="197"/>
      <c r="Q952" s="197"/>
      <c r="R952" s="197"/>
      <c r="S952" s="197"/>
      <c r="T952" s="197"/>
      <c r="U952" s="197"/>
      <c r="V952" s="197"/>
      <c r="W952" s="197"/>
      <c r="X952" s="197"/>
      <c r="Y952" s="197"/>
      <c r="Z952" s="197"/>
    </row>
    <row r="953" ht="12.0" customHeight="1">
      <c r="A953" s="197"/>
      <c r="B953" s="198"/>
      <c r="C953" s="197"/>
      <c r="D953" s="197"/>
      <c r="E953" s="197"/>
      <c r="F953" s="197"/>
      <c r="G953" s="197"/>
      <c r="H953" s="197"/>
      <c r="I953" s="197"/>
      <c r="J953" s="197"/>
      <c r="K953" s="197"/>
      <c r="L953" s="197"/>
      <c r="M953" s="197"/>
      <c r="N953" s="197"/>
      <c r="O953" s="197"/>
      <c r="P953" s="197"/>
      <c r="Q953" s="197"/>
      <c r="R953" s="197"/>
      <c r="S953" s="197"/>
      <c r="T953" s="197"/>
      <c r="U953" s="197"/>
      <c r="V953" s="197"/>
      <c r="W953" s="197"/>
      <c r="X953" s="197"/>
      <c r="Y953" s="197"/>
      <c r="Z953" s="197"/>
    </row>
    <row r="954" ht="12.0" customHeight="1">
      <c r="A954" s="197"/>
      <c r="B954" s="198"/>
      <c r="C954" s="197"/>
      <c r="D954" s="197"/>
      <c r="E954" s="197"/>
      <c r="F954" s="197"/>
      <c r="G954" s="197"/>
      <c r="H954" s="197"/>
      <c r="I954" s="197"/>
      <c r="J954" s="197"/>
      <c r="K954" s="197"/>
      <c r="L954" s="197"/>
      <c r="M954" s="197"/>
      <c r="N954" s="197"/>
      <c r="O954" s="197"/>
      <c r="P954" s="197"/>
      <c r="Q954" s="197"/>
      <c r="R954" s="197"/>
      <c r="S954" s="197"/>
      <c r="T954" s="197"/>
      <c r="U954" s="197"/>
      <c r="V954" s="197"/>
      <c r="W954" s="197"/>
      <c r="X954" s="197"/>
      <c r="Y954" s="197"/>
      <c r="Z954" s="197"/>
    </row>
    <row r="955" ht="12.0" customHeight="1">
      <c r="A955" s="197"/>
      <c r="B955" s="198"/>
      <c r="C955" s="197"/>
      <c r="D955" s="197"/>
      <c r="E955" s="197"/>
      <c r="F955" s="197"/>
      <c r="G955" s="197"/>
      <c r="H955" s="197"/>
      <c r="I955" s="197"/>
      <c r="J955" s="197"/>
      <c r="K955" s="197"/>
      <c r="L955" s="197"/>
      <c r="M955" s="197"/>
      <c r="N955" s="197"/>
      <c r="O955" s="197"/>
      <c r="P955" s="197"/>
      <c r="Q955" s="197"/>
      <c r="R955" s="197"/>
      <c r="S955" s="197"/>
      <c r="T955" s="197"/>
      <c r="U955" s="197"/>
      <c r="V955" s="197"/>
      <c r="W955" s="197"/>
      <c r="X955" s="197"/>
      <c r="Y955" s="197"/>
      <c r="Z955" s="197"/>
    </row>
    <row r="956" ht="12.0" customHeight="1">
      <c r="A956" s="197"/>
      <c r="B956" s="198"/>
      <c r="C956" s="197"/>
      <c r="D956" s="197"/>
      <c r="E956" s="197"/>
      <c r="F956" s="197"/>
      <c r="G956" s="197"/>
      <c r="H956" s="197"/>
      <c r="I956" s="197"/>
      <c r="J956" s="197"/>
      <c r="K956" s="197"/>
      <c r="L956" s="197"/>
      <c r="M956" s="197"/>
      <c r="N956" s="197"/>
      <c r="O956" s="197"/>
      <c r="P956" s="197"/>
      <c r="Q956" s="197"/>
      <c r="R956" s="197"/>
      <c r="S956" s="197"/>
      <c r="T956" s="197"/>
      <c r="U956" s="197"/>
      <c r="V956" s="197"/>
      <c r="W956" s="197"/>
      <c r="X956" s="197"/>
      <c r="Y956" s="197"/>
      <c r="Z956" s="197"/>
    </row>
    <row r="957" ht="12.0" customHeight="1">
      <c r="A957" s="197"/>
      <c r="B957" s="198"/>
      <c r="C957" s="197"/>
      <c r="D957" s="197"/>
      <c r="E957" s="197"/>
      <c r="F957" s="197"/>
      <c r="G957" s="197"/>
      <c r="H957" s="197"/>
      <c r="I957" s="197"/>
      <c r="J957" s="197"/>
      <c r="K957" s="197"/>
      <c r="L957" s="197"/>
      <c r="M957" s="197"/>
      <c r="N957" s="197"/>
      <c r="O957" s="197"/>
      <c r="P957" s="197"/>
      <c r="Q957" s="197"/>
      <c r="R957" s="197"/>
      <c r="S957" s="197"/>
      <c r="T957" s="197"/>
      <c r="U957" s="197"/>
      <c r="V957" s="197"/>
      <c r="W957" s="197"/>
      <c r="X957" s="197"/>
      <c r="Y957" s="197"/>
      <c r="Z957" s="197"/>
    </row>
    <row r="958" ht="12.0" customHeight="1">
      <c r="A958" s="197"/>
      <c r="B958" s="198"/>
      <c r="C958" s="197"/>
      <c r="D958" s="197"/>
      <c r="E958" s="197"/>
      <c r="F958" s="197"/>
      <c r="G958" s="197"/>
      <c r="H958" s="197"/>
      <c r="I958" s="197"/>
      <c r="J958" s="197"/>
      <c r="K958" s="197"/>
      <c r="L958" s="197"/>
      <c r="M958" s="197"/>
      <c r="N958" s="197"/>
      <c r="O958" s="197"/>
      <c r="P958" s="197"/>
      <c r="Q958" s="197"/>
      <c r="R958" s="197"/>
      <c r="S958" s="197"/>
      <c r="T958" s="197"/>
      <c r="U958" s="197"/>
      <c r="V958" s="197"/>
      <c r="W958" s="197"/>
      <c r="X958" s="197"/>
      <c r="Y958" s="197"/>
      <c r="Z958" s="197"/>
    </row>
    <row r="959" ht="12.0" customHeight="1">
      <c r="A959" s="197"/>
      <c r="B959" s="198"/>
      <c r="C959" s="197"/>
      <c r="D959" s="197"/>
      <c r="E959" s="197"/>
      <c r="F959" s="197"/>
      <c r="G959" s="197"/>
      <c r="H959" s="197"/>
      <c r="I959" s="197"/>
      <c r="J959" s="197"/>
      <c r="K959" s="197"/>
      <c r="L959" s="197"/>
      <c r="M959" s="197"/>
      <c r="N959" s="197"/>
      <c r="O959" s="197"/>
      <c r="P959" s="197"/>
      <c r="Q959" s="197"/>
      <c r="R959" s="197"/>
      <c r="S959" s="197"/>
      <c r="T959" s="197"/>
      <c r="U959" s="197"/>
      <c r="V959" s="197"/>
      <c r="W959" s="197"/>
      <c r="X959" s="197"/>
      <c r="Y959" s="197"/>
      <c r="Z959" s="197"/>
    </row>
    <row r="960" ht="12.0" customHeight="1">
      <c r="A960" s="197"/>
      <c r="B960" s="198"/>
      <c r="C960" s="197"/>
      <c r="D960" s="197"/>
      <c r="E960" s="197"/>
      <c r="F960" s="197"/>
      <c r="G960" s="197"/>
      <c r="H960" s="197"/>
      <c r="I960" s="197"/>
      <c r="J960" s="197"/>
      <c r="K960" s="197"/>
      <c r="L960" s="197"/>
      <c r="M960" s="197"/>
      <c r="N960" s="197"/>
      <c r="O960" s="197"/>
      <c r="P960" s="197"/>
      <c r="Q960" s="197"/>
      <c r="R960" s="197"/>
      <c r="S960" s="197"/>
      <c r="T960" s="197"/>
      <c r="U960" s="197"/>
      <c r="V960" s="197"/>
      <c r="W960" s="197"/>
      <c r="X960" s="197"/>
      <c r="Y960" s="197"/>
      <c r="Z960" s="197"/>
    </row>
    <row r="961" ht="12.0" customHeight="1">
      <c r="A961" s="197"/>
      <c r="B961" s="198"/>
      <c r="C961" s="197"/>
      <c r="D961" s="197"/>
      <c r="E961" s="197"/>
      <c r="F961" s="197"/>
      <c r="G961" s="197"/>
      <c r="H961" s="197"/>
      <c r="I961" s="197"/>
      <c r="J961" s="197"/>
      <c r="K961" s="197"/>
      <c r="L961" s="197"/>
      <c r="M961" s="197"/>
      <c r="N961" s="197"/>
      <c r="O961" s="197"/>
      <c r="P961" s="197"/>
      <c r="Q961" s="197"/>
      <c r="R961" s="197"/>
      <c r="S961" s="197"/>
      <c r="T961" s="197"/>
      <c r="U961" s="197"/>
      <c r="V961" s="197"/>
      <c r="W961" s="197"/>
      <c r="X961" s="197"/>
      <c r="Y961" s="197"/>
      <c r="Z961" s="197"/>
    </row>
    <row r="962" ht="12.0" customHeight="1">
      <c r="A962" s="197"/>
      <c r="B962" s="198"/>
      <c r="C962" s="197"/>
      <c r="D962" s="197"/>
      <c r="E962" s="197"/>
      <c r="F962" s="197"/>
      <c r="G962" s="197"/>
      <c r="H962" s="197"/>
      <c r="I962" s="197"/>
      <c r="J962" s="197"/>
      <c r="K962" s="197"/>
      <c r="L962" s="197"/>
      <c r="M962" s="197"/>
      <c r="N962" s="197"/>
      <c r="O962" s="197"/>
      <c r="P962" s="197"/>
      <c r="Q962" s="197"/>
      <c r="R962" s="197"/>
      <c r="S962" s="197"/>
      <c r="T962" s="197"/>
      <c r="U962" s="197"/>
      <c r="V962" s="197"/>
      <c r="W962" s="197"/>
      <c r="X962" s="197"/>
      <c r="Y962" s="197"/>
      <c r="Z962" s="197"/>
    </row>
    <row r="963" ht="12.0" customHeight="1">
      <c r="A963" s="197"/>
      <c r="B963" s="198"/>
      <c r="C963" s="197"/>
      <c r="D963" s="197"/>
      <c r="E963" s="197"/>
      <c r="F963" s="197"/>
      <c r="G963" s="197"/>
      <c r="H963" s="197"/>
      <c r="I963" s="197"/>
      <c r="J963" s="197"/>
      <c r="K963" s="197"/>
      <c r="L963" s="197"/>
      <c r="M963" s="197"/>
      <c r="N963" s="197"/>
      <c r="O963" s="197"/>
      <c r="P963" s="197"/>
      <c r="Q963" s="197"/>
      <c r="R963" s="197"/>
      <c r="S963" s="197"/>
      <c r="T963" s="197"/>
      <c r="U963" s="197"/>
      <c r="V963" s="197"/>
      <c r="W963" s="197"/>
      <c r="X963" s="197"/>
      <c r="Y963" s="197"/>
      <c r="Z963" s="197"/>
    </row>
    <row r="964" ht="12.0" customHeight="1">
      <c r="A964" s="197"/>
      <c r="B964" s="198"/>
      <c r="C964" s="197"/>
      <c r="D964" s="197"/>
      <c r="E964" s="197"/>
      <c r="F964" s="197"/>
      <c r="G964" s="197"/>
      <c r="H964" s="197"/>
      <c r="I964" s="197"/>
      <c r="J964" s="197"/>
      <c r="K964" s="197"/>
      <c r="L964" s="197"/>
      <c r="M964" s="197"/>
      <c r="N964" s="197"/>
      <c r="O964" s="197"/>
      <c r="P964" s="197"/>
      <c r="Q964" s="197"/>
      <c r="R964" s="197"/>
      <c r="S964" s="197"/>
      <c r="T964" s="197"/>
      <c r="U964" s="197"/>
      <c r="V964" s="197"/>
      <c r="W964" s="197"/>
      <c r="X964" s="197"/>
      <c r="Y964" s="197"/>
      <c r="Z964" s="197"/>
    </row>
    <row r="965" ht="12.0" customHeight="1">
      <c r="A965" s="197"/>
      <c r="B965" s="198"/>
      <c r="C965" s="197"/>
      <c r="D965" s="197"/>
      <c r="E965" s="197"/>
      <c r="F965" s="197"/>
      <c r="G965" s="197"/>
      <c r="H965" s="197"/>
      <c r="I965" s="197"/>
      <c r="J965" s="197"/>
      <c r="K965" s="197"/>
      <c r="L965" s="197"/>
      <c r="M965" s="197"/>
      <c r="N965" s="197"/>
      <c r="O965" s="197"/>
      <c r="P965" s="197"/>
      <c r="Q965" s="197"/>
      <c r="R965" s="197"/>
      <c r="S965" s="197"/>
      <c r="T965" s="197"/>
      <c r="U965" s="197"/>
      <c r="V965" s="197"/>
      <c r="W965" s="197"/>
      <c r="X965" s="197"/>
      <c r="Y965" s="197"/>
      <c r="Z965" s="197"/>
    </row>
    <row r="966" ht="12.0" customHeight="1">
      <c r="A966" s="197"/>
      <c r="B966" s="198"/>
      <c r="C966" s="197"/>
      <c r="D966" s="197"/>
      <c r="E966" s="197"/>
      <c r="F966" s="197"/>
      <c r="G966" s="197"/>
      <c r="H966" s="197"/>
      <c r="I966" s="197"/>
      <c r="J966" s="197"/>
      <c r="K966" s="197"/>
      <c r="L966" s="197"/>
      <c r="M966" s="197"/>
      <c r="N966" s="197"/>
      <c r="O966" s="197"/>
      <c r="P966" s="197"/>
      <c r="Q966" s="197"/>
      <c r="R966" s="197"/>
      <c r="S966" s="197"/>
      <c r="T966" s="197"/>
      <c r="U966" s="197"/>
      <c r="V966" s="197"/>
      <c r="W966" s="197"/>
      <c r="X966" s="197"/>
      <c r="Y966" s="197"/>
      <c r="Z966" s="197"/>
    </row>
    <row r="967" ht="12.0" customHeight="1">
      <c r="A967" s="197"/>
      <c r="B967" s="198"/>
      <c r="C967" s="197"/>
      <c r="D967" s="197"/>
      <c r="E967" s="197"/>
      <c r="F967" s="197"/>
      <c r="G967" s="197"/>
      <c r="H967" s="197"/>
      <c r="I967" s="197"/>
      <c r="J967" s="197"/>
      <c r="K967" s="197"/>
      <c r="L967" s="197"/>
      <c r="M967" s="197"/>
      <c r="N967" s="197"/>
      <c r="O967" s="197"/>
      <c r="P967" s="197"/>
      <c r="Q967" s="197"/>
      <c r="R967" s="197"/>
      <c r="S967" s="197"/>
      <c r="T967" s="197"/>
      <c r="U967" s="197"/>
      <c r="V967" s="197"/>
      <c r="W967" s="197"/>
      <c r="X967" s="197"/>
      <c r="Y967" s="197"/>
      <c r="Z967" s="197"/>
    </row>
    <row r="968" ht="12.0" customHeight="1">
      <c r="A968" s="197"/>
      <c r="B968" s="198"/>
      <c r="C968" s="197"/>
      <c r="D968" s="197"/>
      <c r="E968" s="197"/>
      <c r="F968" s="197"/>
      <c r="G968" s="197"/>
      <c r="H968" s="197"/>
      <c r="I968" s="197"/>
      <c r="J968" s="197"/>
      <c r="K968" s="197"/>
      <c r="L968" s="197"/>
      <c r="M968" s="197"/>
      <c r="N968" s="197"/>
      <c r="O968" s="197"/>
      <c r="P968" s="197"/>
      <c r="Q968" s="197"/>
      <c r="R968" s="197"/>
      <c r="S968" s="197"/>
      <c r="T968" s="197"/>
      <c r="U968" s="197"/>
      <c r="V968" s="197"/>
      <c r="W968" s="197"/>
      <c r="X968" s="197"/>
      <c r="Y968" s="197"/>
      <c r="Z968" s="197"/>
    </row>
    <row r="969" ht="12.0" customHeight="1">
      <c r="A969" s="197"/>
      <c r="B969" s="198"/>
      <c r="C969" s="197"/>
      <c r="D969" s="197"/>
      <c r="E969" s="197"/>
      <c r="F969" s="197"/>
      <c r="G969" s="197"/>
      <c r="H969" s="197"/>
      <c r="I969" s="197"/>
      <c r="J969" s="197"/>
      <c r="K969" s="197"/>
      <c r="L969" s="197"/>
      <c r="M969" s="197"/>
      <c r="N969" s="197"/>
      <c r="O969" s="197"/>
      <c r="P969" s="197"/>
      <c r="Q969" s="197"/>
      <c r="R969" s="197"/>
      <c r="S969" s="197"/>
      <c r="T969" s="197"/>
      <c r="U969" s="197"/>
      <c r="V969" s="197"/>
      <c r="W969" s="197"/>
      <c r="X969" s="197"/>
      <c r="Y969" s="197"/>
      <c r="Z969" s="197"/>
    </row>
    <row r="970" ht="12.0" customHeight="1">
      <c r="A970" s="197"/>
      <c r="B970" s="198"/>
      <c r="C970" s="197"/>
      <c r="D970" s="197"/>
      <c r="E970" s="197"/>
      <c r="F970" s="197"/>
      <c r="G970" s="197"/>
      <c r="H970" s="197"/>
      <c r="I970" s="197"/>
      <c r="J970" s="197"/>
      <c r="K970" s="197"/>
      <c r="L970" s="197"/>
      <c r="M970" s="197"/>
      <c r="N970" s="197"/>
      <c r="O970" s="197"/>
      <c r="P970" s="197"/>
      <c r="Q970" s="197"/>
      <c r="R970" s="197"/>
      <c r="S970" s="197"/>
      <c r="T970" s="197"/>
      <c r="U970" s="197"/>
      <c r="V970" s="197"/>
      <c r="W970" s="197"/>
      <c r="X970" s="197"/>
      <c r="Y970" s="197"/>
      <c r="Z970" s="197"/>
    </row>
    <row r="971" ht="12.0" customHeight="1">
      <c r="A971" s="197"/>
      <c r="B971" s="198"/>
      <c r="C971" s="197"/>
      <c r="D971" s="197"/>
      <c r="E971" s="197"/>
      <c r="F971" s="197"/>
      <c r="G971" s="197"/>
      <c r="H971" s="197"/>
      <c r="I971" s="197"/>
      <c r="J971" s="197"/>
      <c r="K971" s="197"/>
      <c r="L971" s="197"/>
      <c r="M971" s="197"/>
      <c r="N971" s="197"/>
      <c r="O971" s="197"/>
      <c r="P971" s="197"/>
      <c r="Q971" s="197"/>
      <c r="R971" s="197"/>
      <c r="S971" s="197"/>
      <c r="T971" s="197"/>
      <c r="U971" s="197"/>
      <c r="V971" s="197"/>
      <c r="W971" s="197"/>
      <c r="X971" s="197"/>
      <c r="Y971" s="197"/>
      <c r="Z971" s="197"/>
    </row>
    <row r="972" ht="12.0" customHeight="1">
      <c r="A972" s="197"/>
      <c r="B972" s="198"/>
      <c r="C972" s="197"/>
      <c r="D972" s="197"/>
      <c r="E972" s="197"/>
      <c r="F972" s="197"/>
      <c r="G972" s="197"/>
      <c r="H972" s="197"/>
      <c r="I972" s="197"/>
      <c r="J972" s="197"/>
      <c r="K972" s="197"/>
      <c r="L972" s="197"/>
      <c r="M972" s="197"/>
      <c r="N972" s="197"/>
      <c r="O972" s="197"/>
      <c r="P972" s="197"/>
      <c r="Q972" s="197"/>
      <c r="R972" s="197"/>
      <c r="S972" s="197"/>
      <c r="T972" s="197"/>
      <c r="U972" s="197"/>
      <c r="V972" s="197"/>
      <c r="W972" s="197"/>
      <c r="X972" s="197"/>
      <c r="Y972" s="197"/>
      <c r="Z972" s="197"/>
    </row>
    <row r="973" ht="12.0" customHeight="1">
      <c r="A973" s="197"/>
      <c r="B973" s="198"/>
      <c r="C973" s="197"/>
      <c r="D973" s="197"/>
      <c r="E973" s="197"/>
      <c r="F973" s="197"/>
      <c r="G973" s="197"/>
      <c r="H973" s="197"/>
      <c r="I973" s="197"/>
      <c r="J973" s="197"/>
      <c r="K973" s="197"/>
      <c r="L973" s="197"/>
      <c r="M973" s="197"/>
      <c r="N973" s="197"/>
      <c r="O973" s="197"/>
      <c r="P973" s="197"/>
      <c r="Q973" s="197"/>
      <c r="R973" s="197"/>
      <c r="S973" s="197"/>
      <c r="T973" s="197"/>
      <c r="U973" s="197"/>
      <c r="V973" s="197"/>
      <c r="W973" s="197"/>
      <c r="X973" s="197"/>
      <c r="Y973" s="197"/>
      <c r="Z973" s="197"/>
    </row>
    <row r="974" ht="12.0" customHeight="1">
      <c r="A974" s="197"/>
      <c r="B974" s="198"/>
      <c r="C974" s="197"/>
      <c r="D974" s="197"/>
      <c r="E974" s="197"/>
      <c r="F974" s="197"/>
      <c r="G974" s="197"/>
      <c r="H974" s="197"/>
      <c r="I974" s="197"/>
      <c r="J974" s="197"/>
      <c r="K974" s="197"/>
      <c r="L974" s="197"/>
      <c r="M974" s="197"/>
      <c r="N974" s="197"/>
      <c r="O974" s="197"/>
      <c r="P974" s="197"/>
      <c r="Q974" s="197"/>
      <c r="R974" s="197"/>
      <c r="S974" s="197"/>
      <c r="T974" s="197"/>
      <c r="U974" s="197"/>
      <c r="V974" s="197"/>
      <c r="W974" s="197"/>
      <c r="X974" s="197"/>
      <c r="Y974" s="197"/>
      <c r="Z974" s="197"/>
    </row>
    <row r="975" ht="12.0" customHeight="1">
      <c r="A975" s="197"/>
      <c r="B975" s="198"/>
      <c r="C975" s="197"/>
      <c r="D975" s="197"/>
      <c r="E975" s="197"/>
      <c r="F975" s="197"/>
      <c r="G975" s="197"/>
      <c r="H975" s="197"/>
      <c r="I975" s="197"/>
      <c r="J975" s="197"/>
      <c r="K975" s="197"/>
      <c r="L975" s="197"/>
      <c r="M975" s="197"/>
      <c r="N975" s="197"/>
      <c r="O975" s="197"/>
      <c r="P975" s="197"/>
      <c r="Q975" s="197"/>
      <c r="R975" s="197"/>
      <c r="S975" s="197"/>
      <c r="T975" s="197"/>
      <c r="U975" s="197"/>
      <c r="V975" s="197"/>
      <c r="W975" s="197"/>
      <c r="X975" s="197"/>
      <c r="Y975" s="197"/>
      <c r="Z975" s="197"/>
    </row>
    <row r="976" ht="12.0" customHeight="1">
      <c r="A976" s="197"/>
      <c r="B976" s="198"/>
      <c r="C976" s="197"/>
      <c r="D976" s="197"/>
      <c r="E976" s="197"/>
      <c r="F976" s="197"/>
      <c r="G976" s="197"/>
      <c r="H976" s="197"/>
      <c r="I976" s="197"/>
      <c r="J976" s="197"/>
      <c r="K976" s="197"/>
      <c r="L976" s="197"/>
      <c r="M976" s="197"/>
      <c r="N976" s="197"/>
      <c r="O976" s="197"/>
      <c r="P976" s="197"/>
      <c r="Q976" s="197"/>
      <c r="R976" s="197"/>
      <c r="S976" s="197"/>
      <c r="T976" s="197"/>
      <c r="U976" s="197"/>
      <c r="V976" s="197"/>
      <c r="W976" s="197"/>
      <c r="X976" s="197"/>
      <c r="Y976" s="197"/>
      <c r="Z976" s="197"/>
    </row>
    <row r="977" ht="12.0" customHeight="1">
      <c r="A977" s="197"/>
      <c r="B977" s="198"/>
      <c r="C977" s="197"/>
      <c r="D977" s="197"/>
      <c r="E977" s="197"/>
      <c r="F977" s="197"/>
      <c r="G977" s="197"/>
      <c r="H977" s="197"/>
      <c r="I977" s="197"/>
      <c r="J977" s="197"/>
      <c r="K977" s="197"/>
      <c r="L977" s="197"/>
      <c r="M977" s="197"/>
      <c r="N977" s="197"/>
      <c r="O977" s="197"/>
      <c r="P977" s="197"/>
      <c r="Q977" s="197"/>
      <c r="R977" s="197"/>
      <c r="S977" s="197"/>
      <c r="T977" s="197"/>
      <c r="U977" s="197"/>
      <c r="V977" s="197"/>
      <c r="W977" s="197"/>
      <c r="X977" s="197"/>
      <c r="Y977" s="197"/>
      <c r="Z977" s="197"/>
    </row>
    <row r="978" ht="12.0" customHeight="1">
      <c r="A978" s="197"/>
      <c r="B978" s="198"/>
      <c r="C978" s="197"/>
      <c r="D978" s="197"/>
      <c r="E978" s="197"/>
      <c r="F978" s="197"/>
      <c r="G978" s="197"/>
      <c r="H978" s="197"/>
      <c r="I978" s="197"/>
      <c r="J978" s="197"/>
      <c r="K978" s="197"/>
      <c r="L978" s="197"/>
      <c r="M978" s="197"/>
      <c r="N978" s="197"/>
      <c r="O978" s="197"/>
      <c r="P978" s="197"/>
      <c r="Q978" s="197"/>
      <c r="R978" s="197"/>
      <c r="S978" s="197"/>
      <c r="T978" s="197"/>
      <c r="U978" s="197"/>
      <c r="V978" s="197"/>
      <c r="W978" s="197"/>
      <c r="X978" s="197"/>
      <c r="Y978" s="197"/>
      <c r="Z978" s="197"/>
    </row>
    <row r="979" ht="12.0" customHeight="1">
      <c r="A979" s="197"/>
      <c r="B979" s="198"/>
      <c r="C979" s="197"/>
      <c r="D979" s="197"/>
      <c r="E979" s="197"/>
      <c r="F979" s="197"/>
      <c r="G979" s="197"/>
      <c r="H979" s="197"/>
      <c r="I979" s="197"/>
      <c r="J979" s="197"/>
      <c r="K979" s="197"/>
      <c r="L979" s="197"/>
      <c r="M979" s="197"/>
      <c r="N979" s="197"/>
      <c r="O979" s="197"/>
      <c r="P979" s="197"/>
      <c r="Q979" s="197"/>
      <c r="R979" s="197"/>
      <c r="S979" s="197"/>
      <c r="T979" s="197"/>
      <c r="U979" s="197"/>
      <c r="V979" s="197"/>
      <c r="W979" s="197"/>
      <c r="X979" s="197"/>
      <c r="Y979" s="197"/>
      <c r="Z979" s="197"/>
    </row>
    <row r="980" ht="12.0" customHeight="1">
      <c r="A980" s="197"/>
      <c r="B980" s="198"/>
      <c r="C980" s="197"/>
      <c r="D980" s="197"/>
      <c r="E980" s="197"/>
      <c r="F980" s="197"/>
      <c r="G980" s="197"/>
      <c r="H980" s="197"/>
      <c r="I980" s="197"/>
      <c r="J980" s="197"/>
      <c r="K980" s="197"/>
      <c r="L980" s="197"/>
      <c r="M980" s="197"/>
      <c r="N980" s="197"/>
      <c r="O980" s="197"/>
      <c r="P980" s="197"/>
      <c r="Q980" s="197"/>
      <c r="R980" s="197"/>
      <c r="S980" s="197"/>
      <c r="T980" s="197"/>
      <c r="U980" s="197"/>
      <c r="V980" s="197"/>
      <c r="W980" s="197"/>
      <c r="X980" s="197"/>
      <c r="Y980" s="197"/>
      <c r="Z980" s="197"/>
    </row>
    <row r="981" ht="12.0" customHeight="1">
      <c r="A981" s="197"/>
      <c r="B981" s="198"/>
      <c r="C981" s="197"/>
      <c r="D981" s="197"/>
      <c r="E981" s="197"/>
      <c r="F981" s="197"/>
      <c r="G981" s="197"/>
      <c r="H981" s="197"/>
      <c r="I981" s="197"/>
      <c r="J981" s="197"/>
      <c r="K981" s="197"/>
      <c r="L981" s="197"/>
      <c r="M981" s="197"/>
      <c r="N981" s="197"/>
      <c r="O981" s="197"/>
      <c r="P981" s="197"/>
      <c r="Q981" s="197"/>
      <c r="R981" s="197"/>
      <c r="S981" s="197"/>
      <c r="T981" s="197"/>
      <c r="U981" s="197"/>
      <c r="V981" s="197"/>
      <c r="W981" s="197"/>
      <c r="X981" s="197"/>
      <c r="Y981" s="197"/>
      <c r="Z981" s="197"/>
    </row>
    <row r="982" ht="12.0" customHeight="1">
      <c r="A982" s="197"/>
      <c r="B982" s="198"/>
      <c r="C982" s="197"/>
      <c r="D982" s="197"/>
      <c r="E982" s="197"/>
      <c r="F982" s="197"/>
      <c r="G982" s="197"/>
      <c r="H982" s="197"/>
      <c r="I982" s="197"/>
      <c r="J982" s="197"/>
      <c r="K982" s="197"/>
      <c r="L982" s="197"/>
      <c r="M982" s="197"/>
      <c r="N982" s="197"/>
      <c r="O982" s="197"/>
      <c r="P982" s="197"/>
      <c r="Q982" s="197"/>
      <c r="R982" s="197"/>
      <c r="S982" s="197"/>
      <c r="T982" s="197"/>
      <c r="U982" s="197"/>
      <c r="V982" s="197"/>
      <c r="W982" s="197"/>
      <c r="X982" s="197"/>
      <c r="Y982" s="197"/>
      <c r="Z982" s="197"/>
    </row>
    <row r="983" ht="12.0" customHeight="1">
      <c r="A983" s="197"/>
      <c r="B983" s="198"/>
      <c r="C983" s="197"/>
      <c r="D983" s="197"/>
      <c r="E983" s="197"/>
      <c r="F983" s="197"/>
      <c r="G983" s="197"/>
      <c r="H983" s="197"/>
      <c r="I983" s="197"/>
      <c r="J983" s="197"/>
      <c r="K983" s="197"/>
      <c r="L983" s="197"/>
      <c r="M983" s="197"/>
      <c r="N983" s="197"/>
      <c r="O983" s="197"/>
      <c r="P983" s="197"/>
      <c r="Q983" s="197"/>
      <c r="R983" s="197"/>
      <c r="S983" s="197"/>
      <c r="T983" s="197"/>
      <c r="U983" s="197"/>
      <c r="V983" s="197"/>
      <c r="W983" s="197"/>
      <c r="X983" s="197"/>
      <c r="Y983" s="197"/>
      <c r="Z983" s="197"/>
    </row>
    <row r="984" ht="12.0" customHeight="1">
      <c r="A984" s="197"/>
      <c r="B984" s="198"/>
      <c r="C984" s="197"/>
      <c r="D984" s="197"/>
      <c r="E984" s="197"/>
      <c r="F984" s="197"/>
      <c r="G984" s="197"/>
      <c r="H984" s="197"/>
      <c r="I984" s="197"/>
      <c r="J984" s="197"/>
      <c r="K984" s="197"/>
      <c r="L984" s="197"/>
      <c r="M984" s="197"/>
      <c r="N984" s="197"/>
      <c r="O984" s="197"/>
      <c r="P984" s="197"/>
      <c r="Q984" s="197"/>
      <c r="R984" s="197"/>
      <c r="S984" s="197"/>
      <c r="T984" s="197"/>
      <c r="U984" s="197"/>
      <c r="V984" s="197"/>
      <c r="W984" s="197"/>
      <c r="X984" s="197"/>
      <c r="Y984" s="197"/>
      <c r="Z984" s="197"/>
    </row>
    <row r="985" ht="12.0" customHeight="1">
      <c r="A985" s="197"/>
      <c r="B985" s="198"/>
      <c r="C985" s="197"/>
      <c r="D985" s="197"/>
      <c r="E985" s="197"/>
      <c r="F985" s="197"/>
      <c r="G985" s="197"/>
      <c r="H985" s="197"/>
      <c r="I985" s="197"/>
      <c r="J985" s="197"/>
      <c r="K985" s="197"/>
      <c r="L985" s="197"/>
      <c r="M985" s="197"/>
      <c r="N985" s="197"/>
      <c r="O985" s="197"/>
      <c r="P985" s="197"/>
      <c r="Q985" s="197"/>
      <c r="R985" s="197"/>
      <c r="S985" s="197"/>
      <c r="T985" s="197"/>
      <c r="U985" s="197"/>
      <c r="V985" s="197"/>
      <c r="W985" s="197"/>
      <c r="X985" s="197"/>
      <c r="Y985" s="197"/>
      <c r="Z985" s="197"/>
    </row>
    <row r="986" ht="12.0" customHeight="1">
      <c r="A986" s="197"/>
      <c r="B986" s="198"/>
      <c r="C986" s="197"/>
      <c r="D986" s="197"/>
      <c r="E986" s="197"/>
      <c r="F986" s="197"/>
      <c r="G986" s="197"/>
      <c r="H986" s="197"/>
      <c r="I986" s="197"/>
      <c r="J986" s="197"/>
      <c r="K986" s="197"/>
      <c r="L986" s="197"/>
      <c r="M986" s="197"/>
      <c r="N986" s="197"/>
      <c r="O986" s="197"/>
      <c r="P986" s="197"/>
      <c r="Q986" s="197"/>
      <c r="R986" s="197"/>
      <c r="S986" s="197"/>
      <c r="T986" s="197"/>
      <c r="U986" s="197"/>
      <c r="V986" s="197"/>
      <c r="W986" s="197"/>
      <c r="X986" s="197"/>
      <c r="Y986" s="197"/>
      <c r="Z986" s="197"/>
    </row>
    <row r="987" ht="12.0" customHeight="1">
      <c r="A987" s="197"/>
      <c r="B987" s="198"/>
      <c r="C987" s="197"/>
      <c r="D987" s="197"/>
      <c r="E987" s="197"/>
      <c r="F987" s="197"/>
      <c r="G987" s="197"/>
      <c r="H987" s="197"/>
      <c r="I987" s="197"/>
      <c r="J987" s="197"/>
      <c r="K987" s="197"/>
      <c r="L987" s="197"/>
      <c r="M987" s="197"/>
      <c r="N987" s="197"/>
      <c r="O987" s="197"/>
      <c r="P987" s="197"/>
      <c r="Q987" s="197"/>
      <c r="R987" s="197"/>
      <c r="S987" s="197"/>
      <c r="T987" s="197"/>
      <c r="U987" s="197"/>
      <c r="V987" s="197"/>
      <c r="W987" s="197"/>
      <c r="X987" s="197"/>
      <c r="Y987" s="197"/>
      <c r="Z987" s="197"/>
    </row>
    <row r="988" ht="12.0" customHeight="1">
      <c r="A988" s="197"/>
      <c r="B988" s="198"/>
      <c r="C988" s="197"/>
      <c r="D988" s="197"/>
      <c r="E988" s="197"/>
      <c r="F988" s="197"/>
      <c r="G988" s="197"/>
      <c r="H988" s="197"/>
      <c r="I988" s="197"/>
      <c r="J988" s="197"/>
      <c r="K988" s="197"/>
      <c r="L988" s="197"/>
      <c r="M988" s="197"/>
      <c r="N988" s="197"/>
      <c r="O988" s="197"/>
      <c r="P988" s="197"/>
      <c r="Q988" s="197"/>
      <c r="R988" s="197"/>
      <c r="S988" s="197"/>
      <c r="T988" s="197"/>
      <c r="U988" s="197"/>
      <c r="V988" s="197"/>
      <c r="W988" s="197"/>
      <c r="X988" s="197"/>
      <c r="Y988" s="197"/>
      <c r="Z988" s="197"/>
    </row>
    <row r="989" ht="12.0" customHeight="1">
      <c r="A989" s="197"/>
      <c r="B989" s="198"/>
      <c r="C989" s="197"/>
      <c r="D989" s="197"/>
      <c r="E989" s="197"/>
      <c r="F989" s="197"/>
      <c r="G989" s="197"/>
      <c r="H989" s="197"/>
      <c r="I989" s="197"/>
      <c r="J989" s="197"/>
      <c r="K989" s="197"/>
      <c r="L989" s="197"/>
      <c r="M989" s="197"/>
      <c r="N989" s="197"/>
      <c r="O989" s="197"/>
      <c r="P989" s="197"/>
      <c r="Q989" s="197"/>
      <c r="R989" s="197"/>
      <c r="S989" s="197"/>
      <c r="T989" s="197"/>
      <c r="U989" s="197"/>
      <c r="V989" s="197"/>
      <c r="W989" s="197"/>
      <c r="X989" s="197"/>
      <c r="Y989" s="197"/>
      <c r="Z989" s="197"/>
    </row>
    <row r="990" ht="12.0" customHeight="1">
      <c r="A990" s="197"/>
      <c r="B990" s="198"/>
      <c r="C990" s="197"/>
      <c r="D990" s="197"/>
      <c r="E990" s="197"/>
      <c r="F990" s="197"/>
      <c r="G990" s="197"/>
      <c r="H990" s="197"/>
      <c r="I990" s="197"/>
      <c r="J990" s="197"/>
      <c r="K990" s="197"/>
      <c r="L990" s="197"/>
      <c r="M990" s="197"/>
      <c r="N990" s="197"/>
      <c r="O990" s="197"/>
      <c r="P990" s="197"/>
      <c r="Q990" s="197"/>
      <c r="R990" s="197"/>
      <c r="S990" s="197"/>
      <c r="T990" s="197"/>
      <c r="U990" s="197"/>
      <c r="V990" s="197"/>
      <c r="W990" s="197"/>
      <c r="X990" s="197"/>
      <c r="Y990" s="197"/>
      <c r="Z990" s="197"/>
    </row>
    <row r="991" ht="12.0" customHeight="1">
      <c r="A991" s="197"/>
      <c r="B991" s="198"/>
      <c r="C991" s="197"/>
      <c r="D991" s="197"/>
      <c r="E991" s="197"/>
      <c r="F991" s="197"/>
      <c r="G991" s="197"/>
      <c r="H991" s="197"/>
      <c r="I991" s="197"/>
      <c r="J991" s="197"/>
      <c r="K991" s="197"/>
      <c r="L991" s="197"/>
      <c r="M991" s="197"/>
      <c r="N991" s="197"/>
      <c r="O991" s="197"/>
      <c r="P991" s="197"/>
      <c r="Q991" s="197"/>
      <c r="R991" s="197"/>
      <c r="S991" s="197"/>
      <c r="T991" s="197"/>
      <c r="U991" s="197"/>
      <c r="V991" s="197"/>
      <c r="W991" s="197"/>
      <c r="X991" s="197"/>
      <c r="Y991" s="197"/>
      <c r="Z991" s="197"/>
    </row>
    <row r="992" ht="12.0" customHeight="1">
      <c r="A992" s="197"/>
      <c r="B992" s="198"/>
      <c r="C992" s="197"/>
      <c r="D992" s="197"/>
      <c r="E992" s="197"/>
      <c r="F992" s="197"/>
      <c r="G992" s="197"/>
      <c r="H992" s="197"/>
      <c r="I992" s="197"/>
      <c r="J992" s="197"/>
      <c r="K992" s="197"/>
      <c r="L992" s="197"/>
      <c r="M992" s="197"/>
      <c r="N992" s="197"/>
      <c r="O992" s="197"/>
      <c r="P992" s="197"/>
      <c r="Q992" s="197"/>
      <c r="R992" s="197"/>
      <c r="S992" s="197"/>
      <c r="T992" s="197"/>
      <c r="U992" s="197"/>
      <c r="V992" s="197"/>
      <c r="W992" s="197"/>
      <c r="X992" s="197"/>
      <c r="Y992" s="197"/>
      <c r="Z992" s="197"/>
    </row>
    <row r="993" ht="12.0" customHeight="1">
      <c r="A993" s="197"/>
      <c r="B993" s="198"/>
      <c r="C993" s="197"/>
      <c r="D993" s="197"/>
      <c r="E993" s="197"/>
      <c r="F993" s="197"/>
      <c r="G993" s="197"/>
      <c r="H993" s="197"/>
      <c r="I993" s="197"/>
      <c r="J993" s="197"/>
      <c r="K993" s="197"/>
      <c r="L993" s="197"/>
      <c r="M993" s="197"/>
      <c r="N993" s="197"/>
      <c r="O993" s="197"/>
      <c r="P993" s="197"/>
      <c r="Q993" s="197"/>
      <c r="R993" s="197"/>
      <c r="S993" s="197"/>
      <c r="T993" s="197"/>
      <c r="U993" s="197"/>
      <c r="V993" s="197"/>
      <c r="W993" s="197"/>
      <c r="X993" s="197"/>
      <c r="Y993" s="197"/>
      <c r="Z993" s="197"/>
    </row>
    <row r="994" ht="12.0" customHeight="1">
      <c r="A994" s="197"/>
      <c r="B994" s="198"/>
      <c r="C994" s="197"/>
      <c r="D994" s="197"/>
      <c r="E994" s="197"/>
      <c r="F994" s="197"/>
      <c r="G994" s="197"/>
      <c r="H994" s="197"/>
      <c r="I994" s="197"/>
      <c r="J994" s="197"/>
      <c r="K994" s="197"/>
      <c r="L994" s="197"/>
      <c r="M994" s="197"/>
      <c r="N994" s="197"/>
      <c r="O994" s="197"/>
      <c r="P994" s="197"/>
      <c r="Q994" s="197"/>
      <c r="R994" s="197"/>
      <c r="S994" s="197"/>
      <c r="T994" s="197"/>
      <c r="U994" s="197"/>
      <c r="V994" s="197"/>
      <c r="W994" s="197"/>
      <c r="X994" s="197"/>
      <c r="Y994" s="197"/>
      <c r="Z994" s="197"/>
    </row>
    <row r="995" ht="12.0" customHeight="1">
      <c r="A995" s="197"/>
      <c r="B995" s="198"/>
      <c r="C995" s="197"/>
      <c r="D995" s="197"/>
      <c r="E995" s="197"/>
      <c r="F995" s="197"/>
      <c r="G995" s="197"/>
      <c r="H995" s="197"/>
      <c r="I995" s="197"/>
      <c r="J995" s="197"/>
      <c r="K995" s="197"/>
      <c r="L995" s="197"/>
      <c r="M995" s="197"/>
      <c r="N995" s="197"/>
      <c r="O995" s="197"/>
      <c r="P995" s="197"/>
      <c r="Q995" s="197"/>
      <c r="R995" s="197"/>
      <c r="S995" s="197"/>
      <c r="T995" s="197"/>
      <c r="U995" s="197"/>
      <c r="V995" s="197"/>
      <c r="W995" s="197"/>
      <c r="X995" s="197"/>
      <c r="Y995" s="197"/>
      <c r="Z995" s="197"/>
    </row>
    <row r="996" ht="12.0" customHeight="1">
      <c r="A996" s="197"/>
      <c r="B996" s="198"/>
      <c r="C996" s="197"/>
      <c r="D996" s="197"/>
      <c r="E996" s="197"/>
      <c r="F996" s="197"/>
      <c r="G996" s="197"/>
      <c r="H996" s="197"/>
      <c r="I996" s="197"/>
      <c r="J996" s="197"/>
      <c r="K996" s="197"/>
      <c r="L996" s="197"/>
      <c r="M996" s="197"/>
      <c r="N996" s="197"/>
      <c r="O996" s="197"/>
      <c r="P996" s="197"/>
      <c r="Q996" s="197"/>
      <c r="R996" s="197"/>
      <c r="S996" s="197"/>
      <c r="T996" s="197"/>
      <c r="U996" s="197"/>
      <c r="V996" s="197"/>
      <c r="W996" s="197"/>
      <c r="X996" s="197"/>
      <c r="Y996" s="197"/>
      <c r="Z996" s="197"/>
    </row>
    <row r="997" ht="12.0" customHeight="1">
      <c r="A997" s="197"/>
      <c r="B997" s="198"/>
      <c r="C997" s="197"/>
      <c r="D997" s="197"/>
      <c r="E997" s="197"/>
      <c r="F997" s="197"/>
      <c r="G997" s="197"/>
      <c r="H997" s="197"/>
      <c r="I997" s="197"/>
      <c r="J997" s="197"/>
      <c r="K997" s="197"/>
      <c r="L997" s="197"/>
      <c r="M997" s="197"/>
      <c r="N997" s="197"/>
      <c r="O997" s="197"/>
      <c r="P997" s="197"/>
      <c r="Q997" s="197"/>
      <c r="R997" s="197"/>
      <c r="S997" s="197"/>
      <c r="T997" s="197"/>
      <c r="U997" s="197"/>
      <c r="V997" s="197"/>
      <c r="W997" s="197"/>
      <c r="X997" s="197"/>
      <c r="Y997" s="197"/>
      <c r="Z997" s="197"/>
    </row>
    <row r="998" ht="12.0" customHeight="1">
      <c r="A998" s="197"/>
      <c r="B998" s="198"/>
      <c r="C998" s="197"/>
      <c r="D998" s="197"/>
      <c r="E998" s="197"/>
      <c r="F998" s="197"/>
      <c r="G998" s="197"/>
      <c r="H998" s="197"/>
      <c r="I998" s="197"/>
      <c r="J998" s="197"/>
      <c r="K998" s="197"/>
      <c r="L998" s="197"/>
      <c r="M998" s="197"/>
      <c r="N998" s="197"/>
      <c r="O998" s="197"/>
      <c r="P998" s="197"/>
      <c r="Q998" s="197"/>
      <c r="R998" s="197"/>
      <c r="S998" s="197"/>
      <c r="T998" s="197"/>
      <c r="U998" s="197"/>
      <c r="V998" s="197"/>
      <c r="W998" s="197"/>
      <c r="X998" s="197"/>
      <c r="Y998" s="197"/>
      <c r="Z998" s="197"/>
    </row>
    <row r="999" ht="12.0" customHeight="1">
      <c r="A999" s="197"/>
      <c r="B999" s="198"/>
      <c r="C999" s="197"/>
      <c r="D999" s="197"/>
      <c r="E999" s="197"/>
      <c r="F999" s="197"/>
      <c r="G999" s="197"/>
      <c r="H999" s="197"/>
      <c r="I999" s="197"/>
      <c r="J999" s="197"/>
      <c r="K999" s="197"/>
      <c r="L999" s="197"/>
      <c r="M999" s="197"/>
      <c r="N999" s="197"/>
      <c r="O999" s="197"/>
      <c r="P999" s="197"/>
      <c r="Q999" s="197"/>
      <c r="R999" s="197"/>
      <c r="S999" s="197"/>
      <c r="T999" s="197"/>
      <c r="U999" s="197"/>
      <c r="V999" s="197"/>
      <c r="W999" s="197"/>
      <c r="X999" s="197"/>
      <c r="Y999" s="197"/>
      <c r="Z999" s="197"/>
    </row>
    <row r="1000" ht="12.0" customHeight="1">
      <c r="A1000" s="197"/>
      <c r="B1000" s="198"/>
      <c r="C1000" s="197"/>
      <c r="D1000" s="197"/>
      <c r="E1000" s="197"/>
      <c r="F1000" s="197"/>
      <c r="G1000" s="197"/>
      <c r="H1000" s="197"/>
      <c r="I1000" s="197"/>
      <c r="J1000" s="197"/>
      <c r="K1000" s="197"/>
      <c r="L1000" s="197"/>
      <c r="M1000" s="197"/>
      <c r="N1000" s="197"/>
      <c r="O1000" s="197"/>
      <c r="P1000" s="197"/>
      <c r="Q1000" s="197"/>
      <c r="R1000" s="197"/>
      <c r="S1000" s="197"/>
      <c r="T1000" s="197"/>
      <c r="U1000" s="197"/>
      <c r="V1000" s="197"/>
      <c r="W1000" s="197"/>
      <c r="X1000" s="197"/>
      <c r="Y1000" s="197"/>
      <c r="Z1000" s="197"/>
    </row>
  </sheetData>
  <mergeCells count="5">
    <mergeCell ref="B3:B4"/>
    <mergeCell ref="C3:C4"/>
    <mergeCell ref="D3:D4"/>
    <mergeCell ref="E3:G3"/>
    <mergeCell ref="I3:K3"/>
  </mergeCells>
  <printOptions/>
  <pageMargins bottom="0.75" footer="0.0" header="0.0" left="0.7" right="0.7" top="0.75"/>
  <pageSetup orientation="landscape"/>
  <drawing r:id="rId1"/>
</worksheet>
</file>